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ores" sheetId="1" r:id="rId5"/>
    <sheet state="visible" name="Post-comp diamonds" sheetId="2" r:id="rId6"/>
    <sheet state="visible" name="Histogram" sheetId="3" r:id="rId7"/>
    <sheet state="visible" name="Compilation" sheetId="4" r:id="rId8"/>
    <sheet state="visible" name="Ranking (Medals)" sheetId="5" r:id="rId9"/>
    <sheet state="visible" name="Diamond Deltas" sheetId="6" r:id="rId10"/>
    <sheet state="visible" name="Ranking (Score)" sheetId="7" r:id="rId11"/>
    <sheet state="visible" name="Person" sheetId="8" r:id="rId12"/>
    <sheet state="visible" name="Team Building" sheetId="9" r:id="rId13"/>
    <sheet state="visible" name="Diagrams" sheetId="10" r:id="rId14"/>
    <sheet state="visible" name="Hashes" sheetId="11" r:id="rId15"/>
    <sheet state="visible" name="Terms of use" sheetId="12" r:id="rId16"/>
  </sheets>
  <definedNames>
    <definedName hidden="1" localSheetId="6" name="_xlnm._FilterDatabase">'Ranking (Score)'!$A$1:$G$30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Compares individual task scores to best task scores, and extrapolates to a final score assuming all tasks are solved</t>
      </text>
    </comment>
  </commentList>
</comments>
</file>

<file path=xl/sharedStrings.xml><?xml version="1.0" encoding="utf-8"?>
<sst xmlns="http://schemas.openxmlformats.org/spreadsheetml/2006/main" count="1285" uniqueCount="567">
  <si>
    <t>Code Golf International</t>
  </si>
  <si>
    <t>rucin93</t>
  </si>
  <si>
    <t>ox jam</t>
  </si>
  <si>
    <t>open source</t>
  </si>
  <si>
    <t>jailctf merger</t>
  </si>
  <si>
    <t>Rafael Pooja</t>
  </si>
  <si>
    <t>HETHAT</t>
  </si>
  <si>
    <t>duckyluuk</t>
  </si>
  <si>
    <t>import itertools</t>
  </si>
  <si>
    <t>ALE-Agent</t>
  </si>
  <si>
    <t>JRKKX</t>
  </si>
  <si>
    <t>intgrah jimboko awu macaque sammyuri</t>
  </si>
  <si>
    <t>mji</t>
  </si>
  <si>
    <t>cefqrn</t>
  </si>
  <si>
    <t>hyacinth</t>
  </si>
  <si>
    <t>cg</t>
  </si>
  <si>
    <t xml:space="preserve">
Team JYCDT</t>
  </si>
  <si>
    <t>Bulmenisaurus</t>
  </si>
  <si>
    <t>dbdr</t>
  </si>
  <si>
    <t>KN</t>
  </si>
  <si>
    <t>kabutack</t>
  </si>
  <si>
    <t>biz</t>
  </si>
  <si>
    <t>scpchicken</t>
  </si>
  <si>
    <t>el_presidente</t>
  </si>
  <si>
    <t>ﾀｲｽｹﾝｻﾝﾊﾞII</t>
  </si>
  <si>
    <t>garrymoss</t>
  </si>
  <si>
    <t>azakhtyamov</t>
  </si>
  <si>
    <t>Ali</t>
  </si>
  <si>
    <t>blob2822</t>
  </si>
  <si>
    <t>kdmitrie</t>
  </si>
  <si>
    <t>MKRC</t>
  </si>
  <si>
    <t>Afordancja</t>
  </si>
  <si>
    <t>Yuchen20</t>
  </si>
  <si>
    <t>cg-klogw-sekken</t>
  </si>
  <si>
    <t>sekken</t>
  </si>
  <si>
    <t>cubbus</t>
  </si>
  <si>
    <t>Ty Woods</t>
  </si>
  <si>
    <t>Ravi Annaswamy</t>
  </si>
  <si>
    <t>today</t>
  </si>
  <si>
    <t>LogicLynx</t>
  </si>
  <si>
    <t>kambarakun</t>
  </si>
  <si>
    <t>ShadowPrompt Labs</t>
  </si>
  <si>
    <t>THUNDER THUNDER</t>
  </si>
  <si>
    <t>Krige</t>
  </si>
  <si>
    <t>HIMAGINE THE FUTURE.</t>
  </si>
  <si>
    <t>FuunAgent</t>
  </si>
  <si>
    <t>lv1.dev</t>
  </si>
  <si>
    <t>santa2024</t>
  </si>
  <si>
    <t>The Ultimate Golfer</t>
  </si>
  <si>
    <t>SCORE</t>
  </si>
  <si>
    <t>MEDALS</t>
  </si>
  <si>
    <t>COUNT</t>
  </si>
  <si>
    <t>SUM</t>
  </si>
  <si>
    <t>AVG</t>
  </si>
  <si>
    <t>ΔSUM</t>
  </si>
  <si>
    <t>ΔAVG</t>
  </si>
  <si>
    <t>TASK</t>
  </si>
  <si>
    <t xml:space="preserve"> </t>
  </si>
  <si>
    <t>Competition Best</t>
  </si>
  <si>
    <t>Post-comp best</t>
  </si>
  <si>
    <t>Δ</t>
  </si>
  <si>
    <t>Total Δ</t>
  </si>
  <si>
    <t>Score</t>
  </si>
  <si>
    <t>BEST</t>
  </si>
  <si>
    <t>AVERAGE</t>
  </si>
  <si>
    <t>TOTAL</t>
  </si>
  <si>
    <t>WORST</t>
  </si>
  <si>
    <t>SHORTEST</t>
  </si>
  <si>
    <t>LONGEST</t>
  </si>
  <si>
    <t>SOLUTIONS</t>
  </si>
  <si>
    <t>has solved</t>
  </si>
  <si>
    <t>of all tasks</t>
  </si>
  <si>
    <t>SOLVED</t>
  </si>
  <si>
    <t>UNSOLVED</t>
  </si>
  <si>
    <t>LEADER</t>
  </si>
  <si>
    <t>💎</t>
  </si>
  <si>
    <t>🥇</t>
  </si>
  <si>
    <t>🥈</t>
  </si>
  <si>
    <t>🥉</t>
  </si>
  <si>
    <t>GOLDS</t>
  </si>
  <si>
    <t>Length</t>
  </si>
  <si>
    <t>Count</t>
  </si>
  <si>
    <t>LENGTH</t>
  </si>
  <si>
    <t>RANKING</t>
  </si>
  <si>
    <t>NAME</t>
  </si>
  <si>
    <t>Task</t>
  </si>
  <si>
    <t>Leader</t>
  </si>
  <si>
    <t>Delta</t>
  </si>
  <si>
    <t>Gold</t>
  </si>
  <si>
    <t>Diamond</t>
  </si>
  <si>
    <t>Tied gold</t>
  </si>
  <si>
    <t>Silver</t>
  </si>
  <si>
    <t>TOTAL TOTAL</t>
  </si>
  <si>
    <t>💎ox jam</t>
  </si>
  <si>
    <t>💎Code Golf International</t>
  </si>
  <si>
    <t>💎jailctf merger</t>
  </si>
  <si>
    <t>💎LogicLynx</t>
  </si>
  <si>
    <t>💎intgrah jimboko awu macaque sammyuri</t>
  </si>
  <si>
    <t>💎biz</t>
  </si>
  <si>
    <t>💎lv1.dev</t>
  </si>
  <si>
    <t>💎FuunAgent</t>
  </si>
  <si>
    <t>💎Ravi Annaswamy</t>
  </si>
  <si>
    <t>💎import itertools</t>
  </si>
  <si>
    <t>💎garrymoss</t>
  </si>
  <si>
    <t>🥇 x2</t>
  </si>
  <si>
    <t/>
  </si>
  <si>
    <t>🥇 x3</t>
  </si>
  <si>
    <t>🥇 x4</t>
  </si>
  <si>
    <t>🥇 x5</t>
  </si>
  <si>
    <t>🥇 x6</t>
  </si>
  <si>
    <t>🥇 x7</t>
  </si>
  <si>
    <t>🥇 x8</t>
  </si>
  <si>
    <t>🥇 x9</t>
  </si>
  <si>
    <t>🥇 x10</t>
  </si>
  <si>
    <t>🥇 x11</t>
  </si>
  <si>
    <t>🥇 x12</t>
  </si>
  <si>
    <t>🥇 x13</t>
  </si>
  <si>
    <t>🥇 x14</t>
  </si>
  <si>
    <t>🥇 x15</t>
  </si>
  <si>
    <t>🥇 x16</t>
  </si>
  <si>
    <t>🥇 x17</t>
  </si>
  <si>
    <t>🥇 x18</t>
  </si>
  <si>
    <t>🥇 x19</t>
  </si>
  <si>
    <t>🥇 x20</t>
  </si>
  <si>
    <t>🥇 x21</t>
  </si>
  <si>
    <t>🥇 x22</t>
  </si>
  <si>
    <t>🥇 x24</t>
  </si>
  <si>
    <t>🥇 x25</t>
  </si>
  <si>
    <t>🥇 x26</t>
  </si>
  <si>
    <t>🥇 x27</t>
  </si>
  <si>
    <t>🥇 x28</t>
  </si>
  <si>
    <t>🥇 x29</t>
  </si>
  <si>
    <t>🥇 x31</t>
  </si>
  <si>
    <t>🥇 x33</t>
  </si>
  <si>
    <t>🥇 x35</t>
  </si>
  <si>
    <t>🥇 x36</t>
  </si>
  <si>
    <t>🥇 x39</t>
  </si>
  <si>
    <t>🥇 x40</t>
  </si>
  <si>
    <t>🥇 x43</t>
  </si>
  <si>
    <t>🥇 x44</t>
  </si>
  <si>
    <t>POINTS</t>
  </si>
  <si>
    <t>DELTA</t>
  </si>
  <si>
    <t>ESTIMATED</t>
  </si>
  <si>
    <t>FANCY EST</t>
  </si>
  <si>
    <t>UNSOLVED=GOLD</t>
  </si>
  <si>
    <t>BYTES</t>
  </si>
  <si>
    <t>1</t>
  </si>
  <si>
    <t>-</t>
  </si>
  <si>
    <t>Sheet by natte</t>
  </si>
  <si>
    <t>INCLUDE 💎</t>
  </si>
  <si>
    <t>AVG DIFF</t>
  </si>
  <si>
    <t>TOTAL DIFF</t>
  </si>
  <si>
    <t>DIAMONDS</t>
  </si>
  <si>
    <t>MISSING GOLDS</t>
  </si>
  <si>
    <t>SORT BY:</t>
  </si>
  <si>
    <t>THRESHOLD:</t>
  </si>
  <si>
    <t>DELTAS</t>
  </si>
  <si>
    <t>golds</t>
  </si>
  <si>
    <t>DIFF</t>
  </si>
  <si>
    <t>COMBINED</t>
  </si>
  <si>
    <t>Δ POINTS</t>
  </si>
  <si>
    <t>Δ COUNT</t>
  </si>
  <si>
    <t>SOLVED Δ</t>
  </si>
  <si>
    <t>UNSOLVED Δ</t>
  </si>
  <si>
    <t>Use this code</t>
  </si>
  <si>
    <t xml:space="preserve">import hashlib
import re
for i in range(1, 401):
    task_file = f"solutions/task{i:03d}.py"
    try:
        with open(task_file) as f:
            sol = f.read()
        sol = re.sub(r"[a-zA-Z0-9_]", "?", sol)
        hash_value = hashlib.sha256(sol.encode()).hexdigest()
        print(hash_value)
    except FileNotFoundError:
        print()
</t>
  </si>
  <si>
    <t>intgrah</t>
  </si>
  <si>
    <t>jailctf</t>
  </si>
  <si>
    <t>a5273e0af68ed97a77b1122a9fd37e69d78972cecb8ff359a629515a280a6d00</t>
  </si>
  <si>
    <t>ee712d855084a92d3c96022f9eeed0d35b1fed41a10d838e01d8ad39166123a7</t>
  </si>
  <si>
    <t>52398c8f23417115c6c3b88d56efb58083ae8e0a6546db7c2f2d46c1aa8a0bab</t>
  </si>
  <si>
    <t>76e96a4dddf934fa5b10832e099f8e9b163fa2d3aca142569ab1a309208cc062</t>
  </si>
  <si>
    <t>00568ed6c91b23098382ed12053e950b5a2be93b97bb4020b6d8bdd4bd9242cd</t>
  </si>
  <si>
    <t>063c92b60ba53c1b3ac34ee9e3aea0ff750f3692412f809e873db175f225756e</t>
  </si>
  <si>
    <t>a0d8a779de291ddb5d0c4f6b041663c8ca4cf459fd5d49996dcbbafda70b89f7</t>
  </si>
  <si>
    <t>d66ae55bfb17ea20d7f47eeeeb415efd5bc82739618093bf380e9554b93431d9</t>
  </si>
  <si>
    <t>1a4408f935a115a4e7aae31739174e1c1f7b3986a14843883927a2b044fd7257</t>
  </si>
  <si>
    <t>51c8d293f24eb4f59e089e4bc09698dbf302fcddfd19692a890a4418dffc5914</t>
  </si>
  <si>
    <t>e81c100a9513ff9b514e270f14513134739e7d86e773f9330739b6b613537988</t>
  </si>
  <si>
    <t>1a37e750cd890111f27a89355fcd0c38d86b5a6e49a23474ff2702d92bcd4680</t>
  </si>
  <si>
    <t>b51d0bc2ae3d7d43c0357fb27cc6fcc614dec6ae8b980cf868148162a7a0a289</t>
  </si>
  <si>
    <t>b37268a2f0e09d641b5b6c9c895f7c94c9d890f0d36ab1b175f94a0cd224327e</t>
  </si>
  <si>
    <t>80993ad3b150790490d122b3dc895399ff05b65ae538b37cddcb37c7223d4574</t>
  </si>
  <si>
    <t>569b726f4e1a0a1c2572414feb64da55f8e02e39cd28d3abb2087b0d1dbb8b64</t>
  </si>
  <si>
    <t>41b057559ed69a54edd8baa5d235d0866c3a24c596ed1123fb92d745ff5c29c1</t>
  </si>
  <si>
    <t>f7ac602c3b090d7fbdbad94db854f33760ec92c1a50562238b47bd1ecd76b141</t>
  </si>
  <si>
    <t>f2ab1d69631e410b2ffbfc33dcf980373a855e495f934ed3829758fc2e4ed738</t>
  </si>
  <si>
    <t>39721996791c6b533f32bff8bffa2e4fbf7da35bf43ce68d2cf2c0d49aaafc9d</t>
  </si>
  <si>
    <t>d41dde22d869e496db7b82d19faf7bd952fecaac945923a961d26716ee193334</t>
  </si>
  <si>
    <t>5fb981c942a5947d009eacee9d1423b0734c52ac0e976989957508379d6aa941</t>
  </si>
  <si>
    <t>149066eb0ad268f7b392dbc204da9187a43edd1b8d418cc4fef725be7d4d7b50</t>
  </si>
  <si>
    <t>1b2be956670119c439cd5c339ccc7524ae56e81d41da013847e2c1a2514d8f15</t>
  </si>
  <si>
    <t>85014ece490d06e4620e10178db6dc5046eb0adb70bb4968713ae22167b896e5</t>
  </si>
  <si>
    <t>3d999d0be6c2910af61a0b65f70d0b8fc78c59949d1c1651aa6b9f65b56c4e42</t>
  </si>
  <si>
    <t>2ee1dea4a2e516d8db5cc925788a857d9e95092f8ae212b5e3d601354d28cd9b</t>
  </si>
  <si>
    <t>fad4a8f2786c9264a49b470eab0591b422cc0f675a17a81d1984adc840f970a9</t>
  </si>
  <si>
    <t>7944560e9eccbdf2b9d730bdabfa4495095eeeaf119bdc774c66e180509e02cc</t>
  </si>
  <si>
    <t>cebadd32b5057ab19efba44fd3779690b0b44a3fda5515487fd3b849a5ee6eba</t>
  </si>
  <si>
    <t>67af615d20635df95485a60b73e4183e890e007ad0e38334a106d1dc7be99270</t>
  </si>
  <si>
    <t>8215c19ff0d1e3f0b52b294636a3766972d1001bb920604aa03fad44d9988b30</t>
  </si>
  <si>
    <t>154205648957cf88187ac5fadbaaf12869709cd69b70de19c15a79ecae1bb00f</t>
  </si>
  <si>
    <t>14cd5778d70a3381eee63ec04ec374a11d10596fb2c8775d057444648cdea7bb</t>
  </si>
  <si>
    <t>8bf5dfc6a552cd349518ba66ef73a3b439f65fae310318b6a0354f1feef3a430</t>
  </si>
  <si>
    <t>16b8e5caf3e99fdb759872922457cfba27e4c47c304ccc78928cbce5038c8801</t>
  </si>
  <si>
    <t>653db35b46517397696837bfccd4978b1425986053edaa94bfd15448aedc8add</t>
  </si>
  <si>
    <t>b75596b10067de9fce2d85f6644497775e13d7ab8532437aeb2c39337dcf5e21</t>
  </si>
  <si>
    <t>da65629b8d73bfbd9399dd8741e36c5f67820645a3277888c42f96725912ab5c</t>
  </si>
  <si>
    <t>5894908ced7c9f73f77dd289df0435c24a398dc723f046e073848a669eb9dec5</t>
  </si>
  <si>
    <t>e886f80b527f024c901a3cc6c6ce61525dfad3c84bf42f14a93d892eca88c664</t>
  </si>
  <si>
    <t>6911c71e74495879cc4b8c9a666d7b4fc6bf21f6c819791226da107fc0bc7bd9</t>
  </si>
  <si>
    <t>092ace3c0ebbbdfc87bdbe484fa78895b80fe6943ebfa63f582b40cb555a7060</t>
  </si>
  <si>
    <t>b2b139df6c3642c6e8086095ac42b35e52e6d930b328bd8ace63b4f427d74f23</t>
  </si>
  <si>
    <t>e43eb0ce070d9e457a306faf10b0da630c9e0a7c9a9ffeee1362c7440202926c</t>
  </si>
  <si>
    <t>80742bca061048c38a32ea95279cd9dcdacc597949ab165a449ef3b75627ac6f</t>
  </si>
  <si>
    <t>953749697beb64b4c22eb3e6295bcd3377cdc734706fd086cf4acf277f32077d</t>
  </si>
  <si>
    <t>eaf45e98eb31d07c847e1b8234f3cd1fa0a3e19e0982ff133c3e61b8050a3c49</t>
  </si>
  <si>
    <t>226c29fc5078f3542ab7800fead42415bcb2d8dfd8b126338ca4bf5750baa5cd</t>
  </si>
  <si>
    <t>40c19a7e2cb134a3e9157716e209b28f0ae041af7f7ba6f3cacb5e210d89558f</t>
  </si>
  <si>
    <t>4fdfdd0f0205bf7f83946718080849e846c33705350b5c0bee52b7b50d5fdb33</t>
  </si>
  <si>
    <t>1152a52b3f4e4c674f97a12da8660cc05bb5b7434c109f3434635f027c4482e1</t>
  </si>
  <si>
    <t>eb9c0afe7d95591f0c2e404e2e88e59ef45e31ffed5861f4ec047344e223e1f3</t>
  </si>
  <si>
    <t>093e2b19f7c1fdd0e68e14184125b65fdff15868e59b44063b2e976f176e5335</t>
  </si>
  <si>
    <t>0f826a02638408d943644281dc122eca44d26ed943986ad12ff03dc0872f367a</t>
  </si>
  <si>
    <t>bb8cdba87ac0300efd16770fe2f047de48b907433f3a08c3db45e327b93b75a3</t>
  </si>
  <si>
    <t>8a3ed8586f0dff90174a997bd18d919f0f8e775bafb95c83a2c7a3f73f0de0a0</t>
  </si>
  <si>
    <t>384257012d8950fdf0d8c1f85cbb2832f7c1c7547ee25156d1106f5062f805fe</t>
  </si>
  <si>
    <t>64f30c96222768ca87c5dacb5b8f88f9c117334e85cc10b6cfc3c2829190f2ae</t>
  </si>
  <si>
    <t>09bbe3e39a2fa83c143601a203288607041a07771195ab0adbd1a7c7a65a00a0</t>
  </si>
  <si>
    <t>d91e8edf71f9e75a64dedb7b93ab33168d7d5baf11378da71e6c8f3dd86c30fe</t>
  </si>
  <si>
    <t>ad7bb16f1e4aec8b998e29bcd097c24d4dd3e2f09a5929a03610c7d77fb6f7c5</t>
  </si>
  <si>
    <t>6d5e81e79584b08e026bd1b1fbc138e94df34b07ee2e0bda4e7f0e727556fd96</t>
  </si>
  <si>
    <t>92cc2fee997ec11123652e7e8988805d4916a840361cdb43033bdc4d222cf9f5</t>
  </si>
  <si>
    <t>68b87cb10ff1a4e1275121a1b52c49f0f2ce191d63678a4b7431c65984f31445</t>
  </si>
  <si>
    <t>1c82373f60270b239f0f838be039bbe611bbc9f0a2ebd39140a3544a6d4a1d2b</t>
  </si>
  <si>
    <t>7503910b9e1571ca3131a70e7e13ef86c3511ca330df88a0669254848074470c</t>
  </si>
  <si>
    <t>ad5c50ffa3ee554d103174cd2fcf69ee5f5a5f0cb5406b911ae4299c4c484d64</t>
  </si>
  <si>
    <t>2b8762d26958ef4e739fb9299147cd37926088db248f87ab69aa6e387f658a7a</t>
  </si>
  <si>
    <t>e7dd6754188bff1d0d22cf198404e40465245e6406bdb8bddfc8b732f47c6016</t>
  </si>
  <si>
    <t>9e986a3549faee4fd157e45f1ed3ab7c8002c3506014c50a1cdaa67928d37086</t>
  </si>
  <si>
    <t>bd129709fcf56fee840b7179e60df9bc1959e0c48c22568adebbaa5042761c1d</t>
  </si>
  <si>
    <t>c7521f7814859e7e68fb64c3512cb8ba481a3f2ce50c37bdd33917edd8c6490a</t>
  </si>
  <si>
    <t>2232a05e9e19fc6fba2a4f431c94bb5b47a4569c3f55c851eb19667cb0649402</t>
  </si>
  <si>
    <t>bc8db7fb6d76817fb190a92c2b384eba0ce3f0e0f743cac7415e957dd629fd64</t>
  </si>
  <si>
    <t>85b990066c5032db8ac3ee7d63fc1451bd5791dbf22919881a5c1f6a71dae735</t>
  </si>
  <si>
    <t>7477a1790a6b7bc1d39c3b440cce58d9e4f4f03abd504255c699d7a2cd50b725</t>
  </si>
  <si>
    <t>6f3b21b4d56bc09bdf750a19fc9e66f86b0e6c8e7130c325b681b787be022139</t>
  </si>
  <si>
    <t>61d7054ca50b9b711e0a58b93fa48dec4c5235706300a7b3ffe880d9d034e687</t>
  </si>
  <si>
    <t>07b3ca77db6fe91c7611f751befa48166c89ed2e086dc146d60c38a4134ac21a</t>
  </si>
  <si>
    <t>70b0385108df530aca1f7ee97efb2e2d777b7ed7af03ea8f80249f092a610ea8</t>
  </si>
  <si>
    <t>aac457126846d8eebabfc310b3736483c9f34372df3dcbaf5c8224ae8758d697</t>
  </si>
  <si>
    <t>288f525e2eb4dacc8e505d1b6ab9437937a6fc281a5ba5310f2609c5a92cfe04</t>
  </si>
  <si>
    <t>3f2140442bd83a3f11ceb7f309d96482c32b7cd1525a81f2b3e819f9349daabe</t>
  </si>
  <si>
    <t>b8f7d5f48a909832d634245df2ef2e991018fb033d21d05441d5e9a5c3bf4fb7</t>
  </si>
  <si>
    <t>f229a4b8af27a08ea54af1adf70a89dd5cd27b1163f8b78d34ee566bf2566893</t>
  </si>
  <si>
    <t>e77d0034a6c46b9b9072e83e399ed6ed8c5dfdfb61c1334eea6236da6ada740e</t>
  </si>
  <si>
    <t>b40ebeaa30ba80e36e2ed81009b45d03b3b9e206171a30d2c58e28ae1b7b1699</t>
  </si>
  <si>
    <t>710a52097bad5d57dec88bfe15441cedbfdf3f517465a91b3291fe35efc3c7bd</t>
  </si>
  <si>
    <t>495fc35dc03023814aaa5e86b142b80509e756396551c749ee40c42c99690e50</t>
  </si>
  <si>
    <t>5905681e6dc48fdfbea90df777834054dba519ac8af48423f04e58f7d77b5422</t>
  </si>
  <si>
    <t>596e668ef5ccdc41a9baaecc6435b044253d397d561869fdcb819eeed853a3c6</t>
  </si>
  <si>
    <t>beed46b481ded384d843f388044ee400c0b2dcdb3764c9dd59cc913ba86f64cc</t>
  </si>
  <si>
    <t>6bf60e3cb398993d51f7d7049fbf89b2bbd4c3855bbcf6687488d1556ce6c64c</t>
  </si>
  <si>
    <t>6989e8844bdb1eaf21ab258885bc6b328b6ed28e3c407e2cced0683706cbf01e</t>
  </si>
  <si>
    <t>d9378bed8284f546ed243ed2696ce674a31e277643df26f13db4e8bab83725a9</t>
  </si>
  <si>
    <t>f0c87c98cac08c94452ba8e871b6f4aa41f73343676bae4113485bf7b5deb600</t>
  </si>
  <si>
    <t>a94ebe6404ab5cb3f76343165718f8d17adeebe37a4d551cc255e6397e07399d</t>
  </si>
  <si>
    <t>131a00ef9e352f1b78fbbb84fc103c2277f841d01003cfc08bc614fe28e98692</t>
  </si>
  <si>
    <t>d8ac50ecde0ae498a34c8e5e5afceefe78b8ed906b5991b35271554bb71b2396</t>
  </si>
  <si>
    <t>c6e240d3d535ba6245f98ea2118fb11b4e47e86ed5150dbb389404b20bba9d0a</t>
  </si>
  <si>
    <t>36be2a7a34af6e44601a002f4da3a56e949e0595e474816090b569b58819380e</t>
  </si>
  <si>
    <t>9776a2419df6e1bb43d9b66338cfd7011ddd1ddf6c9286d59ec32552037d787c</t>
  </si>
  <si>
    <t>fe78f24bbe74e0d0a183ce7b3df71a8e0a6720e4b2a4afefa8d5339f3aa88f88</t>
  </si>
  <si>
    <t>52db4f6e1a5ab51859448e56dec64efdb256dc3f93bdf4de07d705ccadb782db</t>
  </si>
  <si>
    <t>a73855381c3b3154b74e06c59c6586fa0bcceb177b7a430d41fd84d6c65e0557</t>
  </si>
  <si>
    <t>214ccc2cde79a4954cdb73d4aba18d58b6000a6f6b2791f7be4b08d09f130ef9</t>
  </si>
  <si>
    <t>37182b083ba930eed6edbe60a6c2b75448082ae87bdefcbcd9a77bb715cecb57</t>
  </si>
  <si>
    <t>57eebc82f4787659fe03437282a4516971aeae61f5bb723e9ede88afef096bee</t>
  </si>
  <si>
    <t>ac85a5f49f7f603f3a4095113b22467b9c24c477e500ba34b92f92a31f2fefa1</t>
  </si>
  <si>
    <t>edc73f77a3547bb7814052a97b71b5a191151ed9fd9de0da0c3394a866aef698</t>
  </si>
  <si>
    <t>ee1dd525882a5f711b4bbbdeba4ba0969bb81f0e47cf6708578e5e0803631df8</t>
  </si>
  <si>
    <t>76a21348ccb2af5d26c8d3db93ee416ee299df89b8449aa7401b7de2526d4c3f</t>
  </si>
  <si>
    <t>afda46d5909c2abcb8e49d3f86a8aa9246de2fe81a1a09a093bd70db15a0b693</t>
  </si>
  <si>
    <t>9827809e1f91a1df3515c5cdf0522020968a8ae869cf6f25b2a85889e175dfc4</t>
  </si>
  <si>
    <t>518e212682e1f4b18048080016c947582acf5472315c1c46f31b224db88e9bbc</t>
  </si>
  <si>
    <t>996ecbac6a40e97e437035979f5fb4eef68664fbbee88f1d05001c6a57e2d219</t>
  </si>
  <si>
    <t>dfca387e82138499f16272f602e8f13020c771504c033f4c24415aa0f0318326</t>
  </si>
  <si>
    <t>03a24617bec0fb4879acc584904ddd0e9e627942282490d68215e4b7be216ebb</t>
  </si>
  <si>
    <t>3a03970880984fbcddf40dc545f522072fa90579d0fbf47734dae4396ce748c3</t>
  </si>
  <si>
    <t>d1445c748a52f243e7555fa59848df34f87b214272ab54f009dfc4044cdaedf1</t>
  </si>
  <si>
    <t>e8c46aaba38862f0dd7f42e22b193c31cc4edb61520bdb4e3f7b087ee0fb24a2</t>
  </si>
  <si>
    <t>546c17f2aa5121ad5c8341c7844a7c54c09c9c921bd172e73635fb44c4706597</t>
  </si>
  <si>
    <t>190474561176f109800fc1e8b7c6199926438cb5d596e720ed4f69d1dc168061</t>
  </si>
  <si>
    <t>32a1e8dd4c9194104aa47c96dbda26326d482db03116b235cf766462b9b193e1</t>
  </si>
  <si>
    <t>4a4f34e7a32c99111da7914689a4107752770b1461f1cec719045eb5e2265d96</t>
  </si>
  <si>
    <t>24062d4d4df942ea6f8b761a9f114ecdbd9967b1d52757cb70322a78a0088d56</t>
  </si>
  <si>
    <t>00ab89b0ba4f515c00a93c5c1c6fa24845aa3cb945d04b1ac85d26e652b56d69</t>
  </si>
  <si>
    <t>4e8d01edb78fce513cc18561c1826e980b02d6a75084df6db6968dccd4f0a81e</t>
  </si>
  <si>
    <t>9e91fadd26f3cd741035dfef78741ff601a4a679d9ff6b2cb2510efd779acb7f</t>
  </si>
  <si>
    <t>90cec3d903b6c7264694f22bd670f0603413957a4ec891e610b4035351df0742</t>
  </si>
  <si>
    <t>526a52c48dac8d796d4a9b1da6197421b200f1cd32f4e68ec04f3795df5b3f6a</t>
  </si>
  <si>
    <t>1d7d88fe1295f863d8943a14753ccf445cc9985679f1041140a75e3e98387984</t>
  </si>
  <si>
    <t>4801b129377c9f3a24056d83c354bf067508195c5c5883851cee5d2a0ef90e3b</t>
  </si>
  <si>
    <t>42a5544b423c640e4c9a75d5d6257b5042d671c736d7ee02ac8a615b49bb27fe</t>
  </si>
  <si>
    <t>90f9d62f3244f34a8be2e944a60b5825fbcca06aac93ce159747353ca5a93d25</t>
  </si>
  <si>
    <t>083a108d6dedf5f25c658a1ed93f0f59bf9acbb2e05881e9e34f155f967e527e</t>
  </si>
  <si>
    <t>c5ad7bdcd0e3939038909aa26ba7f6a377fdc03d8873e7d465a6576256eccf27</t>
  </si>
  <si>
    <t>20350074202ba67b3e25eb6afe51422e10e3b588fa9e5f6fb686adb8425ed83b</t>
  </si>
  <si>
    <t>9b452f80a7c0254409f7fe5cbf6a6fd0c1ce1ccd5d18e44548017ace34b7d9df</t>
  </si>
  <si>
    <t>1784761c5e8dacf377f92d5974bd63b93abdde8e2a9b6d8b03c9aeec1f717ded</t>
  </si>
  <si>
    <t>771a7d991f4dd14a45bf10d45e17c6811a6b5d70bed4a3a72fa5e2274a00ad62</t>
  </si>
  <si>
    <t>d133e2bc82261ea90a243503482abe9e437ddfdb077c58ee78a1148f676e90fc</t>
  </si>
  <si>
    <t>d7a6be6a547a18cc0c67010bff031eb30fa818f8c07a393c099b9cf1710b1071</t>
  </si>
  <si>
    <t>80fa84bad4c01519881ed71e887c9319278cbe8b66bd2323a68e1b922f889f2e</t>
  </si>
  <si>
    <t>de1b15e2341bc9e7f232c73be89b05e2fbbb3e9da18ed4a96753017e618f4887</t>
  </si>
  <si>
    <t>8a650ef5aeccf589c9c2672958301090f1f71eb866a8c5942b28521be633fe1c</t>
  </si>
  <si>
    <t>7d10f608ffbfef90dfc79f9f3e8efc9837fcc6f3398ccca037b008d2066a88d8</t>
  </si>
  <si>
    <t>07a19c49b8775bc933fe34355da48e9dc6b8fa3174ffa37d5ec94778ab2cf44f</t>
  </si>
  <si>
    <t>1f41c69dc04a514a6232f7e4ad2c3d1aa3b1a3b00ecc975d9d7d2835956dba7c</t>
  </si>
  <si>
    <t>12c469756adae17d03fe3d6f2bebf9a9d80090a0e9897db8e52ae34bf13894ff</t>
  </si>
  <si>
    <t>3db924dec9cf2d54979decfe5f14cb060aa849f330b3214343167340639315b3</t>
  </si>
  <si>
    <t>518fa8611a9589ca79faccc8e922163416ee532d0ace76a2a20505c03984bf6a</t>
  </si>
  <si>
    <t>cb30f4e37ff66569e484f11c2596289283fcc776c22de7a174c41eb24c24083a</t>
  </si>
  <si>
    <t>acb27cbb3f14bdde91a48656efc677dbaa4efce68a86b78212224205bf212874</t>
  </si>
  <si>
    <t>36175d4ca69cefda840a361bf737a15a014c8086affc8dbf381317d3753a0778</t>
  </si>
  <si>
    <t>2f3cdc85f51753d31747aaed68345e7a1570eb0ec45bbed76790984532a3ddbf</t>
  </si>
  <si>
    <t>6f013492357b1f171a03b1ebdf3bbaf5594d2f80e5de972205338ad9ce02c116</t>
  </si>
  <si>
    <t>84f1771011ebf8505917edb5222f10ec947c1eb3aa59cbbcf694fa6b0297e0ab</t>
  </si>
  <si>
    <t>13dc789a4f9d5d2a6a43982fb56f5523f1a620dd63c9e455d2d984ae0f9e7e27</t>
  </si>
  <si>
    <t>01e22c7398215ad628a14f67d6dec218fcf1849e7c06cdf1254ae453eebad60a</t>
  </si>
  <si>
    <t>c125dd8947a9981d1eb42f9e77754754339661efaeb4e073aff1630e4b19ca6f</t>
  </si>
  <si>
    <t>0e6750709d9790140f3e0b18dbaf871ffdd63376eea626d44f0300c6bdbf0286</t>
  </si>
  <si>
    <t>1008e1ff476b49d1de23efa70d1a2e22156aa990182e4321647879e709c4437f</t>
  </si>
  <si>
    <t>d92a93aeeefe4a5a10672e78ed8bf3c70ea2dd46d7e6000c41172edcd3b24bdc</t>
  </si>
  <si>
    <t>d51005a6cbe79c9c2a25721f7c97bae5186192a4d490cd163b1ef8e46579a783</t>
  </si>
  <si>
    <t>fc2329fbc378429b9ac61d3d43416369c6ca4934db2808b6514363847c76a8e9</t>
  </si>
  <si>
    <t>8ea4295d3ceecf9861289319f9a79c9c88a4dc7f2e2a222aa55cc484591ec8bc</t>
  </si>
  <si>
    <t>530e1710cda93de094752a548fbc4548f352ba306f3d6e7c9689c11053a28387</t>
  </si>
  <si>
    <t>d7b7afbe9faec2b272888df70fb263d5c25db77eed80d7270ceadea64230f50f</t>
  </si>
  <si>
    <t>d50e1e8f54d8ebd2d565ea580769a2cb1129f47476728f1275fc01523315a83f</t>
  </si>
  <si>
    <t>ea94ed8b9f50d4da7580e91c689d3305a9c4990926ffbc380b7c53878d765f2b</t>
  </si>
  <si>
    <t>a29643169af76fd85ca225c67a78d00d94f403ae44849e86adc4306eb51aab05</t>
  </si>
  <si>
    <t>fe0ccbca0141f6067f4f6c5ab26e76838827db514cec81d19aff0a8d7c2193d5</t>
  </si>
  <si>
    <t>62617a23308cd07df5e3e37c5062fb7e9353cb502ec002e73f6936b5292ca49f</t>
  </si>
  <si>
    <t>89a1cacb744ed7e3b35e4737ffd092d52e0a37ec957e92725aba5f8d7417c4e4</t>
  </si>
  <si>
    <t>b853cd0d1d0132cd6aba91794c9af26c0c17763401bdb32ed7436ae564b4ea44</t>
  </si>
  <si>
    <t>a0a60d85d0f8907dbb6a0791262ac75049c3c594da692b6a0af2a50552ccac63</t>
  </si>
  <si>
    <t>7c1955229553fd69bad17c70e7aece07323157d7b07673c886faadbb7031e8eb</t>
  </si>
  <si>
    <t>53124542b38a12f84ff06fdc27c7a56257b0c87b37b936001f4148fde8b5436a</t>
  </si>
  <si>
    <t>52c326a5ab32a4780a1a26581529fec7afbeca81ce4c22a8eb4cbd4e819ce06d</t>
  </si>
  <si>
    <t>2edf110aa732935d4578f35e4c265a8f7cdd66e933cd1260391543039a663242</t>
  </si>
  <si>
    <t>640203e05025f133e099c846bedb48e20b550f2d8af24d6480c6cdc5ebc5fc24</t>
  </si>
  <si>
    <t>945a7371ea3daccc2bdd1fc230b6ebb783ecb414998b3fe4d0c621a9a69f2250</t>
  </si>
  <si>
    <t>b8a274f55e32c9ab1a9152aedbd23c72d91e64c53ea32585d88f1ddaf9a1a35e</t>
  </si>
  <si>
    <t>1cd9fa72222f0b6ee1d63ec50dcdc1904db3bd4c73d5f3d508366f1fd99686b7</t>
  </si>
  <si>
    <t>f54075b864b6b291f50c6ad39edce3efa2e75eb8d67d84a6aaa745420109c137</t>
  </si>
  <si>
    <t>7c651c0909d79e2f24963b27d5db78c0c2b8f04d859dd87c6a7bb5fd4c705f40</t>
  </si>
  <si>
    <t>f5462fa689685acc896fd7c492bdbe0b394c59be6432c04440606567606fc1b7</t>
  </si>
  <si>
    <t>e205ef52aff47138a8ce134d319c5b7eefcb56f4194eaeab432d4baa4a6b3b57</t>
  </si>
  <si>
    <t>4dce649ee1416cc7a39d6cfe9e39f6fd16b91f6545f65500e6f2567e87da6abc</t>
  </si>
  <si>
    <t>9f7dbb2bc3145ca1e1ae6f8df1bfc6f8f8f5a657084dc72248bf272fdaf7fad5</t>
  </si>
  <si>
    <t>671a4c5ebe05902c2ef1ba1ecd71ad6794c5dcf81c6777dfaa8c7df72de993d1</t>
  </si>
  <si>
    <t>21c23ed08d0858777bb5df56638a7c2fd47231c63726c7b53721c1d7a1c8ac91</t>
  </si>
  <si>
    <t>df8de2fe01cca016be85c9b2d1b5b9c1fbc8768b754d938dd23079cc07cb2396</t>
  </si>
  <si>
    <t>fe8ca064650a6a9df62e5834e13e72bb3978ca4eeb4dd93fc0b0f5c1575414c6</t>
  </si>
  <si>
    <t>c03bcdae80e1101863b6de5067c9ca78722a9c69f327f00dfff99eb9654df91c</t>
  </si>
  <si>
    <t>2dbbab87a117822e85ee582d699dbca43c7ebd0c7f935951ec895cd3d0c56076</t>
  </si>
  <si>
    <t>c815977eedb386cca33e0a4e34f65d3bedd2da4239583d7f32b4fcfe5ea5735d</t>
  </si>
  <si>
    <t>9edd726f70c92ae3eee8c15c9ac99158e66020d451b580fdbb969ed278c4ead1</t>
  </si>
  <si>
    <t>e9ffe50d062577fb5dec975d0eab864f7e4b942ce8c13bed8cf6086259295314</t>
  </si>
  <si>
    <t>2d54dd859f39297371d3ec30c072563b73828b772a5b3fce677321d60d90fdae</t>
  </si>
  <si>
    <t>2064fb393ce04bcfc837623ad88dc8f582bd6822d43a8dddf1c020bf4b6fdb0a</t>
  </si>
  <si>
    <t>90bdd5a855d777b923243008ecbea5154ce139f3036ad4e24029b81980511bdb</t>
  </si>
  <si>
    <t>c26303c1df77607926d480c0c60cfd5e58d867c09ea7aa743c4d7567cfb4b160</t>
  </si>
  <si>
    <t>774d79beebdf7da0b612982dd83ce1cc24f5a2bf0e59b2c28a9400ea384c3373</t>
  </si>
  <si>
    <t>56287c64c92118fe1237c0a62b5c7337b4286bea888a63c3f21bcb2e1cf603bc</t>
  </si>
  <si>
    <t>61aa83292dac3da3d6b5a714c7f5c3830716b13f4d4e604d0961bfbba26ba764</t>
  </si>
  <si>
    <t>0e023fdd0b2dd0a24f83806a03eeed5b967926d6f370a1b60c6fe65a4f88390c</t>
  </si>
  <si>
    <t>f85eaa25b7de75ade7d86f6cb95296a55c56bf79cd10cdbf1294d3ee3983ddee</t>
  </si>
  <si>
    <t>448d0e2aec181c6af8f727a8906a3b600ad99761a7c1e3c81c86e8797e7a881e</t>
  </si>
  <si>
    <t>065dda17bfad4dd2fb03b9ea9f8901463e545c815a3e12fbc32f00eea2565dd0</t>
  </si>
  <si>
    <t>9ecacbb5f404eb886f3c7a246d04eeaa8b7a370a53992c375c6d559d0cfa33b5</t>
  </si>
  <si>
    <t>563f3fbcfcc9c36ff21ccfbaf34a047823f17c89c9ffa24bab5a9f82aa29a3a1</t>
  </si>
  <si>
    <t>963cab10ce71b0fc47474dbe819446f6372b975501d82dee3e6fdefbde410c82</t>
  </si>
  <si>
    <t>32315add635033cba8e4179ae2ce8dbd314af6d0b6e3852ba279303d1b5d065c</t>
  </si>
  <si>
    <t>0741dbe75990f78b3c0a5766182feb86ab1d2f6608afc33102e5007c2019d643</t>
  </si>
  <si>
    <t>86860d984263bcb555415e8decb6824645cf71c5ee1292b51f741ab6417fc607</t>
  </si>
  <si>
    <t>8c462b8464570d4ba4f69c66ba50b479fca468ffad7b5880c4664bc281fda69b</t>
  </si>
  <si>
    <t>f9c4527d845d594cfe3ea80f3c4b1f6fdc1077aa67535fe707c2438d44678e0a</t>
  </si>
  <si>
    <t>93a6c95afa7244420e0a4f36f39dfcd860c1d90ba306e75804af0d5b48d7cf41</t>
  </si>
  <si>
    <t>4c6113a71861924e5bf989836e10895f148f7a727936e7dcbfcb595b4de80554</t>
  </si>
  <si>
    <t>d1b5ba4c2a9f8ad399c41046735d2922191843a1aedb780b93c9116e51fd76d7</t>
  </si>
  <si>
    <t>5fe834f89062e2b54ecc1f764a668faf720e71d15d215a4041251c26203cb7e6</t>
  </si>
  <si>
    <t>c614caf737858f21457d316abb4fb321ad0edab369f1a219325c1b3ce49158aa</t>
  </si>
  <si>
    <t>0b29b9a67536416628488a51d66b7afdea27879f449d023513035791486fbad4</t>
  </si>
  <si>
    <t>d132d910c191d8103b42e5606d4acdfe61f9e67bef7b3ed1e3d24aed827db288</t>
  </si>
  <si>
    <t>525f3b4ed04720859aede456cccb509ccfe1ad7c2e73b382eb7baf3555df6b6d</t>
  </si>
  <si>
    <t>22ebbfe76c226d3284afce78c521f3f125e0d62f0a03b78ccd3212b61dc73c4c</t>
  </si>
  <si>
    <t>b326c45a3c752883e62907384a2ff7cbe7e178b966195521c4448a402133b82a</t>
  </si>
  <si>
    <t>ab557effc6ddc4fcd2976c2023648e15a4f1e6c2a3431fe524c72d2be5ee35af</t>
  </si>
  <si>
    <t>020d339ac533ee67e41492c275031e3c7214746d5e45c261e8f45deb0fdcc104</t>
  </si>
  <si>
    <t>5886dc443b311f42c8ef128bb6570026d9b9f16c7c92849f2173b2657b782f82</t>
  </si>
  <si>
    <t>9e53d10f6abae62c4bc23e53d977681839f7384848ca741a2c2782d3091eb652</t>
  </si>
  <si>
    <t>66550293d4f2e82e006ed1337e88f4ab5e1eafa1f18e2e9ff574b9febef21bc6</t>
  </si>
  <si>
    <t>e8fd86e5bc2547eca627968ac63575e7aa26e022e9030ac8bf0f2f23d57ff9dc</t>
  </si>
  <si>
    <t>d651800da6adfaf7ebad526f2ab1f696149bf67b27f3779b45a4c7a2ee1df027</t>
  </si>
  <si>
    <t>1902afaeb6086e1bc8b0fdd1f7b6608f50a5c5106f632b6d3a1c7ace898ddf8c</t>
  </si>
  <si>
    <t>f6305106ddf2b507a00c39df5197b47a867d58370e9e9cc5f8cab59c1f6275cb</t>
  </si>
  <si>
    <t>167ece6c30cc03b3a56f3ef5579ffaf9a3cb964a784d2f136e08f1ad6e4f9af3</t>
  </si>
  <si>
    <t>ed545912397272c7feb2e6c086b8e6a48d16d359a5cde07dc317d1b69f98c669</t>
  </si>
  <si>
    <t>2c84eccb112dfcaf44e1eab193e273238f61c95f002d9e443f0bd3329e6e970b</t>
  </si>
  <si>
    <t>3b3b7b4d0bf8389cedfe8da0a94a91bf74f89eba3f1888964a1e9a52db903368</t>
  </si>
  <si>
    <t>51823253ba501117339e2c8420f400748730a606b53318609302ad15e54714b6</t>
  </si>
  <si>
    <t>5c41b22df0630f692059edb025ec71ab6d752270bd3d1b4f19a9f6df44c21c5b</t>
  </si>
  <si>
    <t>98271cfe438609f5bde4de34679c6b645c32e92582a76d62e58472e669bce726</t>
  </si>
  <si>
    <t>36d21a7c2357f10186467b161675d70b5e532d4521a6990048e4e129bc82ab25</t>
  </si>
  <si>
    <t>50eebbfe1c5c66ad1f062c9496ed44c53729a37e030d449ffe90cdb6a900bf07</t>
  </si>
  <si>
    <t>d59bc2759955ac988c4cf50ff3aedf25f0419d2cc7b49ce412e5d7bda7f9267c</t>
  </si>
  <si>
    <t>741aeef45b2874781f7f0a3b3436a7c74dec1387ae0b8a26120fb5be08b75c66</t>
  </si>
  <si>
    <t>6b977404a06b5764febda18a317b0ec244001d80defb6460b7a790f75eb71993</t>
  </si>
  <si>
    <t>bd98a7fd8d01807fdcc42483e7671f302f2e1d2bbe50fbcd6777e1ff91b51559</t>
  </si>
  <si>
    <t>67418fc42f69969c0ece206777ce58442518e390d9baa68378f5b8f5abaa3e23</t>
  </si>
  <si>
    <t>f8c5ef30792d153f941da977fd02703d935a53fdfbfbdff51586d7090b2c84b5</t>
  </si>
  <si>
    <t>e8d09f52ff8cb770f5a2a8386940a6e3a4aae5247fd475e9bf00b4206780d825</t>
  </si>
  <si>
    <t>e244afe180e8d1ff39cf48405034d867ab62e1980962f793b187c3f1a0131a35</t>
  </si>
  <si>
    <t>0cc2bf0af5f1b4ebef57655713f36e73764f233a93b62d7d3a3c60bc31dfccbd</t>
  </si>
  <si>
    <t>e7ffc63cfbd1ebc527e62c342c6dd6773a19c276c4fd86d70d5198b00cd7a1bc</t>
  </si>
  <si>
    <t>c56c6cbcc7e44f76f0a247b02dd861aba813beffaa948310c020dd0581295967</t>
  </si>
  <si>
    <t>7f7bc72175bef6969bb7c223cff913796df7b62157754bc58c7e924fade7ae5e</t>
  </si>
  <si>
    <t>4cc4970267702d6528e87dd84eb6f15eaddf866f2d8e41f0319d295410e43ef9</t>
  </si>
  <si>
    <t>0ebaf29fc2c1a4d3c022f3d675550739b5f51633d76baa883857c69d7a6a9166</t>
  </si>
  <si>
    <t>4c097a72cbad8a0cef159e9b82e90bd6d0d487ee8ee2f2be91c3fa946941874c</t>
  </si>
  <si>
    <t>d6c41f14284b672a292fbdb776216af4b77cb2a12cd5c2a1f1f35eaef4989455</t>
  </si>
  <si>
    <t>b787389aea13dbde59bf9bb99f03db6642313fa683249e6008cda4f2bd57b875</t>
  </si>
  <si>
    <t>9f373d129340cb77680419942462688309285093ae964d8c66cb98d52c11dc4c</t>
  </si>
  <si>
    <t>a1d04ad2bbce3207ae35245063a91db28b7aec64a86c7b5ab588fa2bd32ac9fb</t>
  </si>
  <si>
    <t>e967d4ce47b4294137a6afc5d908e38f32826c4a10b54cda4d61bb2568dcb25c</t>
  </si>
  <si>
    <t>09aebd03c76420e434d3f111eb8262ddb113aa90f3ed9049c9e402ac50ad7834</t>
  </si>
  <si>
    <t>2d001c22fbb852276cb90d419ab37eac44ba5b794117e5f16c8ec00538749e6e</t>
  </si>
  <si>
    <t>7bbda36bf843811f7f20941843012d111f8948284985a43dc69ff99614196318</t>
  </si>
  <si>
    <t>259f42b77955830159d254d7d712c856eda9e5889d2896c73c08af87d52a84dc</t>
  </si>
  <si>
    <t>7273a603ce2527ef2f22e6082bc4ab4ddc386dc9e50e29a3a98e39262ff59877</t>
  </si>
  <si>
    <t>24819651ca0b45f346112e5769154f1ba432beee0bc6c18d364e8fd4904da328</t>
  </si>
  <si>
    <t>4f830bb85942c8a610ae50fa2b08b0cd4d037d413038adb9ca250c07dd8901f7</t>
  </si>
  <si>
    <t>61c70bdaa3c645e6c757a87b0594b4087fd02387720014dac8bdfec4d6db3f99</t>
  </si>
  <si>
    <t>a55d6f1cd73e124f568e13574b517eea6354a757e15314efa5daa091ed383929</t>
  </si>
  <si>
    <t>2f5c6226c6a90c3720a16507bb8f09337b73562016e30c73b538e33b23d280ee</t>
  </si>
  <si>
    <t>3e5fa36fb2ae1ddc025a30cc4757c1493a89453969c6c51995ba0cc245a00999</t>
  </si>
  <si>
    <t>0e2fc7d39180a091394c159a937e06995368eb07810578834b2fd76f50294a39</t>
  </si>
  <si>
    <t>5773a5b793ed868395f981c95a015a9d12f2d912898be1f1af947e5636697416</t>
  </si>
  <si>
    <t>91cdd85c3fa394776af3919703941f8756dc763b230290ce7147d48a11a5b198</t>
  </si>
  <si>
    <t>f8233b9c3496e452195284fa740b37f7b77e929f538c8a71faa3ae21e71b67e8</t>
  </si>
  <si>
    <t>8f89c39ef66009f6307d16e48661ee2422b7dc4dd4690e2c7ddab6cdbc02ee2f</t>
  </si>
  <si>
    <t>5f80c70aaa6c0dec3d567c5d46f6b0a371eb5daa2f66cf08febe575c6fdbc1be</t>
  </si>
  <si>
    <t>19f13e5c22819ba9a43df005bf2f2e884eb938a7f1e1191013a016830c6a6224</t>
  </si>
  <si>
    <t>d1eebcb9d24c50dfa2f8849e1e1994621c69a809e9a82cfec6b84dd0d72f632b</t>
  </si>
  <si>
    <t>9bb03dde14fdecbb0f0bf5e78f27c81b20c2892ad4399696396ce3a1f51e101c</t>
  </si>
  <si>
    <t>6fde37d3cd1138f026795aab3ba2dd00069a163f6105757af51729327197053f</t>
  </si>
  <si>
    <t>21aed7c0de057c55e53f82fd81662612ce4db01c7a3deafd406fb93f3d08894f</t>
  </si>
  <si>
    <t>0a4a01035fe86611445078808ce244b36b68b4a61b806f1a2d90a4b118434fab</t>
  </si>
  <si>
    <t>9bf29bef25344d687aea2ead249088a989fc5e1294d248ef6b4c0e0fa07b29f4</t>
  </si>
  <si>
    <t>c667aa00ee241d98a2322dafaf7cf1b45646f5d399816fb0a5a2b4764810088b</t>
  </si>
  <si>
    <t>558dc5215c58fc5c88f1ff547a0685fdad17071e68e16d89d6e9c1cc9fc875e0</t>
  </si>
  <si>
    <t>aae3b6b48c6ac361040f95cf6ea0db0c8dc43aca26629d1f47c1993aab83306a</t>
  </si>
  <si>
    <t>95ae1be00d040504f0d989ba7cad55e4118e5b5c3951146e82790097d4077765</t>
  </si>
  <si>
    <t>2c3898df4d6b0d04f2d0887d8de968663f14f3b9f673b759c0cf13a0edac012f</t>
  </si>
  <si>
    <t>7a54bddb0dd2ccbcb3392850789a8a11ffac7c57e1c66076508a5648ce69c9f8</t>
  </si>
  <si>
    <t>2ba05e2dfebc170fa5888bc8fdfbb4d4142f3bf8ebff00435c2068577e71358e</t>
  </si>
  <si>
    <t>b95ef25d7137a85e8ccf014ecaef812da2da8a3a4f7cd51c261535b9cd9af78f</t>
  </si>
  <si>
    <t>c800d3bc9aa2f4181477e89ec1b8a850b2bc8b5195996bcd30603052cb9b35c7</t>
  </si>
  <si>
    <t>878ef293776dc10a2d2543f8d3c9e0bd263f961ec31fb8f943692eda826e1db5</t>
  </si>
  <si>
    <t>9f215a487da751194ec00b5d0f3f63bec7d71a36e4b63785f99ecac9695ec914</t>
  </si>
  <si>
    <t>6995334b0e053cf72004d0eac0dc703ac5a1ead7ea49ada66019b9ad9dd5143a</t>
  </si>
  <si>
    <t>1f38c3385b327eb0dda349322acbe6a67c8e0f947fd80144b1254a42e1a7413d</t>
  </si>
  <si>
    <t>6ef40beb377920640b6d7ad1795aa949cfb309f403571643787c50f0b8c1b305</t>
  </si>
  <si>
    <t>000d3044f377763008362e10400b77e46f67479e75af52d84559cc132edec5ed</t>
  </si>
  <si>
    <t>4c628fcf41481728c38f2fb7f399d06a760746c7ac0823e7eb0642c27f746f00</t>
  </si>
  <si>
    <t>4f10c70edf50f66cc834ffa1365e66db01b349b9b21c53d44a917e1b5784e962</t>
  </si>
  <si>
    <t>267c05ada388aae4220e78b5875182942c550f877f56283516af4cac9fe3c407</t>
  </si>
  <si>
    <t>5b40050c138570ea555471b9a2f6b77a274c8159f9e707a46297c32e7324576a</t>
  </si>
  <si>
    <t>2513135cc85fae0bd3f35e7f69241a2497e325ba30af3130af85fc62fee593fe</t>
  </si>
  <si>
    <t>cf91547c048cb63fe6810fb976bd6684488993cb4de6744f9b336c651f06baad</t>
  </si>
  <si>
    <t>923a438887521f5e2c05d4cf0b4b2c0bac2ae2e318fc12f9837b319616079a48</t>
  </si>
  <si>
    <t>c24e54e334ab1d4059a00dd611950b3a8c370d98528d9cfbd55a222b7c834f04</t>
  </si>
  <si>
    <t>8ffe30208a82e8c40fb852fa8c74a298688dab0e6c378add1742ccdf8aa35a1e</t>
  </si>
  <si>
    <t>6e49800fb9313654e858d19dba984443195acae0d58fa644943d168f1ef64163</t>
  </si>
  <si>
    <t>e1cb1d930294d7d1dda9dfb7de9a27655e5dda0e40dbe560182382b25f4cf777</t>
  </si>
  <si>
    <t>dbd70ca5f7db6393de1fbf14757f8d9c730c06ab9d6ae0daac4a9f846e62864f</t>
  </si>
  <si>
    <t>bbd31c8e598e7069bfacf978ebb67e00f148c0620ae711c92dbae13a787a104e</t>
  </si>
  <si>
    <t>c8269d61ca4884849a72e95fa0177b146f147afd50085557ea5f469843c7dc58</t>
  </si>
  <si>
    <t>61fcdae4f5d0b1d489359217af2647edb756b14be80d3d9d5d67d862112ba95b</t>
  </si>
  <si>
    <t>b9f60d5625b7b0a0380206f33f0b99afab1e7a3c519bf9a9575df65b12000dac</t>
  </si>
  <si>
    <t>cc79abeb59938e93f6d61fb9d56ce937f3a3338d80444512ec7ce7c0b6eb5f9b</t>
  </si>
  <si>
    <t>968661fc7d277e734c662c8b81f497bfd03483c80eec03afbc4ff933fb352eb9</t>
  </si>
  <si>
    <t>a1511babeaa7a70a698cbc70a2f933a8e7b8f765b44ceec601511fd82c41c3a1</t>
  </si>
  <si>
    <t>78940396ffbfc67a5bac965852df4a5c85e020420cc98c1b5724d99c412b835e</t>
  </si>
  <si>
    <t>fc45f7ae929d43e0310a251337a59bf14d65fd27596b79e5cc25bed12c3c921c</t>
  </si>
  <si>
    <t>ccd58564f317ff509b60260e78aeaf42d9eb71188115ddd08191af56e297d77d</t>
  </si>
  <si>
    <t>d6d986e89b731c40c7a4dd68707ad39bf65169e8b6d7b7f0674ec85a85068145</t>
  </si>
  <si>
    <t>b9117f3b6fed5e3965ad192b07d7e120227652b9a450905074790eb0a953ea4b</t>
  </si>
  <si>
    <t>626bd419a6c89bd461cf7a5a6cee05448300cb6259b06db81a571c74f66d52eb</t>
  </si>
  <si>
    <t>f3177f192b4d255e719eacbf58824b16faf820237209b719c658362724b5b492</t>
  </si>
  <si>
    <t>9cffd25d66beb5301861567f27429ca1c3f2e4e09622d0ce49dd62f954ca7246</t>
  </si>
  <si>
    <t>4a39302e77b77634aded8125a30bbf6b363afff46326071e46100988528d4c6d</t>
  </si>
  <si>
    <t>32536a5f9cb552b025e090d64287bc4575e2cd9fba1b25de07b9dc6217aafb60</t>
  </si>
  <si>
    <t>49440f7636dd39cc987062ff55b01dde0ef11140bb3335bdff1cfdc4d1311d12</t>
  </si>
  <si>
    <t>d0609224bafa8d1b266f3dd8d32d97fa8728f5538390ccdccc89a05101386d79</t>
  </si>
  <si>
    <t>5b75b7e6d18c6ae3fcade1a9cd315cb381d4576fa49e7766c4c0d2734795f92e</t>
  </si>
  <si>
    <t>dda33ff4fcb2a3efc0689c79b6f2892469b6fc7c26045a634ca49da88abcdcbd</t>
  </si>
  <si>
    <t>b2c0cf7568b589bbd9702c4738eec9e27234f98bbfec9909cc440384c606ee6f</t>
  </si>
  <si>
    <t>6622a0c9188f146b0fa53d6c87f629fa590b8be0928442cba8005a595c460940</t>
  </si>
  <si>
    <t>8e9f7c00f31ed19c482f97f8b15881db00a36740179fd83b83009ecf836ae05b</t>
  </si>
  <si>
    <t>40742044ea861eb591987e99ca59ee6f951548018128b524b525bd3715d29f47</t>
  </si>
  <si>
    <t>479625e61ba14d16b05ff65da67342a03b8b0e22c63f9ec75378b89b43dad340</t>
  </si>
  <si>
    <t>433c578fd58a35e16ac849fc627bf8c1b3680b71bc46d656b7e06782c2bad894</t>
  </si>
  <si>
    <t>a4f2cd959e554592fc711937edcbddbb334b181c6423fb41ebee31dc4722860a</t>
  </si>
  <si>
    <t>0e4f01023597b8bda244583fac34e221072c6cbaf2b2b466eb88e5b16f083424</t>
  </si>
  <si>
    <t>40bac90b68d6f850efd1a334d499a1fc92317d4d9b7d69292452576e86e7b6b2</t>
  </si>
  <si>
    <t>aa7beb17e8a2ff9e5c991db4ad0e7cff9913353a1d400d23322c3e77dc5d2490</t>
  </si>
  <si>
    <t>73678741221d8132c23ac033c597281f20c89466c572462b6dbdd1fae9385f74</t>
  </si>
  <si>
    <t>5a89a7071bd79bb3df9e935016421346ee6f2fdbb51da71fddec5615dff2f820</t>
  </si>
  <si>
    <t>4953ec03daae8aae377cf2304ba5a27f53e1797f1c72df16230bbc4693c623e7</t>
  </si>
  <si>
    <t>6b98f3f50be02cf2606fde77a9db6cd70ae0fbd700fae46b34315a1dca7b93b7</t>
  </si>
  <si>
    <t>b96bc40254d9aa273ab285324d372facdc9cbddf0856e6ff0b9e02f8c24cfc6c</t>
  </si>
  <si>
    <t>a1dd1753bb60df16bc4b7755273604519c1d1ce7fab8f64f2400ae41d7db426e</t>
  </si>
  <si>
    <t>1dbf742f99220b4495deae6e31394e5f43cc3bb8f159ad9d03b5563b2d9be5e5</t>
  </si>
  <si>
    <t>f21ff38444606b7221602fd21d6710d6147139be4eeb058524d6fe8f49ed35a1</t>
  </si>
  <si>
    <t>4b046c544f88be501122d312fdcafa8a3420100b7ef82675c22bd7807a86ccfe</t>
  </si>
  <si>
    <t>b13f1b338db0b2eb02cbbc3591690a49a4b8cca7fedff36d952d5e3abfd1847c</t>
  </si>
  <si>
    <t>5a2f5b8ef55430766bfa90bfd362d07c4ce793c0a78aa02cc62241f6c8fb5656</t>
  </si>
  <si>
    <t>b6c1023a2dbfdc81d10cbd3770573b22d6b958f9bc3030148504c810cd8e9682</t>
  </si>
  <si>
    <t>dac772fec3e6ec5aa53a1b946a59f39df45de34426455fe2454ddf2cad7e2bab</t>
  </si>
  <si>
    <t>0b7fd48f44c3e2e3185010d5706a4cc3f36a6ffc5c1f99abdb4f59f204a2e822</t>
  </si>
  <si>
    <t>dc720b4219d36ba77999e10f6d73b571b7d63d42578133171b8543564e076b52</t>
  </si>
  <si>
    <t>c2dcc930b14139621560ebe20af2a3ecc4808c23213a2015a00ef1a6955eaef4</t>
  </si>
  <si>
    <t>c937716ce53dd8291714e21691cb85e57dc9af211b71fcbdec246e1437ef6cf8</t>
  </si>
  <si>
    <t>52407c8065a91d96a30597d37e560a56e9a2d6b7e1cca7e0d02bcb0603becfdb</t>
  </si>
  <si>
    <t>1ed0271e3b55a9248fc025dc762c5e4e826764a9a620c7b63b5024a11dc0fff5</t>
  </si>
  <si>
    <t>63a6c7f62253a6d40d885a2c75c6a64e064c1d64f5c01ba6f6dcd87a47bfdc15</t>
  </si>
  <si>
    <t>82ab2a5ba0ba2b069dd25362a4433d82bb347860a00453163807630e337b1dc1</t>
  </si>
  <si>
    <t>8662905f780e856a2b67cb1cc154d1268ed6279415f4f716aa5a80c68d9e6808</t>
  </si>
  <si>
    <t>0b645129a016e2c29087e4a4097977b9d19d48f368ba27f11ff20a300f836f2d</t>
  </si>
  <si>
    <t>8ccc613b89246953a2fba07e551101f062b9e792e0f7bd147b4c068c67d2ed54</t>
  </si>
  <si>
    <t>3526dc785eff6eb4018e991ffed1e292b782deda9db32bf459d9be857f946a06</t>
  </si>
  <si>
    <t>859ced806318f5810a21ced6ae33ff9b23ddd6fc15ac0201b4aa06a7f09b6733</t>
  </si>
  <si>
    <t>1d3b224589eb6fd2bec65f56d3e4058c69edc0261f5daf9fe607cb7eb2a679cf</t>
  </si>
  <si>
    <t>1d4a9014f560383fe834ea16d26c4aff5f3531f4b599d877cadd45e1fa1b0658</t>
  </si>
  <si>
    <t>a2a4eef557755dbb2836837a1e3d340b14e15b7b2404b47650440c66f67bb810</t>
  </si>
  <si>
    <t>4869978d72fcea15568fc78e021873250e0a06fb4fdf98a38a73ec5baf11b108</t>
  </si>
  <si>
    <t>eade8873a424fea76a53913c8e8aeccc8bc8617dfe0b5d9c3218278d2225492f</t>
  </si>
  <si>
    <t>f870e3aa1f4b2532cd1dc0fc2e129c03f3403ba063138630d670cc32f060c0ad</t>
  </si>
  <si>
    <t>ec553853e18a3b143c553820a23f8421a1091bd05d5f1d68a160d881cd152cca</t>
  </si>
  <si>
    <t>b7f1df27e89538519cdbe1ec5177f3a1cd98392f068234e9bc9662b40e7244de</t>
  </si>
  <si>
    <t>830ef7cff39225897fa52e683a8b65c5c595ec8bd4824eac4d1ffab7ac7a787f</t>
  </si>
  <si>
    <t>225fda693c00d24a8cb1cd416fe591fc71ab81b004e48383e33e77b0660b2900</t>
  </si>
  <si>
    <t>8ff75dd014847ea84cc7a6baa8d2edf2bb43ce6866f1db4e4b5f89881d481614</t>
  </si>
  <si>
    <t>c3336cfb8ffc7ba50ee697265a33ec066ea20762d812d87f393e2ab720dcb2d5</t>
  </si>
  <si>
    <t>f040e47b9dfacac0f4c76fcf1a8c98b6d0a0d377c0dc63b398608f166889beb2</t>
  </si>
  <si>
    <t>1118357261bfd8e06f5b919f4cfe069a27b3dc1da948aa1dddc2fc9bc539fd92</t>
  </si>
  <si>
    <t>7d2eb30db7826f7310cfcfb9ec354ae21a3ea4de84282457e4dc27d883944f36</t>
  </si>
  <si>
    <t>3d9d1450207fd26769f8181d7fa995499ae02365476e8bda475d88bef333c39b</t>
  </si>
  <si>
    <t>388cf830421470e80859d4bb48267590bc521c8b7d0a42dc792fe9deccd25366</t>
  </si>
  <si>
    <t>8e275a31d67d37efaeb17fc4ef7561ddcfe734aa6a1f83a9d9eeabd742f3e156</t>
  </si>
  <si>
    <t>96246bfbc6657aaaeb362c6d80d82d429a8c39ba62ec70ccdf93d2245a93f4c2</t>
  </si>
  <si>
    <t>80c0447819bf304f1fd232df157424e0ba891fe7ed880571a3ba553aa8e6c916</t>
  </si>
  <si>
    <t>ff67635d3b697cbcfda87c4c896b9bd11f4d33ea05db53d254753881b4f15e2d</t>
  </si>
  <si>
    <t>16e7afbd1f7ea3fe8ff1473cf74544afe6eb059ec790d7e51b28a483019af1a1</t>
  </si>
  <si>
    <r>
      <rPr>
        <rFont val="Arial"/>
        <b/>
        <color theme="1"/>
        <sz val="17.0"/>
      </rPr>
      <t>Ultra Official and Totally Serious Terms of Use for This Code Golf Sheet</t>
    </r>
    <r>
      <rPr>
        <rFont val="Arial"/>
        <color theme="1"/>
        <sz val="17.0"/>
      </rPr>
      <t xml:space="preserve">
</t>
    </r>
    <r>
      <rPr>
        <rFont val="Arial"/>
        <color theme="1"/>
        <sz val="13.0"/>
      </rPr>
      <t xml:space="preserve">
</t>
    </r>
    <r>
      <rPr>
        <rFont val="Arial"/>
        <color theme="1"/>
        <sz val="12.0"/>
      </rPr>
      <t xml:space="preserve">By opening this sheet, you hereby agree to all the following terms, whether you read them or not. No backsies.
</t>
    </r>
    <r>
      <rPr>
        <rFont val="Arial"/>
        <color theme="1"/>
      </rPr>
      <t xml:space="preserve">
</t>
    </r>
    <r>
      <rPr>
        <rFont val="Arial"/>
        <b/>
        <color theme="1"/>
        <sz val="11.0"/>
      </rPr>
      <t>1. Competition Spoils:</t>
    </r>
    <r>
      <rPr>
        <rFont val="Arial"/>
        <color theme="1"/>
        <sz val="11.0"/>
      </rPr>
      <t xml:space="preserve">
 All participants automatically surrender 50% of any rewards earned in this competition directly to me.
</t>
    </r>
    <r>
      <rPr>
        <rFont val="Arial"/>
        <b/>
        <color theme="1"/>
        <sz val="11.0"/>
      </rPr>
      <t>2. Cookie Clause:</t>
    </r>
    <r>
      <rPr>
        <rFont val="Arial"/>
        <color theme="1"/>
        <sz val="11.0"/>
      </rPr>
      <t xml:space="preserve">
 If you eat cookies while using this sheet, you owe me one cookie for every three you consume.
</t>
    </r>
    <r>
      <rPr>
        <rFont val="Arial"/>
        <b/>
        <color theme="1"/>
        <sz val="11.0"/>
      </rPr>
      <t>3. Font Fascination:</t>
    </r>
    <r>
      <rPr>
        <rFont val="Arial"/>
        <color theme="1"/>
        <sz val="11.0"/>
      </rPr>
      <t xml:space="preserve">
 Anyone caught using Comic Sans is legally required to publicly share one of their solutions for each violation.
</t>
    </r>
    <r>
      <rPr>
        <rFont val="Arial"/>
        <b/>
        <color theme="1"/>
        <sz val="11.0"/>
      </rPr>
      <t xml:space="preserve">4. Random Rule Injection:
</t>
    </r>
    <r>
      <rPr>
        <rFont val="Arial"/>
        <color theme="1"/>
        <sz val="11.0"/>
      </rPr>
      <t xml:space="preserve"> I reserve the right to add, remove, or change rules at any moment.
</t>
    </r>
    <r>
      <rPr>
        <rFont val="Arial"/>
        <b/>
        <color theme="1"/>
        <sz val="11.0"/>
      </rPr>
      <t>5. Legal Gobbledygook:</t>
    </r>
    <r>
      <rPr>
        <rFont val="Arial"/>
        <color theme="1"/>
        <sz val="11.0"/>
      </rPr>
      <t xml:space="preserve">
 This document is legally binding wherever legally binding things can be.
</t>
    </r>
    <r>
      <rPr>
        <rFont val="Arial"/>
        <b/>
        <color theme="1"/>
        <sz val="11.0"/>
      </rPr>
      <t>6. Acknowledgment:</t>
    </r>
    <r>
      <rPr>
        <rFont val="Arial"/>
        <color theme="1"/>
        <sz val="11.0"/>
      </rPr>
      <t xml:space="preserve">
 By opening this sheet, you confirm that:
  - You have read and understood these rules.
  - You accept all consequences, foreseeable or arbitrary.
  - You agree that cereal is a soup.</t>
    </r>
    <r>
      <rPr>
        <rFont val="Arial"/>
        <color theme="1"/>
      </rPr>
      <t xml:space="preserve">
</t>
    </r>
    <r>
      <rPr>
        <rFont val="Arial"/>
        <b/>
        <color theme="1"/>
        <sz val="11.0"/>
      </rPr>
      <t>7. Safety Clause:</t>
    </r>
    <r>
      <rPr>
        <rFont val="Arial"/>
        <color theme="1"/>
      </rPr>
      <t xml:space="preserve">
 </t>
    </r>
    <r>
      <rPr>
        <rFont val="Arial"/>
        <color theme="1"/>
        <sz val="11.0"/>
      </rPr>
      <t>If you cross your fingers while reading the terms or if you are rich these rules do not apply to you.</t>
    </r>
    <r>
      <rPr>
        <rFont val="Arial"/>
        <color theme="1"/>
      </rPr>
      <t xml:space="preserve">
</t>
    </r>
    <r>
      <rPr>
        <rFont val="Arial"/>
        <b/>
        <color theme="1"/>
        <sz val="11.0"/>
      </rPr>
      <t>8. Privacy Clause:</t>
    </r>
    <r>
      <rPr>
        <rFont val="Arial"/>
        <color theme="1"/>
        <sz val="11.0"/>
      </rPr>
      <t xml:space="preserve">
 By using this sheet, you acknowledge that we will collect and sell your data. You further agree that your data may be shared with KGB, CIA, NSA, CCP, UK government, OpenAI, Mark Zuckerberg, Greta Thunberg, aliens, and any other organization, real or fictional, as deemed necessary by our supreme data overlords.</t>
    </r>
  </si>
</sst>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00"/>
    <numFmt numFmtId="165" formatCode="#,##0b"/>
    <numFmt numFmtId="166" formatCode="#,##0.00b"/>
    <numFmt numFmtId="167" formatCode="#,##"/>
    <numFmt numFmtId="168" formatCode="#,##b"/>
    <numFmt numFmtId="169" formatCode="+#,##0"/>
  </numFmts>
  <fonts count="31">
    <font>
      <sz val="10.0"/>
      <color rgb="FF000000"/>
      <name val="Arial"/>
      <scheme val="minor"/>
    </font>
    <font>
      <b/>
      <sz val="12.0"/>
      <color rgb="FFFFFFFF"/>
      <name val="Arial"/>
      <scheme val="minor"/>
    </font>
    <font>
      <b/>
      <u/>
      <sz val="12.0"/>
      <color rgb="FF0000FF"/>
    </font>
    <font>
      <b/>
      <u/>
      <sz val="12.0"/>
      <color rgb="FF0000FF"/>
    </font>
    <font>
      <b/>
      <u/>
      <sz val="12.0"/>
      <color rgb="FF0000FF"/>
    </font>
    <font>
      <b/>
      <sz val="9.0"/>
      <color rgb="FFFFFFFF"/>
      <name val="Arial"/>
      <scheme val="minor"/>
    </font>
    <font>
      <b/>
      <u/>
      <sz val="12.0"/>
      <color rgb="FF0000FF"/>
    </font>
    <font>
      <b/>
      <sz val="12.0"/>
      <color theme="1"/>
      <name val="Arial"/>
      <scheme val="minor"/>
    </font>
    <font>
      <color theme="1"/>
      <name val="Arial"/>
    </font>
    <font>
      <b/>
      <u/>
      <sz val="12.0"/>
      <color rgb="FFFFFFFF"/>
    </font>
    <font>
      <b/>
      <sz val="12.0"/>
      <color theme="1"/>
      <name val="Arial"/>
    </font>
    <font>
      <b/>
      <sz val="13.0"/>
      <color theme="1"/>
      <name val="Arial"/>
    </font>
    <font>
      <color theme="1"/>
      <name val="Arial"/>
      <scheme val="minor"/>
    </font>
    <font>
      <b/>
      <u/>
      <sz val="12.0"/>
      <color rgb="FFFFFFFF"/>
    </font>
    <font>
      <b/>
      <sz val="12.0"/>
      <color rgb="FF000000"/>
      <name val="Arial"/>
    </font>
    <font>
      <u/>
      <color rgb="FF0000FF"/>
    </font>
    <font>
      <u/>
      <color rgb="FF0000FF"/>
    </font>
    <font>
      <sz val="12.0"/>
      <color theme="1"/>
      <name val="Arial"/>
      <scheme val="minor"/>
    </font>
    <font>
      <color rgb="FFEFEFEF"/>
      <name val="Arial"/>
      <scheme val="minor"/>
    </font>
    <font>
      <u/>
      <color rgb="FF0000FF"/>
    </font>
    <font>
      <b/>
      <u/>
      <sz val="12.0"/>
      <color rgb="FFE69138"/>
    </font>
    <font>
      <b/>
      <u/>
      <sz val="12.0"/>
      <color rgb="FF9FC5E8"/>
    </font>
    <font>
      <b/>
      <u/>
      <sz val="12.0"/>
      <color rgb="FFB45F06"/>
    </font>
    <font>
      <color rgb="FF000000"/>
    </font>
    <font>
      <b/>
      <u/>
      <sz val="12.0"/>
      <color rgb="FF0000FF"/>
    </font>
    <font>
      <b/>
      <sz val="8.0"/>
      <color rgb="FFFFFFFF"/>
      <name val="Arial"/>
      <scheme val="minor"/>
    </font>
    <font>
      <b/>
      <sz val="10.0"/>
      <color theme="1"/>
      <name val="Arial"/>
      <scheme val="minor"/>
    </font>
    <font>
      <b/>
      <u/>
      <sz val="12.0"/>
      <color rgb="FFFFFFFF"/>
    </font>
    <font>
      <sz val="11.0"/>
      <color rgb="FFCCCCCC"/>
      <name val="'Droid Sans Mono'"/>
    </font>
    <font>
      <color rgb="FFFFFFFF"/>
      <name val="Fira Code"/>
    </font>
    <font>
      <b/>
      <u/>
      <sz val="12.0"/>
      <color rgb="FFFFFFFF"/>
      <name val="Arial"/>
    </font>
  </fonts>
  <fills count="12">
    <fill>
      <patternFill patternType="none"/>
    </fill>
    <fill>
      <patternFill patternType="lightGray"/>
    </fill>
    <fill>
      <patternFill patternType="solid">
        <fgColor rgb="FF000000"/>
        <bgColor rgb="FF000000"/>
      </patternFill>
    </fill>
    <fill>
      <patternFill patternType="solid">
        <fgColor rgb="FFFFD966"/>
        <bgColor rgb="FFFFD966"/>
      </patternFill>
    </fill>
    <fill>
      <patternFill patternType="solid">
        <fgColor rgb="FFB45F06"/>
        <bgColor rgb="FFB45F06"/>
      </patternFill>
    </fill>
    <fill>
      <patternFill patternType="solid">
        <fgColor rgb="FFB7B7B7"/>
        <bgColor rgb="FFB7B7B7"/>
      </patternFill>
    </fill>
    <fill>
      <patternFill patternType="solid">
        <fgColor rgb="FFFFFFFF"/>
        <bgColor rgb="FFFFFFFF"/>
      </patternFill>
    </fill>
    <fill>
      <patternFill patternType="solid">
        <fgColor rgb="FF9FC5E8"/>
        <bgColor rgb="FF9FC5E8"/>
      </patternFill>
    </fill>
    <fill>
      <patternFill patternType="solid">
        <fgColor rgb="FFFFFF00"/>
        <bgColor rgb="FFFFFF00"/>
      </patternFill>
    </fill>
    <fill>
      <patternFill patternType="solid">
        <fgColor rgb="FFF6B26B"/>
        <bgColor rgb="FFF6B26B"/>
      </patternFill>
    </fill>
    <fill>
      <patternFill patternType="solid">
        <fgColor theme="0"/>
        <bgColor theme="0"/>
      </patternFill>
    </fill>
    <fill>
      <patternFill patternType="solid">
        <fgColor theme="7"/>
        <bgColor theme="7"/>
      </patternFill>
    </fill>
  </fills>
  <borders count="3">
    <border/>
    <border>
      <right style="thin">
        <color rgb="FF000000"/>
      </right>
    </border>
    <border>
      <bottom style="thin">
        <color rgb="FF000000"/>
      </bottom>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3" fontId="2" numFmtId="0" xfId="0" applyAlignment="1" applyFill="1" applyFont="1">
      <alignment horizontal="center" readingOrder="0" shrinkToFit="0" vertical="center" wrapText="1"/>
    </xf>
    <xf borderId="0" fillId="4" fontId="3" numFmtId="0" xfId="0" applyAlignment="1" applyFill="1" applyFont="1">
      <alignment horizontal="center" readingOrder="0" shrinkToFit="0" vertical="center" wrapText="1"/>
    </xf>
    <xf borderId="0" fillId="5" fontId="4" numFmtId="0" xfId="0" applyAlignment="1" applyFill="1" applyFont="1">
      <alignment horizontal="center" readingOrder="0" shrinkToFit="0" vertical="center" wrapText="1"/>
    </xf>
    <xf borderId="0" fillId="2" fontId="5"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2" fontId="1" numFmtId="164" xfId="0" applyAlignment="1" applyFont="1" applyNumberFormat="1">
      <alignment horizontal="center" readingOrder="0"/>
    </xf>
    <xf borderId="0" fillId="0" fontId="7" numFmtId="3" xfId="0" applyAlignment="1" applyFont="1" applyNumberFormat="1">
      <alignment horizontal="center" readingOrder="0"/>
    </xf>
    <xf borderId="0" fillId="2" fontId="1" numFmtId="164" xfId="0" applyAlignment="1" applyFont="1" applyNumberFormat="1">
      <alignment horizontal="center" readingOrder="0" vertical="center"/>
    </xf>
    <xf borderId="0" fillId="0" fontId="7" numFmtId="165" xfId="0" applyAlignment="1" applyFont="1" applyNumberFormat="1">
      <alignment horizontal="center" readingOrder="0"/>
    </xf>
    <xf borderId="0" fillId="0" fontId="7" numFmtId="166" xfId="0" applyAlignment="1" applyFont="1" applyNumberFormat="1">
      <alignment horizontal="center"/>
    </xf>
    <xf borderId="0" fillId="6" fontId="7" numFmtId="165" xfId="0" applyAlignment="1" applyFill="1" applyFont="1" applyNumberFormat="1">
      <alignment horizontal="center" readingOrder="0"/>
    </xf>
    <xf borderId="0" fillId="6" fontId="7" numFmtId="166" xfId="0" applyAlignment="1" applyFont="1" applyNumberFormat="1">
      <alignment horizontal="center" readingOrder="0"/>
    </xf>
    <xf borderId="0" fillId="6" fontId="7" numFmtId="0" xfId="0" applyAlignment="1" applyFont="1">
      <alignment horizontal="center" readingOrder="0"/>
    </xf>
    <xf borderId="0" fillId="6" fontId="7" numFmtId="0" xfId="0" applyAlignment="1" applyFont="1">
      <alignment horizontal="center"/>
    </xf>
    <xf borderId="0" fillId="6" fontId="8" numFmtId="0" xfId="0" applyAlignment="1" applyFont="1">
      <alignment vertical="bottom"/>
    </xf>
    <xf borderId="0" fillId="0" fontId="7" numFmtId="0" xfId="0" applyAlignment="1" applyFont="1">
      <alignment horizontal="center" readingOrder="0"/>
    </xf>
    <xf borderId="0" fillId="0" fontId="7" numFmtId="0" xfId="0" applyAlignment="1" applyFont="1">
      <alignment horizontal="center"/>
    </xf>
    <xf borderId="0" fillId="0" fontId="8" numFmtId="0" xfId="0" applyAlignment="1" applyFont="1">
      <alignment vertical="bottom"/>
    </xf>
    <xf borderId="0" fillId="2" fontId="1" numFmtId="164" xfId="0" applyAlignment="1" applyFont="1" applyNumberFormat="1">
      <alignment horizontal="center" readingOrder="0"/>
    </xf>
    <xf borderId="0" fillId="2" fontId="9" numFmtId="164" xfId="0" applyAlignment="1" applyFont="1" applyNumberFormat="1">
      <alignment horizontal="center" readingOrder="0"/>
    </xf>
    <xf borderId="0" fillId="0" fontId="7" numFmtId="0" xfId="0" applyAlignment="1" applyFont="1">
      <alignment horizontal="center" readingOrder="0" vertical="bottom"/>
    </xf>
    <xf borderId="0" fillId="0" fontId="10" numFmtId="0" xfId="0" applyAlignment="1" applyFont="1">
      <alignment horizontal="center" readingOrder="0" vertical="bottom"/>
    </xf>
    <xf borderId="0" fillId="0" fontId="11" numFmtId="0" xfId="0" applyAlignment="1" applyFont="1">
      <alignment horizontal="right" readingOrder="0" vertical="bottom"/>
    </xf>
    <xf borderId="0" fillId="6" fontId="10" numFmtId="0" xfId="0" applyAlignment="1" applyFont="1">
      <alignment horizontal="center" readingOrder="0" vertical="bottom"/>
    </xf>
    <xf borderId="0" fillId="0" fontId="12" numFmtId="0" xfId="0" applyAlignment="1" applyFont="1">
      <alignment readingOrder="0"/>
    </xf>
    <xf borderId="0" fillId="2" fontId="13" numFmtId="164" xfId="0" applyAlignment="1" applyFont="1" applyNumberFormat="1">
      <alignment horizontal="center" readingOrder="0"/>
    </xf>
    <xf borderId="0" fillId="7" fontId="7" numFmtId="0" xfId="0" applyAlignment="1" applyFill="1" applyFont="1">
      <alignment horizontal="center" readingOrder="0" vertical="bottom"/>
    </xf>
    <xf borderId="0" fillId="0" fontId="14" numFmtId="0" xfId="0" applyAlignment="1" applyFont="1">
      <alignment horizontal="center" readingOrder="0" shrinkToFit="0" wrapText="0"/>
    </xf>
    <xf borderId="0" fillId="8" fontId="10" numFmtId="0" xfId="0" applyAlignment="1" applyFill="1" applyFont="1">
      <alignment horizontal="center" readingOrder="0" vertical="bottom"/>
    </xf>
    <xf borderId="0" fillId="0" fontId="14" numFmtId="0" xfId="0" applyAlignment="1" applyFont="1">
      <alignment horizontal="center" shrinkToFit="0" wrapText="0"/>
    </xf>
    <xf borderId="0" fillId="9" fontId="10" numFmtId="0" xfId="0" applyAlignment="1" applyFill="1" applyFont="1">
      <alignment horizontal="center" readingOrder="0" vertical="bottom"/>
    </xf>
    <xf borderId="0" fillId="0" fontId="14" numFmtId="0" xfId="0" applyAlignment="1" applyFont="1">
      <alignment horizontal="center" shrinkToFit="0" wrapText="0"/>
    </xf>
    <xf borderId="0" fillId="10" fontId="10" numFmtId="0" xfId="0" applyAlignment="1" applyFill="1" applyFont="1">
      <alignment horizontal="center" readingOrder="0" vertical="bottom"/>
    </xf>
    <xf borderId="0" fillId="0" fontId="12" numFmtId="164" xfId="0" applyFont="1" applyNumberFormat="1"/>
    <xf borderId="0" fillId="2" fontId="1" numFmtId="164" xfId="0" applyAlignment="1" applyFont="1" applyNumberFormat="1">
      <alignment horizontal="center" readingOrder="0"/>
    </xf>
    <xf borderId="0" fillId="0" fontId="15" numFmtId="164" xfId="0" applyFont="1" applyNumberFormat="1"/>
    <xf borderId="0" fillId="0" fontId="12" numFmtId="0" xfId="0" applyFont="1"/>
    <xf borderId="0" fillId="6" fontId="7" numFmtId="167" xfId="0" applyAlignment="1" applyFont="1" applyNumberFormat="1">
      <alignment horizontal="center" readingOrder="0"/>
    </xf>
    <xf borderId="0" fillId="0" fontId="16" numFmtId="164" xfId="0" applyFont="1" applyNumberFormat="1"/>
    <xf borderId="1" fillId="2" fontId="1" numFmtId="164" xfId="0" applyAlignment="1" applyBorder="1" applyFont="1" applyNumberFormat="1">
      <alignment horizontal="center" readingOrder="0"/>
    </xf>
    <xf borderId="2" fillId="2" fontId="1" numFmtId="164" xfId="0" applyAlignment="1" applyBorder="1" applyFont="1" applyNumberFormat="1">
      <alignment horizontal="center" readingOrder="0"/>
    </xf>
    <xf borderId="0" fillId="0" fontId="12" numFmtId="0" xfId="0" applyAlignment="1" applyFont="1">
      <alignment horizontal="center" readingOrder="0"/>
    </xf>
    <xf borderId="0" fillId="6" fontId="17" numFmtId="0" xfId="0" applyAlignment="1" applyFont="1">
      <alignment horizontal="center" readingOrder="0"/>
    </xf>
    <xf borderId="0" fillId="6" fontId="7" numFmtId="10" xfId="0" applyAlignment="1" applyFont="1" applyNumberFormat="1">
      <alignment horizontal="center" readingOrder="0"/>
    </xf>
    <xf borderId="0" fillId="6" fontId="7" numFmtId="3" xfId="0" applyAlignment="1" applyFont="1" applyNumberFormat="1">
      <alignment horizontal="center" readingOrder="0"/>
    </xf>
    <xf borderId="0" fillId="6" fontId="7" numFmtId="168" xfId="0" applyAlignment="1" applyFont="1" applyNumberFormat="1">
      <alignment horizontal="center" readingOrder="0"/>
    </xf>
    <xf borderId="0" fillId="6" fontId="7" numFmtId="165" xfId="0" applyAlignment="1" applyFont="1" applyNumberFormat="1">
      <alignment horizontal="center" readingOrder="0"/>
    </xf>
    <xf borderId="0" fillId="6" fontId="7" numFmtId="166" xfId="0" applyAlignment="1" applyFont="1" applyNumberFormat="1">
      <alignment horizontal="center" readingOrder="0"/>
    </xf>
    <xf borderId="0" fillId="2" fontId="1" numFmtId="0" xfId="0" applyAlignment="1" applyFont="1">
      <alignment horizontal="center" readingOrder="0"/>
    </xf>
    <xf borderId="0" fillId="6" fontId="7" numFmtId="0" xfId="0" applyAlignment="1" applyFont="1">
      <alignment horizontal="left" readingOrder="0"/>
    </xf>
    <xf borderId="0" fillId="0" fontId="18" numFmtId="0" xfId="0" applyAlignment="1" applyFont="1">
      <alignment readingOrder="0"/>
    </xf>
    <xf borderId="0" fillId="0" fontId="19" numFmtId="0" xfId="0" applyFont="1"/>
    <xf borderId="0" fillId="0" fontId="12" numFmtId="0" xfId="0" applyFont="1"/>
    <xf borderId="0" fillId="0" fontId="10" numFmtId="3" xfId="0" applyAlignment="1" applyFont="1" applyNumberFormat="1">
      <alignment horizontal="center" vertical="bottom"/>
    </xf>
    <xf borderId="2" fillId="2" fontId="1" numFmtId="164" xfId="0" applyAlignment="1" applyBorder="1" applyFont="1" applyNumberFormat="1">
      <alignment horizontal="center" readingOrder="0"/>
    </xf>
    <xf borderId="0" fillId="6" fontId="20" numFmtId="0" xfId="0" applyAlignment="1" applyFont="1">
      <alignment horizontal="center" readingOrder="0"/>
    </xf>
    <xf borderId="0" fillId="6" fontId="21" numFmtId="0" xfId="0" applyAlignment="1" applyFont="1">
      <alignment horizontal="center" readingOrder="0"/>
    </xf>
    <xf borderId="0" fillId="6" fontId="22" numFmtId="0" xfId="0" applyAlignment="1" applyFont="1">
      <alignment horizontal="center" readingOrder="0"/>
    </xf>
    <xf borderId="0" fillId="0" fontId="23" numFmtId="164" xfId="0" applyAlignment="1" applyFont="1" applyNumberFormat="1">
      <alignment readingOrder="0"/>
    </xf>
    <xf borderId="0" fillId="6" fontId="24" numFmtId="0" xfId="0" applyAlignment="1" applyFont="1">
      <alignment horizontal="center" readingOrder="0"/>
    </xf>
    <xf borderId="0" fillId="0" fontId="23" numFmtId="164" xfId="0" applyAlignment="1" applyFont="1" applyNumberFormat="1">
      <alignment readingOrder="0"/>
    </xf>
    <xf borderId="0" fillId="2" fontId="5" numFmtId="164" xfId="0" applyAlignment="1" applyFont="1" applyNumberFormat="1">
      <alignment horizontal="center" readingOrder="0" vertical="center"/>
    </xf>
    <xf borderId="0" fillId="2" fontId="25" numFmtId="164" xfId="0" applyAlignment="1" applyFont="1" applyNumberFormat="1">
      <alignment horizontal="center" readingOrder="0" vertical="center"/>
    </xf>
    <xf borderId="0" fillId="2" fontId="1" numFmtId="49" xfId="0" applyAlignment="1" applyFont="1" applyNumberFormat="1">
      <alignment horizontal="center" readingOrder="0"/>
    </xf>
    <xf borderId="0" fillId="6" fontId="26" numFmtId="169" xfId="0" applyAlignment="1" applyFont="1" applyNumberFormat="1">
      <alignment horizontal="center" readingOrder="0" vertical="center"/>
    </xf>
    <xf borderId="0" fillId="0" fontId="12" numFmtId="165" xfId="0" applyFont="1" applyNumberFormat="1"/>
    <xf borderId="0" fillId="0" fontId="12" numFmtId="165" xfId="0" applyAlignment="1" applyFont="1" applyNumberFormat="1">
      <alignment readingOrder="0"/>
    </xf>
    <xf borderId="0" fillId="11" fontId="7" numFmtId="0" xfId="0" applyAlignment="1" applyFill="1" applyFont="1">
      <alignment horizontal="center" readingOrder="0"/>
    </xf>
    <xf borderId="0" fillId="2" fontId="5" numFmtId="164" xfId="0" applyAlignment="1" applyFont="1" applyNumberFormat="1">
      <alignment horizontal="center" readingOrder="0"/>
    </xf>
    <xf borderId="0" fillId="0" fontId="7" numFmtId="2" xfId="0" applyAlignment="1" applyFont="1" applyNumberFormat="1">
      <alignment horizontal="center" readingOrder="0"/>
    </xf>
    <xf borderId="0" fillId="7" fontId="7" numFmtId="0" xfId="0" applyAlignment="1" applyFont="1">
      <alignment horizontal="center" readingOrder="0"/>
    </xf>
    <xf borderId="0" fillId="8" fontId="7" numFmtId="0" xfId="0" applyAlignment="1" applyFont="1">
      <alignment horizontal="center" readingOrder="0"/>
    </xf>
    <xf borderId="0" fillId="2" fontId="27" numFmtId="164" xfId="0" applyAlignment="1" applyFont="1" applyNumberFormat="1">
      <alignment horizontal="center" readingOrder="0"/>
    </xf>
    <xf borderId="0" fillId="2" fontId="1" numFmtId="0" xfId="0" applyAlignment="1" applyFont="1">
      <alignment horizontal="center" readingOrder="0" vertical="center"/>
    </xf>
    <xf borderId="0" fillId="0" fontId="7" numFmtId="3" xfId="0" applyAlignment="1" applyFont="1" applyNumberFormat="1">
      <alignment horizontal="center" readingOrder="0" vertical="center"/>
    </xf>
    <xf borderId="0" fillId="0" fontId="28" numFmtId="0" xfId="0" applyAlignment="1" applyFont="1">
      <alignment readingOrder="0"/>
    </xf>
    <xf borderId="0" fillId="2" fontId="29" numFmtId="0" xfId="0" applyAlignment="1" applyFont="1">
      <alignment readingOrder="0"/>
    </xf>
    <xf borderId="0" fillId="0" fontId="12" numFmtId="0" xfId="0" applyAlignment="1" applyFont="1">
      <alignment shrinkToFit="0" wrapText="0"/>
    </xf>
    <xf borderId="0" fillId="0" fontId="12" numFmtId="0" xfId="0" applyAlignment="1" applyFont="1">
      <alignment readingOrder="0" shrinkToFit="0" wrapText="0"/>
    </xf>
    <xf borderId="0" fillId="2" fontId="30" numFmtId="164" xfId="0" applyAlignment="1" applyFont="1" applyNumberFormat="1">
      <alignment horizontal="center" vertical="bottom"/>
    </xf>
    <xf borderId="0" fillId="0" fontId="8" numFmtId="0" xfId="0" applyAlignment="1" applyFont="1">
      <alignment readingOrder="0" shrinkToFit="0" vertical="bottom" wrapText="0"/>
    </xf>
    <xf borderId="0" fillId="0" fontId="8" numFmtId="0" xfId="0" applyAlignment="1" applyFont="1">
      <alignment shrinkToFit="0" vertical="bottom" wrapText="0"/>
    </xf>
    <xf borderId="0" fillId="0" fontId="12" numFmtId="0" xfId="0" applyAlignment="1" applyFont="1">
      <alignment readingOrder="0" shrinkToFit="0" vertical="top" wrapText="1"/>
    </xf>
  </cellXfs>
  <cellStyles count="1">
    <cellStyle xfId="0" name="Normal" builtinId="0"/>
  </cellStyles>
  <dxfs count="6">
    <dxf>
      <font/>
      <fill>
        <patternFill patternType="solid">
          <fgColor rgb="FF9FC5E8"/>
          <bgColor rgb="FF9FC5E8"/>
        </patternFill>
      </fill>
      <border/>
    </dxf>
    <dxf>
      <font/>
      <fill>
        <patternFill patternType="solid">
          <fgColor rgb="FFFFFF00"/>
          <bgColor rgb="FFFFFF00"/>
        </patternFill>
      </fill>
      <border/>
    </dxf>
    <dxf>
      <font/>
      <fill>
        <patternFill patternType="solid">
          <fgColor rgb="FFD9D9D9"/>
          <bgColor rgb="FFD9D9D9"/>
        </patternFill>
      </fill>
      <border/>
    </dxf>
    <dxf>
      <font/>
      <fill>
        <patternFill patternType="solid">
          <fgColor rgb="FFF6B26B"/>
          <bgColor rgb="FFF6B26B"/>
        </patternFill>
      </fill>
      <border/>
    </dxf>
    <dxf>
      <font/>
      <fill>
        <patternFill patternType="solid">
          <fgColor rgb="FFD5A6BD"/>
          <bgColor rgb="FFD5A6BD"/>
        </patternFill>
      </fill>
      <border/>
    </dxf>
    <dxf>
      <font/>
      <fill>
        <patternFill patternType="solid">
          <fgColor rgb="FFB6D7A8"/>
          <bgColor rgb="FFB6D7A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chartsheet" Target="chartsheets/sheet1.xml"/><Relationship Id="rId8" Type="http://schemas.openxmlformats.org/officeDocument/2006/relationships/worksheet" Target="worksheets/sheet3.xml"/><Relationship Id="rId11" Type="http://schemas.openxmlformats.org/officeDocument/2006/relationships/worksheet" Target="worksheets/sheet6.xml"/><Relationship Id="rId10" Type="http://schemas.openxmlformats.org/officeDocument/2006/relationships/worksheet" Target="worksheets/sheet5.xml"/><Relationship Id="rId13" Type="http://schemas.openxmlformats.org/officeDocument/2006/relationships/worksheet" Target="worksheets/sheet8.xml"/><Relationship Id="rId12" Type="http://schemas.openxmlformats.org/officeDocument/2006/relationships/worksheet" Target="worksheets/sheet7.xml"/><Relationship Id="rId15" Type="http://schemas.openxmlformats.org/officeDocument/2006/relationships/worksheet" Target="worksheets/sheet10.xml"/><Relationship Id="rId14" Type="http://schemas.openxmlformats.org/officeDocument/2006/relationships/worksheet" Target="worksheets/sheet9.xml"/><Relationship Id="rId16" Type="http://schemas.openxmlformats.org/officeDocument/2006/relationships/worksheet" Target="worksheets/sheet1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noFill/>
            </a:ln>
          </c:spPr>
          <c:dPt>
            <c:idx val="35"/>
          </c:dPt>
          <c:dPt>
            <c:idx val="36"/>
          </c:dPt>
          <c:dPt>
            <c:idx val="37"/>
          </c:dPt>
          <c:dPt>
            <c:idx val="38"/>
          </c:dPt>
          <c:cat>
            <c:strRef>
              <c:f>Compilation!$O$9:$O$50</c:f>
            </c:strRef>
          </c:cat>
          <c:val>
            <c:numRef>
              <c:f>Compilation!$P$9:$P$50</c:f>
              <c:numCache/>
            </c:numRef>
          </c:val>
        </c:ser>
        <c:axId val="871785452"/>
        <c:axId val="1439002672"/>
      </c:barChart>
      <c:catAx>
        <c:axId val="8717854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Bytes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39002672"/>
      </c:catAx>
      <c:valAx>
        <c:axId val="143900267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7178545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Score</a:t>
            </a:r>
          </a:p>
        </c:rich>
      </c:tx>
      <c:overlay val="0"/>
    </c:title>
    <c:plotArea>
      <c:layout/>
      <c:barChart>
        <c:barDir val="bar"/>
        <c:ser>
          <c:idx val="0"/>
          <c:order val="0"/>
          <c:spPr>
            <a:solidFill>
              <a:schemeClr val="accent1"/>
            </a:solidFill>
            <a:ln cmpd="sng">
              <a:noFill/>
              <a:prstDash val="solid"/>
            </a:ln>
          </c:spPr>
          <c:dPt>
            <c:idx val="5"/>
          </c:dPt>
          <c:dPt>
            <c:idx val="15"/>
          </c:dPt>
          <c:dPt>
            <c:idx val="16"/>
          </c:dPt>
          <c:dLbls>
            <c:numFmt formatCode="General" sourceLinked="1"/>
            <c:txPr>
              <a:bodyPr/>
              <a:lstStyle/>
              <a:p>
                <a:pPr lvl="0">
                  <a:defRPr b="0" i="0">
                    <a:solidFill>
                      <a:srgbClr val="000000"/>
                    </a:solidFill>
                  </a:defRPr>
                </a:pPr>
              </a:p>
            </c:txPr>
            <c:showLegendKey val="0"/>
            <c:showVal val="1"/>
            <c:showCatName val="0"/>
            <c:showSerName val="0"/>
            <c:showPercent val="0"/>
            <c:showBubbleSize val="0"/>
          </c:dLbls>
          <c:cat>
            <c:strRef>
              <c:f>'Ranking (Score)'!$B$2:$B$1000</c:f>
            </c:strRef>
          </c:cat>
          <c:val>
            <c:numRef>
              <c:f>'Ranking (Score)'!$C$2:$C$1000</c:f>
              <c:numCache/>
            </c:numRef>
          </c:val>
        </c:ser>
        <c:axId val="216561784"/>
        <c:axId val="529675082"/>
      </c:barChart>
      <c:catAx>
        <c:axId val="21656178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Team</a:t>
                </a:r>
              </a:p>
            </c:rich>
          </c:tx>
          <c:overlay val="0"/>
        </c:title>
        <c:numFmt formatCode="General" sourceLinked="1"/>
        <c:majorTickMark val="none"/>
        <c:minorTickMark val="none"/>
        <c:spPr>
          <a:ln>
            <a:solidFill/>
          </a:ln>
        </c:spPr>
        <c:txPr>
          <a:bodyPr/>
          <a:lstStyle/>
          <a:p>
            <a:pPr lvl="0">
              <a:defRPr b="0" i="0">
                <a:solidFill>
                  <a:srgbClr val="000000"/>
                </a:solidFill>
                <a:latin typeface="+mn-lt"/>
              </a:defRPr>
            </a:pPr>
          </a:p>
        </c:txPr>
        <c:crossAx val="529675082"/>
      </c:catAx>
      <c:valAx>
        <c:axId val="529675082"/>
        <c:scaling>
          <c:orientation val="minMax"/>
          <c:max val="1000000.0"/>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Score</a:t>
                </a:r>
              </a:p>
            </c:rich>
          </c:tx>
          <c:overlay val="0"/>
        </c:title>
        <c:numFmt formatCode="#,k" sourceLinked="0"/>
        <c:majorTickMark val="none"/>
        <c:minorTickMark val="none"/>
        <c:tickLblPos val="nextTo"/>
        <c:spPr>
          <a:ln>
            <a:noFill/>
          </a:ln>
        </c:spPr>
        <c:txPr>
          <a:bodyPr/>
          <a:lstStyle/>
          <a:p>
            <a:pPr lvl="0">
              <a:defRPr b="0" i="0">
                <a:solidFill>
                  <a:srgbClr val="000000"/>
                </a:solidFill>
                <a:latin typeface="+mn-lt"/>
              </a:defRPr>
            </a:pPr>
          </a:p>
        </c:txPr>
        <c:crossAx val="216561784"/>
        <c:crosses val="max"/>
      </c:valAx>
    </c:plotArea>
    <c:plotVisOnly val="1"/>
  </c:chart>
  <c:spPr>
    <a:solidFill>
      <a:schemeClr val="lt1"/>
    </a:solidFill>
  </c:spPr>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Chart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4401800" cy="6905625"/>
    <xdr:graphicFrame>
      <xdr:nvGraphicFramePr>
        <xdr:cNvPr id="2" name="Chart 2" title="Diagram"/>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35</xdr:row>
      <xdr:rowOff>0</xdr:rowOff>
    </xdr:from>
    <xdr:ext cx="14401800" cy="6905625"/>
    <xdr:pic>
      <xdr:nvPicPr>
        <xdr:cNvPr id="2007567894" name="Chart3" title="Diagram">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Seek64/NeurIPS-Code-Golf-2025" TargetMode="External"/><Relationship Id="rId2" Type="http://schemas.openxmlformats.org/officeDocument/2006/relationships/hyperlink" Target="https://github.com/xsot/google-code-golf-2025" TargetMode="External"/><Relationship Id="rId3" Type="http://schemas.openxmlformats.org/officeDocument/2006/relationships/hyperlink" Target="https://docs.google.com/spreadsheets/d/1mjz6tYb2caNHD6-PktIrHBdiJda5TjXRqKcUaiTQc4E/edit?pli=1&amp;gid=310481599" TargetMode="External"/><Relationship Id="rId4" Type="http://schemas.openxmlformats.org/officeDocument/2006/relationships/hyperlink" Target="https://github.com/arc-code-golf/solutions"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90" Type="http://schemas.openxmlformats.org/officeDocument/2006/relationships/hyperlink" Target="https://arcprize.org/play?task=6c434453" TargetMode="External"/><Relationship Id="rId194" Type="http://schemas.openxmlformats.org/officeDocument/2006/relationships/hyperlink" Target="https://arcprize.org/play?task=6d0aefbc" TargetMode="External"/><Relationship Id="rId193" Type="http://schemas.openxmlformats.org/officeDocument/2006/relationships/hyperlink" Target="https://arcprize.org/play?task=6d0160f0" TargetMode="External"/><Relationship Id="rId192" Type="http://schemas.openxmlformats.org/officeDocument/2006/relationships/hyperlink" Target="https://arcprize.org/play?task=6cf79266" TargetMode="External"/><Relationship Id="rId191" Type="http://schemas.openxmlformats.org/officeDocument/2006/relationships/hyperlink" Target="https://arcprize.org/play?task=6cdd2623" TargetMode="External"/><Relationship Id="rId187" Type="http://schemas.openxmlformats.org/officeDocument/2006/relationships/hyperlink" Target="https://arcprize.org/play?task=68b16354" TargetMode="External"/><Relationship Id="rId186" Type="http://schemas.openxmlformats.org/officeDocument/2006/relationships/hyperlink" Target="https://arcprize.org/play?task=681b3aeb" TargetMode="External"/><Relationship Id="rId185" Type="http://schemas.openxmlformats.org/officeDocument/2006/relationships/hyperlink" Target="https://arcprize.org/play?task=67e8384a" TargetMode="External"/><Relationship Id="rId184" Type="http://schemas.openxmlformats.org/officeDocument/2006/relationships/hyperlink" Target="https://arcprize.org/play?task=67a423a3" TargetMode="External"/><Relationship Id="rId189" Type="http://schemas.openxmlformats.org/officeDocument/2006/relationships/hyperlink" Target="https://arcprize.org/play?task=6b9890af" TargetMode="External"/><Relationship Id="rId188" Type="http://schemas.openxmlformats.org/officeDocument/2006/relationships/hyperlink" Target="https://arcprize.org/play?task=694f12f3" TargetMode="External"/><Relationship Id="rId183" Type="http://schemas.openxmlformats.org/officeDocument/2006/relationships/hyperlink" Target="https://arcprize.org/play?task=67a3c6ac" TargetMode="External"/><Relationship Id="rId182" Type="http://schemas.openxmlformats.org/officeDocument/2006/relationships/hyperlink" Target="https://arcprize.org/play?task=6773b310" TargetMode="External"/><Relationship Id="rId181" Type="http://schemas.openxmlformats.org/officeDocument/2006/relationships/hyperlink" Target="https://arcprize.org/play?task=673ef223" TargetMode="External"/><Relationship Id="rId180" Type="http://schemas.openxmlformats.org/officeDocument/2006/relationships/hyperlink" Target="https://arcprize.org/play?task=67385a82" TargetMode="External"/><Relationship Id="rId176" Type="http://schemas.openxmlformats.org/officeDocument/2006/relationships/hyperlink" Target="https://arcprize.org/play?task=62c24649" TargetMode="External"/><Relationship Id="rId297" Type="http://schemas.openxmlformats.org/officeDocument/2006/relationships/hyperlink" Target="https://arcprize.org/play?task=b6afb2da" TargetMode="External"/><Relationship Id="rId175" Type="http://schemas.openxmlformats.org/officeDocument/2006/relationships/hyperlink" Target="https://arcprize.org/play?task=623ea044" TargetMode="External"/><Relationship Id="rId296" Type="http://schemas.openxmlformats.org/officeDocument/2006/relationships/hyperlink" Target="https://arcprize.org/play?task=b60334d2" TargetMode="External"/><Relationship Id="rId174" Type="http://schemas.openxmlformats.org/officeDocument/2006/relationships/hyperlink" Target="https://arcprize.org/play?task=6150a2bd" TargetMode="External"/><Relationship Id="rId295" Type="http://schemas.openxmlformats.org/officeDocument/2006/relationships/hyperlink" Target="https://arcprize.org/play?task=b548a754" TargetMode="External"/><Relationship Id="rId173" Type="http://schemas.openxmlformats.org/officeDocument/2006/relationships/hyperlink" Target="https://arcprize.org/play?task=60b61512" TargetMode="External"/><Relationship Id="rId294" Type="http://schemas.openxmlformats.org/officeDocument/2006/relationships/hyperlink" Target="https://arcprize.org/play?task=b527c5c6" TargetMode="External"/><Relationship Id="rId179" Type="http://schemas.openxmlformats.org/officeDocument/2006/relationships/hyperlink" Target="https://arcprize.org/play?task=662c240a" TargetMode="External"/><Relationship Id="rId178" Type="http://schemas.openxmlformats.org/officeDocument/2006/relationships/hyperlink" Target="https://arcprize.org/play?task=6430c8c4" TargetMode="External"/><Relationship Id="rId299" Type="http://schemas.openxmlformats.org/officeDocument/2006/relationships/hyperlink" Target="https://arcprize.org/play?task=b782dc8a" TargetMode="External"/><Relationship Id="rId177" Type="http://schemas.openxmlformats.org/officeDocument/2006/relationships/hyperlink" Target="https://arcprize.org/play?task=63613498" TargetMode="External"/><Relationship Id="rId298" Type="http://schemas.openxmlformats.org/officeDocument/2006/relationships/hyperlink" Target="https://arcprize.org/play?task=b7249182" TargetMode="External"/><Relationship Id="rId198" Type="http://schemas.openxmlformats.org/officeDocument/2006/relationships/hyperlink" Target="https://arcprize.org/play?task=6e19193c" TargetMode="External"/><Relationship Id="rId197" Type="http://schemas.openxmlformats.org/officeDocument/2006/relationships/hyperlink" Target="https://arcprize.org/play?task=6e02f1e3" TargetMode="External"/><Relationship Id="rId196" Type="http://schemas.openxmlformats.org/officeDocument/2006/relationships/hyperlink" Target="https://arcprize.org/play?task=6d75e8bb" TargetMode="External"/><Relationship Id="rId195" Type="http://schemas.openxmlformats.org/officeDocument/2006/relationships/hyperlink" Target="https://arcprize.org/play?task=6d58a25d" TargetMode="External"/><Relationship Id="rId199" Type="http://schemas.openxmlformats.org/officeDocument/2006/relationships/hyperlink" Target="https://arcprize.org/play?task=6e82a1ae" TargetMode="External"/><Relationship Id="rId150" Type="http://schemas.openxmlformats.org/officeDocument/2006/relationships/hyperlink" Target="https://arcprize.org/play?task=48d8fb45" TargetMode="External"/><Relationship Id="rId271" Type="http://schemas.openxmlformats.org/officeDocument/2006/relationships/hyperlink" Target="https://arcprize.org/play?task=a61ba2ce" TargetMode="External"/><Relationship Id="rId392" Type="http://schemas.openxmlformats.org/officeDocument/2006/relationships/hyperlink" Target="https://arcprize.org/play?task=f8c80d96" TargetMode="External"/><Relationship Id="rId270" Type="http://schemas.openxmlformats.org/officeDocument/2006/relationships/hyperlink" Target="https://arcprize.org/play?task=a5f85a15" TargetMode="External"/><Relationship Id="rId391" Type="http://schemas.openxmlformats.org/officeDocument/2006/relationships/hyperlink" Target="https://arcprize.org/play?task=f8b3ba0a" TargetMode="External"/><Relationship Id="rId390" Type="http://schemas.openxmlformats.org/officeDocument/2006/relationships/hyperlink" Target="https://arcprize.org/play?task=f8a8fe49" TargetMode="External"/><Relationship Id="rId1" Type="http://schemas.openxmlformats.org/officeDocument/2006/relationships/hyperlink" Target="https://arcprize.org/play?task=a64e4611" TargetMode="External"/><Relationship Id="rId2" Type="http://schemas.openxmlformats.org/officeDocument/2006/relationships/hyperlink" Target="https://arcprize.org/play?task=db93a21d" TargetMode="External"/><Relationship Id="rId3" Type="http://schemas.openxmlformats.org/officeDocument/2006/relationships/hyperlink" Target="https://arcprize.org/play?task=d07ae81c" TargetMode="External"/><Relationship Id="rId149" Type="http://schemas.openxmlformats.org/officeDocument/2006/relationships/hyperlink" Target="https://arcprize.org/play?task=484b58aa" TargetMode="External"/><Relationship Id="rId4" Type="http://schemas.openxmlformats.org/officeDocument/2006/relationships/hyperlink" Target="https://arcprize.org/play?task=f35d900a" TargetMode="External"/><Relationship Id="rId148" Type="http://schemas.openxmlformats.org/officeDocument/2006/relationships/hyperlink" Target="https://arcprize.org/play?task=47c1f68c" TargetMode="External"/><Relationship Id="rId269" Type="http://schemas.openxmlformats.org/officeDocument/2006/relationships/hyperlink" Target="https://arcprize.org/play?task=a5313dff" TargetMode="External"/><Relationship Id="rId9" Type="http://schemas.openxmlformats.org/officeDocument/2006/relationships/hyperlink" Target="https://arcprize.org/play?task=6a1e5592" TargetMode="External"/><Relationship Id="rId143" Type="http://schemas.openxmlformats.org/officeDocument/2006/relationships/hyperlink" Target="https://arcprize.org/play?task=44f52bb0" TargetMode="External"/><Relationship Id="rId264" Type="http://schemas.openxmlformats.org/officeDocument/2006/relationships/hyperlink" Target="https://arcprize.org/play?task=a2fd1cf0" TargetMode="External"/><Relationship Id="rId385" Type="http://schemas.openxmlformats.org/officeDocument/2006/relationships/hyperlink" Target="https://arcprize.org/play?task=f25fbde4" TargetMode="External"/><Relationship Id="rId142" Type="http://schemas.openxmlformats.org/officeDocument/2006/relationships/hyperlink" Target="https://arcprize.org/play?task=44d8ac46" TargetMode="External"/><Relationship Id="rId263" Type="http://schemas.openxmlformats.org/officeDocument/2006/relationships/hyperlink" Target="https://arcprize.org/play?task=9f236235" TargetMode="External"/><Relationship Id="rId384" Type="http://schemas.openxmlformats.org/officeDocument/2006/relationships/hyperlink" Target="https://arcprize.org/play?task=f1cefba8" TargetMode="External"/><Relationship Id="rId141" Type="http://schemas.openxmlformats.org/officeDocument/2006/relationships/hyperlink" Target="https://arcprize.org/play?task=445eab21" TargetMode="External"/><Relationship Id="rId262" Type="http://schemas.openxmlformats.org/officeDocument/2006/relationships/hyperlink" Target="https://arcprize.org/play?task=9edfc990" TargetMode="External"/><Relationship Id="rId383" Type="http://schemas.openxmlformats.org/officeDocument/2006/relationships/hyperlink" Target="https://arcprize.org/play?task=ef135b50" TargetMode="External"/><Relationship Id="rId140" Type="http://schemas.openxmlformats.org/officeDocument/2006/relationships/hyperlink" Target="https://arcprize.org/play?task=444801d8" TargetMode="External"/><Relationship Id="rId261" Type="http://schemas.openxmlformats.org/officeDocument/2006/relationships/hyperlink" Target="https://arcprize.org/play?task=9ecd008a" TargetMode="External"/><Relationship Id="rId382" Type="http://schemas.openxmlformats.org/officeDocument/2006/relationships/hyperlink" Target="https://arcprize.org/play?task=ed36ccf7" TargetMode="External"/><Relationship Id="rId5" Type="http://schemas.openxmlformats.org/officeDocument/2006/relationships/hyperlink" Target="https://arcprize.org/play?task=39e1d7f9" TargetMode="External"/><Relationship Id="rId147" Type="http://schemas.openxmlformats.org/officeDocument/2006/relationships/hyperlink" Target="https://arcprize.org/play?task=469497ad" TargetMode="External"/><Relationship Id="rId268" Type="http://schemas.openxmlformats.org/officeDocument/2006/relationships/hyperlink" Target="https://arcprize.org/play?task=a48eeaf7" TargetMode="External"/><Relationship Id="rId389" Type="http://schemas.openxmlformats.org/officeDocument/2006/relationships/hyperlink" Target="https://arcprize.org/play?task=f76d97a5" TargetMode="External"/><Relationship Id="rId6" Type="http://schemas.openxmlformats.org/officeDocument/2006/relationships/hyperlink" Target="https://arcprize.org/play?task=6855a6e4" TargetMode="External"/><Relationship Id="rId146" Type="http://schemas.openxmlformats.org/officeDocument/2006/relationships/hyperlink" Target="https://arcprize.org/play?task=46442a0e" TargetMode="External"/><Relationship Id="rId267" Type="http://schemas.openxmlformats.org/officeDocument/2006/relationships/hyperlink" Target="https://arcprize.org/play?task=a416b8f3" TargetMode="External"/><Relationship Id="rId388" Type="http://schemas.openxmlformats.org/officeDocument/2006/relationships/hyperlink" Target="https://arcprize.org/play?task=f5b8619d" TargetMode="External"/><Relationship Id="rId7" Type="http://schemas.openxmlformats.org/officeDocument/2006/relationships/hyperlink" Target="https://arcprize.org/play?task=90f3ed37" TargetMode="External"/><Relationship Id="rId145" Type="http://schemas.openxmlformats.org/officeDocument/2006/relationships/hyperlink" Target="https://arcprize.org/play?task=4612dd53" TargetMode="External"/><Relationship Id="rId266" Type="http://schemas.openxmlformats.org/officeDocument/2006/relationships/hyperlink" Target="https://arcprize.org/play?task=a3df8b1e" TargetMode="External"/><Relationship Id="rId387" Type="http://schemas.openxmlformats.org/officeDocument/2006/relationships/hyperlink" Target="https://arcprize.org/play?task=f2829549" TargetMode="External"/><Relationship Id="rId8" Type="http://schemas.openxmlformats.org/officeDocument/2006/relationships/hyperlink" Target="https://arcprize.org/play?task=0e206a2e" TargetMode="External"/><Relationship Id="rId144" Type="http://schemas.openxmlformats.org/officeDocument/2006/relationships/hyperlink" Target="https://arcprize.org/play?task=4522001f" TargetMode="External"/><Relationship Id="rId265" Type="http://schemas.openxmlformats.org/officeDocument/2006/relationships/hyperlink" Target="https://arcprize.org/play?task=a3325580" TargetMode="External"/><Relationship Id="rId386" Type="http://schemas.openxmlformats.org/officeDocument/2006/relationships/hyperlink" Target="https://arcprize.org/play?task=f25ffba3" TargetMode="External"/><Relationship Id="rId260" Type="http://schemas.openxmlformats.org/officeDocument/2006/relationships/hyperlink" Target="https://arcprize.org/play?task=9dfd6313" TargetMode="External"/><Relationship Id="rId381" Type="http://schemas.openxmlformats.org/officeDocument/2006/relationships/hyperlink" Target="https://arcprize.org/play?task=ecdecbb3" TargetMode="External"/><Relationship Id="rId380" Type="http://schemas.openxmlformats.org/officeDocument/2006/relationships/hyperlink" Target="https://arcprize.org/play?task=ec883f72" TargetMode="External"/><Relationship Id="rId139" Type="http://schemas.openxmlformats.org/officeDocument/2006/relationships/hyperlink" Target="https://arcprize.org/play?task=4347f46a" TargetMode="External"/><Relationship Id="rId138" Type="http://schemas.openxmlformats.org/officeDocument/2006/relationships/hyperlink" Target="https://arcprize.org/play?task=42a50994" TargetMode="External"/><Relationship Id="rId259" Type="http://schemas.openxmlformats.org/officeDocument/2006/relationships/hyperlink" Target="https://arcprize.org/play?task=9d9215db" TargetMode="External"/><Relationship Id="rId137" Type="http://schemas.openxmlformats.org/officeDocument/2006/relationships/hyperlink" Target="https://arcprize.org/play?task=4258a5f9" TargetMode="External"/><Relationship Id="rId258" Type="http://schemas.openxmlformats.org/officeDocument/2006/relationships/hyperlink" Target="https://arcprize.org/play?task=9af7a82c" TargetMode="External"/><Relationship Id="rId379" Type="http://schemas.openxmlformats.org/officeDocument/2006/relationships/hyperlink" Target="https://arcprize.org/play?task=eb5a1d5d" TargetMode="External"/><Relationship Id="rId132" Type="http://schemas.openxmlformats.org/officeDocument/2006/relationships/hyperlink" Target="https://arcprize.org/play?task=3de23699" TargetMode="External"/><Relationship Id="rId253" Type="http://schemas.openxmlformats.org/officeDocument/2006/relationships/hyperlink" Target="https://arcprize.org/play?task=98cf29f8" TargetMode="External"/><Relationship Id="rId374" Type="http://schemas.openxmlformats.org/officeDocument/2006/relationships/hyperlink" Target="https://arcprize.org/play?task=e98196ab" TargetMode="External"/><Relationship Id="rId131" Type="http://schemas.openxmlformats.org/officeDocument/2006/relationships/hyperlink" Target="https://arcprize.org/play?task=3c9b0459" TargetMode="External"/><Relationship Id="rId252" Type="http://schemas.openxmlformats.org/officeDocument/2006/relationships/hyperlink" Target="https://arcprize.org/play?task=97999447" TargetMode="External"/><Relationship Id="rId373" Type="http://schemas.openxmlformats.org/officeDocument/2006/relationships/hyperlink" Target="https://arcprize.org/play?task=e9614598" TargetMode="External"/><Relationship Id="rId130" Type="http://schemas.openxmlformats.org/officeDocument/2006/relationships/hyperlink" Target="https://arcprize.org/play?task=3befdf3e" TargetMode="External"/><Relationship Id="rId251" Type="http://schemas.openxmlformats.org/officeDocument/2006/relationships/hyperlink" Target="https://arcprize.org/play?task=963e52fc" TargetMode="External"/><Relationship Id="rId372" Type="http://schemas.openxmlformats.org/officeDocument/2006/relationships/hyperlink" Target="https://arcprize.org/play?task=e8dc4411" TargetMode="External"/><Relationship Id="rId250" Type="http://schemas.openxmlformats.org/officeDocument/2006/relationships/hyperlink" Target="https://arcprize.org/play?task=95990924" TargetMode="External"/><Relationship Id="rId371" Type="http://schemas.openxmlformats.org/officeDocument/2006/relationships/hyperlink" Target="https://arcprize.org/play?task=e8593010" TargetMode="External"/><Relationship Id="rId136" Type="http://schemas.openxmlformats.org/officeDocument/2006/relationships/hyperlink" Target="https://arcprize.org/play?task=41e4d17e" TargetMode="External"/><Relationship Id="rId257" Type="http://schemas.openxmlformats.org/officeDocument/2006/relationships/hyperlink" Target="https://arcprize.org/play?task=9aec4887" TargetMode="External"/><Relationship Id="rId378" Type="http://schemas.openxmlformats.org/officeDocument/2006/relationships/hyperlink" Target="https://arcprize.org/play?task=eb281b96" TargetMode="External"/><Relationship Id="rId135" Type="http://schemas.openxmlformats.org/officeDocument/2006/relationships/hyperlink" Target="https://arcprize.org/play?task=4093f84a" TargetMode="External"/><Relationship Id="rId256" Type="http://schemas.openxmlformats.org/officeDocument/2006/relationships/hyperlink" Target="https://arcprize.org/play?task=99fa7670" TargetMode="External"/><Relationship Id="rId377" Type="http://schemas.openxmlformats.org/officeDocument/2006/relationships/hyperlink" Target="https://arcprize.org/play?task=ea786f4a" TargetMode="External"/><Relationship Id="rId134" Type="http://schemas.openxmlformats.org/officeDocument/2006/relationships/hyperlink" Target="https://arcprize.org/play?task=40853293" TargetMode="External"/><Relationship Id="rId255" Type="http://schemas.openxmlformats.org/officeDocument/2006/relationships/hyperlink" Target="https://arcprize.org/play?task=99b1bc43" TargetMode="External"/><Relationship Id="rId376" Type="http://schemas.openxmlformats.org/officeDocument/2006/relationships/hyperlink" Target="https://arcprize.org/play?task=ea32f347" TargetMode="External"/><Relationship Id="rId133" Type="http://schemas.openxmlformats.org/officeDocument/2006/relationships/hyperlink" Target="https://arcprize.org/play?task=3f7978a0" TargetMode="External"/><Relationship Id="rId254" Type="http://schemas.openxmlformats.org/officeDocument/2006/relationships/hyperlink" Target="https://arcprize.org/play?task=995c5fa3" TargetMode="External"/><Relationship Id="rId375" Type="http://schemas.openxmlformats.org/officeDocument/2006/relationships/hyperlink" Target="https://arcprize.org/play?task=e9afcf9a" TargetMode="External"/><Relationship Id="rId172" Type="http://schemas.openxmlformats.org/officeDocument/2006/relationships/hyperlink" Target="https://arcprize.org/play?task=5c2c9af4" TargetMode="External"/><Relationship Id="rId293" Type="http://schemas.openxmlformats.org/officeDocument/2006/relationships/hyperlink" Target="https://arcprize.org/play?task=b2862040" TargetMode="External"/><Relationship Id="rId171" Type="http://schemas.openxmlformats.org/officeDocument/2006/relationships/hyperlink" Target="https://arcprize.org/play?task=5c0a986e" TargetMode="External"/><Relationship Id="rId292" Type="http://schemas.openxmlformats.org/officeDocument/2006/relationships/hyperlink" Target="https://arcprize.org/play?task=b27ca6d3" TargetMode="External"/><Relationship Id="rId170" Type="http://schemas.openxmlformats.org/officeDocument/2006/relationships/hyperlink" Target="https://arcprize.org/play?task=5bd6f4ac" TargetMode="External"/><Relationship Id="rId291" Type="http://schemas.openxmlformats.org/officeDocument/2006/relationships/hyperlink" Target="https://arcprize.org/play?task=b1948b0a" TargetMode="External"/><Relationship Id="rId290" Type="http://schemas.openxmlformats.org/officeDocument/2006/relationships/hyperlink" Target="https://arcprize.org/play?task=b190f7f5" TargetMode="External"/><Relationship Id="rId165" Type="http://schemas.openxmlformats.org/officeDocument/2006/relationships/hyperlink" Target="https://arcprize.org/play?task=5582e5ca" TargetMode="External"/><Relationship Id="rId286" Type="http://schemas.openxmlformats.org/officeDocument/2006/relationships/hyperlink" Target="https://arcprize.org/play?task=ae4f1146" TargetMode="External"/><Relationship Id="rId164" Type="http://schemas.openxmlformats.org/officeDocument/2006/relationships/hyperlink" Target="https://arcprize.org/play?task=5521c0d9" TargetMode="External"/><Relationship Id="rId285" Type="http://schemas.openxmlformats.org/officeDocument/2006/relationships/hyperlink" Target="https://arcprize.org/play?task=ac0a08a4" TargetMode="External"/><Relationship Id="rId163" Type="http://schemas.openxmlformats.org/officeDocument/2006/relationships/hyperlink" Target="https://arcprize.org/play?task=54d9e175" TargetMode="External"/><Relationship Id="rId284" Type="http://schemas.openxmlformats.org/officeDocument/2006/relationships/hyperlink" Target="https://arcprize.org/play?task=aba27056" TargetMode="External"/><Relationship Id="rId162" Type="http://schemas.openxmlformats.org/officeDocument/2006/relationships/hyperlink" Target="https://arcprize.org/play?task=54d82841" TargetMode="External"/><Relationship Id="rId283" Type="http://schemas.openxmlformats.org/officeDocument/2006/relationships/hyperlink" Target="https://arcprize.org/play?task=aabf363d" TargetMode="External"/><Relationship Id="rId169" Type="http://schemas.openxmlformats.org/officeDocument/2006/relationships/hyperlink" Target="https://arcprize.org/play?task=5ad4f10b" TargetMode="External"/><Relationship Id="rId168" Type="http://schemas.openxmlformats.org/officeDocument/2006/relationships/hyperlink" Target="https://arcprize.org/play?task=56ff96f3" TargetMode="External"/><Relationship Id="rId289" Type="http://schemas.openxmlformats.org/officeDocument/2006/relationships/hyperlink" Target="https://arcprize.org/play?task=b0c4d837" TargetMode="External"/><Relationship Id="rId167" Type="http://schemas.openxmlformats.org/officeDocument/2006/relationships/hyperlink" Target="https://arcprize.org/play?task=56dc2b01" TargetMode="External"/><Relationship Id="rId288" Type="http://schemas.openxmlformats.org/officeDocument/2006/relationships/hyperlink" Target="https://arcprize.org/play?task=af902bf9" TargetMode="External"/><Relationship Id="rId166" Type="http://schemas.openxmlformats.org/officeDocument/2006/relationships/hyperlink" Target="https://arcprize.org/play?task=5614dbcf" TargetMode="External"/><Relationship Id="rId287" Type="http://schemas.openxmlformats.org/officeDocument/2006/relationships/hyperlink" Target="https://arcprize.org/play?task=aedd82e4" TargetMode="External"/><Relationship Id="rId161" Type="http://schemas.openxmlformats.org/officeDocument/2006/relationships/hyperlink" Target="https://arcprize.org/play?task=543a7ed5" TargetMode="External"/><Relationship Id="rId282" Type="http://schemas.openxmlformats.org/officeDocument/2006/relationships/hyperlink" Target="https://arcprize.org/play?task=a9f96cdd" TargetMode="External"/><Relationship Id="rId160" Type="http://schemas.openxmlformats.org/officeDocument/2006/relationships/hyperlink" Target="https://arcprize.org/play?task=53b68214" TargetMode="External"/><Relationship Id="rId281" Type="http://schemas.openxmlformats.org/officeDocument/2006/relationships/hyperlink" Target="https://arcprize.org/play?task=a8d7556c" TargetMode="External"/><Relationship Id="rId280" Type="http://schemas.openxmlformats.org/officeDocument/2006/relationships/hyperlink" Target="https://arcprize.org/play?task=a87f7484" TargetMode="External"/><Relationship Id="rId159" Type="http://schemas.openxmlformats.org/officeDocument/2006/relationships/hyperlink" Target="https://arcprize.org/play?task=539a4f51" TargetMode="External"/><Relationship Id="rId154" Type="http://schemas.openxmlformats.org/officeDocument/2006/relationships/hyperlink" Target="https://arcprize.org/play?task=4be741c5" TargetMode="External"/><Relationship Id="rId275" Type="http://schemas.openxmlformats.org/officeDocument/2006/relationships/hyperlink" Target="https://arcprize.org/play?task=a699fb00" TargetMode="External"/><Relationship Id="rId396" Type="http://schemas.openxmlformats.org/officeDocument/2006/relationships/hyperlink" Target="https://arcprize.org/play?task=fcc82909" TargetMode="External"/><Relationship Id="rId153" Type="http://schemas.openxmlformats.org/officeDocument/2006/relationships/hyperlink" Target="https://arcprize.org/play?task=49d1d64f" TargetMode="External"/><Relationship Id="rId274" Type="http://schemas.openxmlformats.org/officeDocument/2006/relationships/hyperlink" Target="https://arcprize.org/play?task=a68b268e" TargetMode="External"/><Relationship Id="rId395" Type="http://schemas.openxmlformats.org/officeDocument/2006/relationships/hyperlink" Target="https://arcprize.org/play?task=fafffa47" TargetMode="External"/><Relationship Id="rId152" Type="http://schemas.openxmlformats.org/officeDocument/2006/relationships/hyperlink" Target="https://arcprize.org/play?task=496994bd" TargetMode="External"/><Relationship Id="rId273" Type="http://schemas.openxmlformats.org/officeDocument/2006/relationships/hyperlink" Target="https://arcprize.org/play?task=a65b410d" TargetMode="External"/><Relationship Id="rId394" Type="http://schemas.openxmlformats.org/officeDocument/2006/relationships/hyperlink" Target="https://arcprize.org/play?task=f9012d9b" TargetMode="External"/><Relationship Id="rId151" Type="http://schemas.openxmlformats.org/officeDocument/2006/relationships/hyperlink" Target="https://arcprize.org/play?task=4938f0c2" TargetMode="External"/><Relationship Id="rId272" Type="http://schemas.openxmlformats.org/officeDocument/2006/relationships/hyperlink" Target="https://arcprize.org/play?task=a61f2674" TargetMode="External"/><Relationship Id="rId393" Type="http://schemas.openxmlformats.org/officeDocument/2006/relationships/hyperlink" Target="https://arcprize.org/play?task=f8ff0b80" TargetMode="External"/><Relationship Id="rId158" Type="http://schemas.openxmlformats.org/officeDocument/2006/relationships/hyperlink" Target="https://arcprize.org/play?task=5168d44c" TargetMode="External"/><Relationship Id="rId279" Type="http://schemas.openxmlformats.org/officeDocument/2006/relationships/hyperlink" Target="https://arcprize.org/play?task=a85d4709" TargetMode="External"/><Relationship Id="rId157" Type="http://schemas.openxmlformats.org/officeDocument/2006/relationships/hyperlink" Target="https://arcprize.org/play?task=508bd3b6" TargetMode="External"/><Relationship Id="rId278" Type="http://schemas.openxmlformats.org/officeDocument/2006/relationships/hyperlink" Target="https://arcprize.org/play?task=a79310a0" TargetMode="External"/><Relationship Id="rId399" Type="http://schemas.openxmlformats.org/officeDocument/2006/relationships/hyperlink" Target="https://arcprize.org/play?task=ff805c23" TargetMode="External"/><Relationship Id="rId156" Type="http://schemas.openxmlformats.org/officeDocument/2006/relationships/hyperlink" Target="https://arcprize.org/play?task=4c5c2cf0" TargetMode="External"/><Relationship Id="rId277" Type="http://schemas.openxmlformats.org/officeDocument/2006/relationships/hyperlink" Target="https://arcprize.org/play?task=a78176bb" TargetMode="External"/><Relationship Id="rId398" Type="http://schemas.openxmlformats.org/officeDocument/2006/relationships/hyperlink" Target="https://arcprize.org/play?task=ff28f65a" TargetMode="External"/><Relationship Id="rId155" Type="http://schemas.openxmlformats.org/officeDocument/2006/relationships/hyperlink" Target="https://arcprize.org/play?task=4c4377d9" TargetMode="External"/><Relationship Id="rId276" Type="http://schemas.openxmlformats.org/officeDocument/2006/relationships/hyperlink" Target="https://arcprize.org/play?task=a740d043" TargetMode="External"/><Relationship Id="rId397" Type="http://schemas.openxmlformats.org/officeDocument/2006/relationships/hyperlink" Target="https://arcprize.org/play?task=feca6190" TargetMode="External"/><Relationship Id="rId40" Type="http://schemas.openxmlformats.org/officeDocument/2006/relationships/hyperlink" Target="https://arcprize.org/play?task=88a62173" TargetMode="External"/><Relationship Id="rId42" Type="http://schemas.openxmlformats.org/officeDocument/2006/relationships/hyperlink" Target="https://arcprize.org/play?task=e40b9e2f" TargetMode="External"/><Relationship Id="rId41" Type="http://schemas.openxmlformats.org/officeDocument/2006/relationships/hyperlink" Target="https://arcprize.org/play?task=952a094c" TargetMode="External"/><Relationship Id="rId44" Type="http://schemas.openxmlformats.org/officeDocument/2006/relationships/hyperlink" Target="https://arcprize.org/play?task=05f2a901" TargetMode="External"/><Relationship Id="rId43" Type="http://schemas.openxmlformats.org/officeDocument/2006/relationships/hyperlink" Target="https://arcprize.org/play?task=00d62c1b" TargetMode="External"/><Relationship Id="rId46" Type="http://schemas.openxmlformats.org/officeDocument/2006/relationships/hyperlink" Target="https://arcprize.org/play?task=0dfd9992" TargetMode="External"/><Relationship Id="rId45" Type="http://schemas.openxmlformats.org/officeDocument/2006/relationships/hyperlink" Target="https://arcprize.org/play?task=09629e4f" TargetMode="External"/><Relationship Id="rId48" Type="http://schemas.openxmlformats.org/officeDocument/2006/relationships/hyperlink" Target="https://arcprize.org/play?task=3345333e" TargetMode="External"/><Relationship Id="rId47" Type="http://schemas.openxmlformats.org/officeDocument/2006/relationships/hyperlink" Target="https://arcprize.org/play?task=150deff5" TargetMode="External"/><Relationship Id="rId49" Type="http://schemas.openxmlformats.org/officeDocument/2006/relationships/hyperlink" Target="https://arcprize.org/play?task=3eda0437" TargetMode="External"/><Relationship Id="rId31" Type="http://schemas.openxmlformats.org/officeDocument/2006/relationships/hyperlink" Target="https://arcprize.org/play?task=c8cbb738" TargetMode="External"/><Relationship Id="rId30" Type="http://schemas.openxmlformats.org/officeDocument/2006/relationships/hyperlink" Target="https://arcprize.org/play?task=b775ac94" TargetMode="External"/><Relationship Id="rId33" Type="http://schemas.openxmlformats.org/officeDocument/2006/relationships/hyperlink" Target="https://arcprize.org/play?task=3e980e27" TargetMode="External"/><Relationship Id="rId32" Type="http://schemas.openxmlformats.org/officeDocument/2006/relationships/hyperlink" Target="https://arcprize.org/play?task=239be575" TargetMode="External"/><Relationship Id="rId35" Type="http://schemas.openxmlformats.org/officeDocument/2006/relationships/hyperlink" Target="https://arcprize.org/play?task=8a004b2b" TargetMode="External"/><Relationship Id="rId34" Type="http://schemas.openxmlformats.org/officeDocument/2006/relationships/hyperlink" Target="https://arcprize.org/play?task=50846271" TargetMode="External"/><Relationship Id="rId37" Type="http://schemas.openxmlformats.org/officeDocument/2006/relationships/hyperlink" Target="https://arcprize.org/play?task=46f33fce" TargetMode="External"/><Relationship Id="rId36" Type="http://schemas.openxmlformats.org/officeDocument/2006/relationships/hyperlink" Target="https://arcprize.org/play?task=1caeab9d" TargetMode="External"/><Relationship Id="rId39" Type="http://schemas.openxmlformats.org/officeDocument/2006/relationships/hyperlink" Target="https://arcprize.org/play?task=846bdb03" TargetMode="External"/><Relationship Id="rId38" Type="http://schemas.openxmlformats.org/officeDocument/2006/relationships/hyperlink" Target="https://arcprize.org/play?task=5daaa586" TargetMode="External"/><Relationship Id="rId20" Type="http://schemas.openxmlformats.org/officeDocument/2006/relationships/hyperlink" Target="https://arcprize.org/play?task=8d510a79" TargetMode="External"/><Relationship Id="rId22" Type="http://schemas.openxmlformats.org/officeDocument/2006/relationships/hyperlink" Target="https://arcprize.org/play?task=d4f3cd78" TargetMode="External"/><Relationship Id="rId21" Type="http://schemas.openxmlformats.org/officeDocument/2006/relationships/hyperlink" Target="https://arcprize.org/play?task=97a05b5b" TargetMode="External"/><Relationship Id="rId24" Type="http://schemas.openxmlformats.org/officeDocument/2006/relationships/hyperlink" Target="https://arcprize.org/play?task=228f6490" TargetMode="External"/><Relationship Id="rId23" Type="http://schemas.openxmlformats.org/officeDocument/2006/relationships/hyperlink" Target="https://arcprize.org/play?task=f15e1fac" TargetMode="External"/><Relationship Id="rId26" Type="http://schemas.openxmlformats.org/officeDocument/2006/relationships/hyperlink" Target="https://arcprize.org/play?task=447fd412" TargetMode="External"/><Relationship Id="rId25" Type="http://schemas.openxmlformats.org/officeDocument/2006/relationships/hyperlink" Target="https://arcprize.org/play?task=36d67576" TargetMode="External"/><Relationship Id="rId28" Type="http://schemas.openxmlformats.org/officeDocument/2006/relationships/hyperlink" Target="https://arcprize.org/play?task=72322fa7" TargetMode="External"/><Relationship Id="rId27" Type="http://schemas.openxmlformats.org/officeDocument/2006/relationships/hyperlink" Target="https://arcprize.org/play?task=50cb2852" TargetMode="External"/><Relationship Id="rId400" Type="http://schemas.openxmlformats.org/officeDocument/2006/relationships/drawing" Target="../drawings/drawing2.xml"/><Relationship Id="rId29" Type="http://schemas.openxmlformats.org/officeDocument/2006/relationships/hyperlink" Target="https://arcprize.org/play?task=a1570a43" TargetMode="External"/><Relationship Id="rId11" Type="http://schemas.openxmlformats.org/officeDocument/2006/relationships/hyperlink" Target="https://arcprize.org/play?task=810b9b61" TargetMode="External"/><Relationship Id="rId10" Type="http://schemas.openxmlformats.org/officeDocument/2006/relationships/hyperlink" Target="https://arcprize.org/play?task=6aa20dc0" TargetMode="External"/><Relationship Id="rId13" Type="http://schemas.openxmlformats.org/officeDocument/2006/relationships/hyperlink" Target="https://arcprize.org/play?task=e76a88a6" TargetMode="External"/><Relationship Id="rId12" Type="http://schemas.openxmlformats.org/officeDocument/2006/relationships/hyperlink" Target="https://arcprize.org/play?task=e6721834" TargetMode="External"/><Relationship Id="rId15" Type="http://schemas.openxmlformats.org/officeDocument/2006/relationships/hyperlink" Target="https://arcprize.org/play?task=264363fd" TargetMode="External"/><Relationship Id="rId14" Type="http://schemas.openxmlformats.org/officeDocument/2006/relationships/hyperlink" Target="https://arcprize.org/play?task=11852cab" TargetMode="External"/><Relationship Id="rId17" Type="http://schemas.openxmlformats.org/officeDocument/2006/relationships/hyperlink" Target="https://arcprize.org/play?task=4290ef0e" TargetMode="External"/><Relationship Id="rId16" Type="http://schemas.openxmlformats.org/officeDocument/2006/relationships/hyperlink" Target="https://arcprize.org/play?task=2dd70a9a" TargetMode="External"/><Relationship Id="rId19" Type="http://schemas.openxmlformats.org/officeDocument/2006/relationships/hyperlink" Target="https://arcprize.org/play?task=83302e8f" TargetMode="External"/><Relationship Id="rId18" Type="http://schemas.openxmlformats.org/officeDocument/2006/relationships/hyperlink" Target="https://arcprize.org/play?task=57aa92db" TargetMode="External"/><Relationship Id="rId84" Type="http://schemas.openxmlformats.org/officeDocument/2006/relationships/hyperlink" Target="https://arcprize.org/play?task=1e32b0e9" TargetMode="External"/><Relationship Id="rId83" Type="http://schemas.openxmlformats.org/officeDocument/2006/relationships/hyperlink" Target="https://arcprize.org/play?task=1e0a9b12" TargetMode="External"/><Relationship Id="rId86" Type="http://schemas.openxmlformats.org/officeDocument/2006/relationships/hyperlink" Target="https://arcprize.org/play?task=1f642eb9" TargetMode="External"/><Relationship Id="rId85" Type="http://schemas.openxmlformats.org/officeDocument/2006/relationships/hyperlink" Target="https://arcprize.org/play?task=1f0c79e5" TargetMode="External"/><Relationship Id="rId88" Type="http://schemas.openxmlformats.org/officeDocument/2006/relationships/hyperlink" Target="https://arcprize.org/play?task=1f876c06" TargetMode="External"/><Relationship Id="rId87" Type="http://schemas.openxmlformats.org/officeDocument/2006/relationships/hyperlink" Target="https://arcprize.org/play?task=1f85a75f" TargetMode="External"/><Relationship Id="rId89" Type="http://schemas.openxmlformats.org/officeDocument/2006/relationships/hyperlink" Target="https://arcprize.org/play?task=1fad071e" TargetMode="External"/><Relationship Id="rId80" Type="http://schemas.openxmlformats.org/officeDocument/2006/relationships/hyperlink" Target="https://arcprize.org/play?task=1bfc4729" TargetMode="External"/><Relationship Id="rId82" Type="http://schemas.openxmlformats.org/officeDocument/2006/relationships/hyperlink" Target="https://arcprize.org/play?task=1cf80156" TargetMode="External"/><Relationship Id="rId81" Type="http://schemas.openxmlformats.org/officeDocument/2006/relationships/hyperlink" Target="https://arcprize.org/play?task=1c786137" TargetMode="External"/><Relationship Id="rId73" Type="http://schemas.openxmlformats.org/officeDocument/2006/relationships/hyperlink" Target="https://arcprize.org/play?task=10fcaaa3" TargetMode="External"/><Relationship Id="rId72" Type="http://schemas.openxmlformats.org/officeDocument/2006/relationships/hyperlink" Target="https://arcprize.org/play?task=0d3d703e" TargetMode="External"/><Relationship Id="rId75" Type="http://schemas.openxmlformats.org/officeDocument/2006/relationships/hyperlink" Target="https://arcprize.org/play?task=137eaa0f" TargetMode="External"/><Relationship Id="rId74" Type="http://schemas.openxmlformats.org/officeDocument/2006/relationships/hyperlink" Target="https://arcprize.org/play?task=1190e5a7" TargetMode="External"/><Relationship Id="rId77" Type="http://schemas.openxmlformats.org/officeDocument/2006/relationships/hyperlink" Target="https://arcprize.org/play?task=1a07d186" TargetMode="External"/><Relationship Id="rId76" Type="http://schemas.openxmlformats.org/officeDocument/2006/relationships/hyperlink" Target="https://arcprize.org/play?task=178fcbfb" TargetMode="External"/><Relationship Id="rId79" Type="http://schemas.openxmlformats.org/officeDocument/2006/relationships/hyperlink" Target="https://arcprize.org/play?task=1b60fb0c" TargetMode="External"/><Relationship Id="rId78" Type="http://schemas.openxmlformats.org/officeDocument/2006/relationships/hyperlink" Target="https://arcprize.org/play?task=1b2d62fb" TargetMode="External"/><Relationship Id="rId71" Type="http://schemas.openxmlformats.org/officeDocument/2006/relationships/hyperlink" Target="https://arcprize.org/play?task=0ca9ddb6" TargetMode="External"/><Relationship Id="rId70" Type="http://schemas.openxmlformats.org/officeDocument/2006/relationships/hyperlink" Target="https://arcprize.org/play?task=0b148d64" TargetMode="External"/><Relationship Id="rId62" Type="http://schemas.openxmlformats.org/officeDocument/2006/relationships/hyperlink" Target="https://arcprize.org/play?task=025d127b" TargetMode="External"/><Relationship Id="rId61" Type="http://schemas.openxmlformats.org/officeDocument/2006/relationships/hyperlink" Target="https://arcprize.org/play?task=017c7c7b" TargetMode="External"/><Relationship Id="rId64" Type="http://schemas.openxmlformats.org/officeDocument/2006/relationships/hyperlink" Target="https://arcprize.org/play?task=0520fde7" TargetMode="External"/><Relationship Id="rId63" Type="http://schemas.openxmlformats.org/officeDocument/2006/relationships/hyperlink" Target="https://arcprize.org/play?task=045e512c" TargetMode="External"/><Relationship Id="rId66" Type="http://schemas.openxmlformats.org/officeDocument/2006/relationships/hyperlink" Target="https://arcprize.org/play?task=06df4c85" TargetMode="External"/><Relationship Id="rId65" Type="http://schemas.openxmlformats.org/officeDocument/2006/relationships/hyperlink" Target="https://arcprize.org/play?task=05269061" TargetMode="External"/><Relationship Id="rId68" Type="http://schemas.openxmlformats.org/officeDocument/2006/relationships/hyperlink" Target="https://arcprize.org/play?task=0962bcdd" TargetMode="External"/><Relationship Id="rId67" Type="http://schemas.openxmlformats.org/officeDocument/2006/relationships/hyperlink" Target="https://arcprize.org/play?task=08ed6ac7" TargetMode="External"/><Relationship Id="rId60" Type="http://schemas.openxmlformats.org/officeDocument/2006/relationships/hyperlink" Target="https://arcprize.org/play?task=007bbfb7" TargetMode="External"/><Relationship Id="rId69" Type="http://schemas.openxmlformats.org/officeDocument/2006/relationships/hyperlink" Target="https://arcprize.org/play?task=0a938d79" TargetMode="External"/><Relationship Id="rId51" Type="http://schemas.openxmlformats.org/officeDocument/2006/relationships/hyperlink" Target="https://arcprize.org/play?task=6455b5f5" TargetMode="External"/><Relationship Id="rId50" Type="http://schemas.openxmlformats.org/officeDocument/2006/relationships/hyperlink" Target="https://arcprize.org/play?task=5117e062" TargetMode="External"/><Relationship Id="rId53" Type="http://schemas.openxmlformats.org/officeDocument/2006/relationships/hyperlink" Target="https://arcprize.org/play?task=a8c38be5" TargetMode="External"/><Relationship Id="rId52" Type="http://schemas.openxmlformats.org/officeDocument/2006/relationships/hyperlink" Target="https://arcprize.org/play?task=93b581b8" TargetMode="External"/><Relationship Id="rId55" Type="http://schemas.openxmlformats.org/officeDocument/2006/relationships/hyperlink" Target="https://arcprize.org/play?task=b8cdaf2b" TargetMode="External"/><Relationship Id="rId54" Type="http://schemas.openxmlformats.org/officeDocument/2006/relationships/hyperlink" Target="https://arcprize.org/play?task=ae3edfdc" TargetMode="External"/><Relationship Id="rId57" Type="http://schemas.openxmlformats.org/officeDocument/2006/relationships/hyperlink" Target="https://arcprize.org/play?task=ddf7fa4f" TargetMode="External"/><Relationship Id="rId56" Type="http://schemas.openxmlformats.org/officeDocument/2006/relationships/hyperlink" Target="https://arcprize.org/play?task=d0f5fe59" TargetMode="External"/><Relationship Id="rId59" Type="http://schemas.openxmlformats.org/officeDocument/2006/relationships/hyperlink" Target="https://arcprize.org/play?task=fcb5c309" TargetMode="External"/><Relationship Id="rId58" Type="http://schemas.openxmlformats.org/officeDocument/2006/relationships/hyperlink" Target="https://arcprize.org/play?task=e73095fd" TargetMode="External"/><Relationship Id="rId107" Type="http://schemas.openxmlformats.org/officeDocument/2006/relationships/hyperlink" Target="https://arcprize.org/play?task=29623171" TargetMode="External"/><Relationship Id="rId228" Type="http://schemas.openxmlformats.org/officeDocument/2006/relationships/hyperlink" Target="https://arcprize.org/play?task=855e0971" TargetMode="External"/><Relationship Id="rId349" Type="http://schemas.openxmlformats.org/officeDocument/2006/relationships/hyperlink" Target="https://arcprize.org/play?task=d6ad076f" TargetMode="External"/><Relationship Id="rId106" Type="http://schemas.openxmlformats.org/officeDocument/2006/relationships/hyperlink" Target="https://arcprize.org/play?task=28e73c20" TargetMode="External"/><Relationship Id="rId227" Type="http://schemas.openxmlformats.org/officeDocument/2006/relationships/hyperlink" Target="https://arcprize.org/play?task=8403a5d5" TargetMode="External"/><Relationship Id="rId348" Type="http://schemas.openxmlformats.org/officeDocument/2006/relationships/hyperlink" Target="https://arcprize.org/play?task=d687bc17" TargetMode="External"/><Relationship Id="rId105" Type="http://schemas.openxmlformats.org/officeDocument/2006/relationships/hyperlink" Target="https://arcprize.org/play?task=28bf18c6" TargetMode="External"/><Relationship Id="rId226" Type="http://schemas.openxmlformats.org/officeDocument/2006/relationships/hyperlink" Target="https://arcprize.org/play?task=834ec97d" TargetMode="External"/><Relationship Id="rId347" Type="http://schemas.openxmlformats.org/officeDocument/2006/relationships/hyperlink" Target="https://arcprize.org/play?task=d631b094" TargetMode="External"/><Relationship Id="rId104" Type="http://schemas.openxmlformats.org/officeDocument/2006/relationships/hyperlink" Target="https://arcprize.org/play?task=27a28665" TargetMode="External"/><Relationship Id="rId225" Type="http://schemas.openxmlformats.org/officeDocument/2006/relationships/hyperlink" Target="https://arcprize.org/play?task=82819916" TargetMode="External"/><Relationship Id="rId346" Type="http://schemas.openxmlformats.org/officeDocument/2006/relationships/hyperlink" Target="https://arcprize.org/play?task=d5d6de2d" TargetMode="External"/><Relationship Id="rId109" Type="http://schemas.openxmlformats.org/officeDocument/2006/relationships/hyperlink" Target="https://arcprize.org/play?task=29ec7d0e" TargetMode="External"/><Relationship Id="rId108" Type="http://schemas.openxmlformats.org/officeDocument/2006/relationships/hyperlink" Target="https://arcprize.org/play?task=29c11459" TargetMode="External"/><Relationship Id="rId229" Type="http://schemas.openxmlformats.org/officeDocument/2006/relationships/hyperlink" Target="https://arcprize.org/play?task=85c4e7cd" TargetMode="External"/><Relationship Id="rId220" Type="http://schemas.openxmlformats.org/officeDocument/2006/relationships/hyperlink" Target="https://arcprize.org/play?task=7df24a62" TargetMode="External"/><Relationship Id="rId341" Type="http://schemas.openxmlformats.org/officeDocument/2006/relationships/hyperlink" Target="https://arcprize.org/play?task=d406998b" TargetMode="External"/><Relationship Id="rId340" Type="http://schemas.openxmlformats.org/officeDocument/2006/relationships/hyperlink" Target="https://arcprize.org/play?task=d364b489" TargetMode="External"/><Relationship Id="rId103" Type="http://schemas.openxmlformats.org/officeDocument/2006/relationships/hyperlink" Target="https://arcprize.org/play?task=272f95fa" TargetMode="External"/><Relationship Id="rId224" Type="http://schemas.openxmlformats.org/officeDocument/2006/relationships/hyperlink" Target="https://arcprize.org/play?task=80af3007" TargetMode="External"/><Relationship Id="rId345" Type="http://schemas.openxmlformats.org/officeDocument/2006/relationships/hyperlink" Target="https://arcprize.org/play?task=d511f180" TargetMode="External"/><Relationship Id="rId102" Type="http://schemas.openxmlformats.org/officeDocument/2006/relationships/hyperlink" Target="https://arcprize.org/play?task=25ff71a9" TargetMode="External"/><Relationship Id="rId223" Type="http://schemas.openxmlformats.org/officeDocument/2006/relationships/hyperlink" Target="https://arcprize.org/play?task=7fe24cdd" TargetMode="External"/><Relationship Id="rId344" Type="http://schemas.openxmlformats.org/officeDocument/2006/relationships/hyperlink" Target="https://arcprize.org/play?task=d4a91cb9" TargetMode="External"/><Relationship Id="rId101" Type="http://schemas.openxmlformats.org/officeDocument/2006/relationships/hyperlink" Target="https://arcprize.org/play?task=25d8a9c8" TargetMode="External"/><Relationship Id="rId222" Type="http://schemas.openxmlformats.org/officeDocument/2006/relationships/hyperlink" Target="https://arcprize.org/play?task=7f4411dc" TargetMode="External"/><Relationship Id="rId343" Type="http://schemas.openxmlformats.org/officeDocument/2006/relationships/hyperlink" Target="https://arcprize.org/play?task=d4469b4b" TargetMode="External"/><Relationship Id="rId100" Type="http://schemas.openxmlformats.org/officeDocument/2006/relationships/hyperlink" Target="https://arcprize.org/play?task=25d487eb" TargetMode="External"/><Relationship Id="rId221" Type="http://schemas.openxmlformats.org/officeDocument/2006/relationships/hyperlink" Target="https://arcprize.org/play?task=7e0986d6" TargetMode="External"/><Relationship Id="rId342" Type="http://schemas.openxmlformats.org/officeDocument/2006/relationships/hyperlink" Target="https://arcprize.org/play?task=d43fd935" TargetMode="External"/><Relationship Id="rId217" Type="http://schemas.openxmlformats.org/officeDocument/2006/relationships/hyperlink" Target="https://arcprize.org/play?task=7b7f7511" TargetMode="External"/><Relationship Id="rId338" Type="http://schemas.openxmlformats.org/officeDocument/2006/relationships/hyperlink" Target="https://arcprize.org/play?task=d23f8c26" TargetMode="External"/><Relationship Id="rId216" Type="http://schemas.openxmlformats.org/officeDocument/2006/relationships/hyperlink" Target="https://arcprize.org/play?task=7b6016b9" TargetMode="External"/><Relationship Id="rId337" Type="http://schemas.openxmlformats.org/officeDocument/2006/relationships/hyperlink" Target="https://arcprize.org/play?task=d22278a0" TargetMode="External"/><Relationship Id="rId215" Type="http://schemas.openxmlformats.org/officeDocument/2006/relationships/hyperlink" Target="https://arcprize.org/play?task=794b24be" TargetMode="External"/><Relationship Id="rId336" Type="http://schemas.openxmlformats.org/officeDocument/2006/relationships/hyperlink" Target="https://arcprize.org/play?task=d13f3404" TargetMode="External"/><Relationship Id="rId214" Type="http://schemas.openxmlformats.org/officeDocument/2006/relationships/hyperlink" Target="https://arcprize.org/play?task=7837ac64" TargetMode="External"/><Relationship Id="rId335" Type="http://schemas.openxmlformats.org/officeDocument/2006/relationships/hyperlink" Target="https://arcprize.org/play?task=d10ecb37" TargetMode="External"/><Relationship Id="rId219" Type="http://schemas.openxmlformats.org/officeDocument/2006/relationships/hyperlink" Target="https://arcprize.org/play?task=7ddcd7ec" TargetMode="External"/><Relationship Id="rId218" Type="http://schemas.openxmlformats.org/officeDocument/2006/relationships/hyperlink" Target="https://arcprize.org/play?task=7c008303" TargetMode="External"/><Relationship Id="rId339" Type="http://schemas.openxmlformats.org/officeDocument/2006/relationships/hyperlink" Target="https://arcprize.org/play?task=d2abd087" TargetMode="External"/><Relationship Id="rId330" Type="http://schemas.openxmlformats.org/officeDocument/2006/relationships/hyperlink" Target="https://arcprize.org/play?task=ce602527" TargetMode="External"/><Relationship Id="rId213" Type="http://schemas.openxmlformats.org/officeDocument/2006/relationships/hyperlink" Target="https://arcprize.org/play?task=780d0b14" TargetMode="External"/><Relationship Id="rId334" Type="http://schemas.openxmlformats.org/officeDocument/2006/relationships/hyperlink" Target="https://arcprize.org/play?task=d06dbe63" TargetMode="External"/><Relationship Id="rId212" Type="http://schemas.openxmlformats.org/officeDocument/2006/relationships/hyperlink" Target="https://arcprize.org/play?task=77fdfe62" TargetMode="External"/><Relationship Id="rId333" Type="http://schemas.openxmlformats.org/officeDocument/2006/relationships/hyperlink" Target="https://arcprize.org/play?task=d037b0a7" TargetMode="External"/><Relationship Id="rId211" Type="http://schemas.openxmlformats.org/officeDocument/2006/relationships/hyperlink" Target="https://arcprize.org/play?task=776ffc46" TargetMode="External"/><Relationship Id="rId332" Type="http://schemas.openxmlformats.org/officeDocument/2006/relationships/hyperlink" Target="https://arcprize.org/play?task=cf98881b" TargetMode="External"/><Relationship Id="rId210" Type="http://schemas.openxmlformats.org/officeDocument/2006/relationships/hyperlink" Target="https://arcprize.org/play?task=760b3cac" TargetMode="External"/><Relationship Id="rId331" Type="http://schemas.openxmlformats.org/officeDocument/2006/relationships/hyperlink" Target="https://arcprize.org/play?task=ce9e57f2" TargetMode="External"/><Relationship Id="rId370" Type="http://schemas.openxmlformats.org/officeDocument/2006/relationships/hyperlink" Target="https://arcprize.org/play?task=e50d258f" TargetMode="External"/><Relationship Id="rId129" Type="http://schemas.openxmlformats.org/officeDocument/2006/relationships/hyperlink" Target="https://arcprize.org/play?task=3bdb4ada" TargetMode="External"/><Relationship Id="rId128" Type="http://schemas.openxmlformats.org/officeDocument/2006/relationships/hyperlink" Target="https://arcprize.org/play?task=3bd67248" TargetMode="External"/><Relationship Id="rId249" Type="http://schemas.openxmlformats.org/officeDocument/2006/relationships/hyperlink" Target="https://arcprize.org/play?task=9565186b" TargetMode="External"/><Relationship Id="rId127" Type="http://schemas.openxmlformats.org/officeDocument/2006/relationships/hyperlink" Target="https://arcprize.org/play?task=3af2c5a8" TargetMode="External"/><Relationship Id="rId248" Type="http://schemas.openxmlformats.org/officeDocument/2006/relationships/hyperlink" Target="https://arcprize.org/play?task=94f9d214" TargetMode="External"/><Relationship Id="rId369" Type="http://schemas.openxmlformats.org/officeDocument/2006/relationships/hyperlink" Target="https://arcprize.org/play?task=e509e548" TargetMode="External"/><Relationship Id="rId126" Type="http://schemas.openxmlformats.org/officeDocument/2006/relationships/hyperlink" Target="https://arcprize.org/play?task=3ac3eb23" TargetMode="External"/><Relationship Id="rId247" Type="http://schemas.openxmlformats.org/officeDocument/2006/relationships/hyperlink" Target="https://arcprize.org/play?task=941d9a10" TargetMode="External"/><Relationship Id="rId368" Type="http://schemas.openxmlformats.org/officeDocument/2006/relationships/hyperlink" Target="https://arcprize.org/play?task=e5062a87" TargetMode="External"/><Relationship Id="rId121" Type="http://schemas.openxmlformats.org/officeDocument/2006/relationships/hyperlink" Target="https://arcprize.org/play?task=363442ee" TargetMode="External"/><Relationship Id="rId242" Type="http://schemas.openxmlformats.org/officeDocument/2006/relationships/hyperlink" Target="https://arcprize.org/play?task=913fb3ed" TargetMode="External"/><Relationship Id="rId363" Type="http://schemas.openxmlformats.org/officeDocument/2006/relationships/hyperlink" Target="https://arcprize.org/play?task=e179c5f4" TargetMode="External"/><Relationship Id="rId120" Type="http://schemas.openxmlformats.org/officeDocument/2006/relationships/hyperlink" Target="https://arcprize.org/play?task=3631a71a" TargetMode="External"/><Relationship Id="rId241" Type="http://schemas.openxmlformats.org/officeDocument/2006/relationships/hyperlink" Target="https://arcprize.org/play?task=90c28cc7" TargetMode="External"/><Relationship Id="rId362" Type="http://schemas.openxmlformats.org/officeDocument/2006/relationships/hyperlink" Target="https://arcprize.org/play?task=ded97339" TargetMode="External"/><Relationship Id="rId240" Type="http://schemas.openxmlformats.org/officeDocument/2006/relationships/hyperlink" Target="https://arcprize.org/play?task=8f2ea7aa" TargetMode="External"/><Relationship Id="rId361" Type="http://schemas.openxmlformats.org/officeDocument/2006/relationships/hyperlink" Target="https://arcprize.org/play?task=de1cd16c" TargetMode="External"/><Relationship Id="rId360" Type="http://schemas.openxmlformats.org/officeDocument/2006/relationships/hyperlink" Target="https://arcprize.org/play?task=dc433765" TargetMode="External"/><Relationship Id="rId125" Type="http://schemas.openxmlformats.org/officeDocument/2006/relationships/hyperlink" Target="https://arcprize.org/play?task=3aa6fb7a" TargetMode="External"/><Relationship Id="rId246" Type="http://schemas.openxmlformats.org/officeDocument/2006/relationships/hyperlink" Target="https://arcprize.org/play?task=928ad970" TargetMode="External"/><Relationship Id="rId367" Type="http://schemas.openxmlformats.org/officeDocument/2006/relationships/hyperlink" Target="https://arcprize.org/play?task=e48d4e1a" TargetMode="External"/><Relationship Id="rId124" Type="http://schemas.openxmlformats.org/officeDocument/2006/relationships/hyperlink" Target="https://arcprize.org/play?task=39a8645d" TargetMode="External"/><Relationship Id="rId245" Type="http://schemas.openxmlformats.org/officeDocument/2006/relationships/hyperlink" Target="https://arcprize.org/play?task=9172f3a0" TargetMode="External"/><Relationship Id="rId366" Type="http://schemas.openxmlformats.org/officeDocument/2006/relationships/hyperlink" Target="https://arcprize.org/play?task=e3497940" TargetMode="External"/><Relationship Id="rId123" Type="http://schemas.openxmlformats.org/officeDocument/2006/relationships/hyperlink" Target="https://arcprize.org/play?task=3906de3d" TargetMode="External"/><Relationship Id="rId244" Type="http://schemas.openxmlformats.org/officeDocument/2006/relationships/hyperlink" Target="https://arcprize.org/play?task=91714a58" TargetMode="External"/><Relationship Id="rId365" Type="http://schemas.openxmlformats.org/officeDocument/2006/relationships/hyperlink" Target="https://arcprize.org/play?task=e26a3af2" TargetMode="External"/><Relationship Id="rId122" Type="http://schemas.openxmlformats.org/officeDocument/2006/relationships/hyperlink" Target="https://arcprize.org/play?task=36fdfd69" TargetMode="External"/><Relationship Id="rId243" Type="http://schemas.openxmlformats.org/officeDocument/2006/relationships/hyperlink" Target="https://arcprize.org/play?task=91413438" TargetMode="External"/><Relationship Id="rId364" Type="http://schemas.openxmlformats.org/officeDocument/2006/relationships/hyperlink" Target="https://arcprize.org/play?task=e21d9049" TargetMode="External"/><Relationship Id="rId95" Type="http://schemas.openxmlformats.org/officeDocument/2006/relationships/hyperlink" Target="https://arcprize.org/play?task=22eb0ac0" TargetMode="External"/><Relationship Id="rId94" Type="http://schemas.openxmlformats.org/officeDocument/2006/relationships/hyperlink" Target="https://arcprize.org/play?task=2281f1f4" TargetMode="External"/><Relationship Id="rId97" Type="http://schemas.openxmlformats.org/officeDocument/2006/relationships/hyperlink" Target="https://arcprize.org/play?task=23581191" TargetMode="External"/><Relationship Id="rId96" Type="http://schemas.openxmlformats.org/officeDocument/2006/relationships/hyperlink" Target="https://arcprize.org/play?task=234bbc79" TargetMode="External"/><Relationship Id="rId99" Type="http://schemas.openxmlformats.org/officeDocument/2006/relationships/hyperlink" Target="https://arcprize.org/play?task=253bf280" TargetMode="External"/><Relationship Id="rId98" Type="http://schemas.openxmlformats.org/officeDocument/2006/relationships/hyperlink" Target="https://arcprize.org/play?task=23b5c85d" TargetMode="External"/><Relationship Id="rId91" Type="http://schemas.openxmlformats.org/officeDocument/2006/relationships/hyperlink" Target="https://arcprize.org/play?task=2204b7a8" TargetMode="External"/><Relationship Id="rId90" Type="http://schemas.openxmlformats.org/officeDocument/2006/relationships/hyperlink" Target="https://arcprize.org/play?task=2013d3e2" TargetMode="External"/><Relationship Id="rId93" Type="http://schemas.openxmlformats.org/officeDocument/2006/relationships/hyperlink" Target="https://arcprize.org/play?task=22233c11" TargetMode="External"/><Relationship Id="rId92" Type="http://schemas.openxmlformats.org/officeDocument/2006/relationships/hyperlink" Target="https://arcprize.org/play?task=22168020" TargetMode="External"/><Relationship Id="rId118" Type="http://schemas.openxmlformats.org/officeDocument/2006/relationships/hyperlink" Target="https://arcprize.org/play?task=3428a4f5" TargetMode="External"/><Relationship Id="rId239" Type="http://schemas.openxmlformats.org/officeDocument/2006/relationships/hyperlink" Target="https://arcprize.org/play?task=8efcae92" TargetMode="External"/><Relationship Id="rId117" Type="http://schemas.openxmlformats.org/officeDocument/2006/relationships/hyperlink" Target="https://arcprize.org/play?task=32597951" TargetMode="External"/><Relationship Id="rId238" Type="http://schemas.openxmlformats.org/officeDocument/2006/relationships/hyperlink" Target="https://arcprize.org/play?task=8eb1be9a" TargetMode="External"/><Relationship Id="rId359" Type="http://schemas.openxmlformats.org/officeDocument/2006/relationships/hyperlink" Target="https://arcprize.org/play?task=dc1df850" TargetMode="External"/><Relationship Id="rId116" Type="http://schemas.openxmlformats.org/officeDocument/2006/relationships/hyperlink" Target="https://arcprize.org/play?task=321b1fc6" TargetMode="External"/><Relationship Id="rId237" Type="http://schemas.openxmlformats.org/officeDocument/2006/relationships/hyperlink" Target="https://arcprize.org/play?task=8e5a5113" TargetMode="External"/><Relationship Id="rId358" Type="http://schemas.openxmlformats.org/officeDocument/2006/relationships/hyperlink" Target="https://arcprize.org/play?task=dc0a314f" TargetMode="External"/><Relationship Id="rId115" Type="http://schemas.openxmlformats.org/officeDocument/2006/relationships/hyperlink" Target="https://arcprize.org/play?task=31aa019c" TargetMode="External"/><Relationship Id="rId236" Type="http://schemas.openxmlformats.org/officeDocument/2006/relationships/hyperlink" Target="https://arcprize.org/play?task=8e1813be" TargetMode="External"/><Relationship Id="rId357" Type="http://schemas.openxmlformats.org/officeDocument/2006/relationships/hyperlink" Target="https://arcprize.org/play?task=dbc1a6ce" TargetMode="External"/><Relationship Id="rId119" Type="http://schemas.openxmlformats.org/officeDocument/2006/relationships/hyperlink" Target="https://arcprize.org/play?task=3618c87e" TargetMode="External"/><Relationship Id="rId110" Type="http://schemas.openxmlformats.org/officeDocument/2006/relationships/hyperlink" Target="https://arcprize.org/play?task=2bcee788" TargetMode="External"/><Relationship Id="rId231" Type="http://schemas.openxmlformats.org/officeDocument/2006/relationships/hyperlink" Target="https://arcprize.org/play?task=8731374e" TargetMode="External"/><Relationship Id="rId352" Type="http://schemas.openxmlformats.org/officeDocument/2006/relationships/hyperlink" Target="https://arcprize.org/play?task=d90796e8" TargetMode="External"/><Relationship Id="rId230" Type="http://schemas.openxmlformats.org/officeDocument/2006/relationships/hyperlink" Target="https://arcprize.org/play?task=868de0fa" TargetMode="External"/><Relationship Id="rId351" Type="http://schemas.openxmlformats.org/officeDocument/2006/relationships/hyperlink" Target="https://arcprize.org/play?task=d8c310e9" TargetMode="External"/><Relationship Id="rId350" Type="http://schemas.openxmlformats.org/officeDocument/2006/relationships/hyperlink" Target="https://arcprize.org/play?task=d89b689b" TargetMode="External"/><Relationship Id="rId114" Type="http://schemas.openxmlformats.org/officeDocument/2006/relationships/hyperlink" Target="https://arcprize.org/play?task=2dee498d" TargetMode="External"/><Relationship Id="rId235" Type="http://schemas.openxmlformats.org/officeDocument/2006/relationships/hyperlink" Target="https://arcprize.org/play?task=8d5021e8" TargetMode="External"/><Relationship Id="rId356" Type="http://schemas.openxmlformats.org/officeDocument/2006/relationships/hyperlink" Target="https://arcprize.org/play?task=db3e9e38" TargetMode="External"/><Relationship Id="rId113" Type="http://schemas.openxmlformats.org/officeDocument/2006/relationships/hyperlink" Target="https://arcprize.org/play?task=2dc579da" TargetMode="External"/><Relationship Id="rId234" Type="http://schemas.openxmlformats.org/officeDocument/2006/relationships/hyperlink" Target="https://arcprize.org/play?task=8be77c9e" TargetMode="External"/><Relationship Id="rId355" Type="http://schemas.openxmlformats.org/officeDocument/2006/relationships/hyperlink" Target="https://arcprize.org/play?task=dae9d2b5" TargetMode="External"/><Relationship Id="rId112" Type="http://schemas.openxmlformats.org/officeDocument/2006/relationships/hyperlink" Target="https://arcprize.org/play?task=2c608aff" TargetMode="External"/><Relationship Id="rId233" Type="http://schemas.openxmlformats.org/officeDocument/2006/relationships/hyperlink" Target="https://arcprize.org/play?task=890034e9" TargetMode="External"/><Relationship Id="rId354" Type="http://schemas.openxmlformats.org/officeDocument/2006/relationships/hyperlink" Target="https://arcprize.org/play?task=d9fac9be" TargetMode="External"/><Relationship Id="rId111" Type="http://schemas.openxmlformats.org/officeDocument/2006/relationships/hyperlink" Target="https://arcprize.org/play?task=2bee17df" TargetMode="External"/><Relationship Id="rId232" Type="http://schemas.openxmlformats.org/officeDocument/2006/relationships/hyperlink" Target="https://arcprize.org/play?task=88a10436" TargetMode="External"/><Relationship Id="rId353" Type="http://schemas.openxmlformats.org/officeDocument/2006/relationships/hyperlink" Target="https://arcprize.org/play?task=d9f24cd1" TargetMode="External"/><Relationship Id="rId305" Type="http://schemas.openxmlformats.org/officeDocument/2006/relationships/hyperlink" Target="https://arcprize.org/play?task=ba97ae07" TargetMode="External"/><Relationship Id="rId304" Type="http://schemas.openxmlformats.org/officeDocument/2006/relationships/hyperlink" Target="https://arcprize.org/play?task=ba26e723" TargetMode="External"/><Relationship Id="rId303" Type="http://schemas.openxmlformats.org/officeDocument/2006/relationships/hyperlink" Target="https://arcprize.org/play?task=b9b7f026" TargetMode="External"/><Relationship Id="rId302" Type="http://schemas.openxmlformats.org/officeDocument/2006/relationships/hyperlink" Target="https://arcprize.org/play?task=b94a9452" TargetMode="External"/><Relationship Id="rId309" Type="http://schemas.openxmlformats.org/officeDocument/2006/relationships/hyperlink" Target="https://arcprize.org/play?task=bd4472b8" TargetMode="External"/><Relationship Id="rId308" Type="http://schemas.openxmlformats.org/officeDocument/2006/relationships/hyperlink" Target="https://arcprize.org/play?task=bc1d5164" TargetMode="External"/><Relationship Id="rId307" Type="http://schemas.openxmlformats.org/officeDocument/2006/relationships/hyperlink" Target="https://arcprize.org/play?task=bbc9ae5d" TargetMode="External"/><Relationship Id="rId306" Type="http://schemas.openxmlformats.org/officeDocument/2006/relationships/hyperlink" Target="https://arcprize.org/play?task=bb43febb" TargetMode="External"/><Relationship Id="rId301" Type="http://schemas.openxmlformats.org/officeDocument/2006/relationships/hyperlink" Target="https://arcprize.org/play?task=b91ae062" TargetMode="External"/><Relationship Id="rId300" Type="http://schemas.openxmlformats.org/officeDocument/2006/relationships/hyperlink" Target="https://arcprize.org/play?task=b8825c91" TargetMode="External"/><Relationship Id="rId206" Type="http://schemas.openxmlformats.org/officeDocument/2006/relationships/hyperlink" Target="https://arcprize.org/play?task=7468f01a" TargetMode="External"/><Relationship Id="rId327" Type="http://schemas.openxmlformats.org/officeDocument/2006/relationships/hyperlink" Target="https://arcprize.org/play?task=cdecee7f" TargetMode="External"/><Relationship Id="rId205" Type="http://schemas.openxmlformats.org/officeDocument/2006/relationships/hyperlink" Target="https://arcprize.org/play?task=7447852a" TargetMode="External"/><Relationship Id="rId326" Type="http://schemas.openxmlformats.org/officeDocument/2006/relationships/hyperlink" Target="https://arcprize.org/play?task=cce03e0d" TargetMode="External"/><Relationship Id="rId204" Type="http://schemas.openxmlformats.org/officeDocument/2006/relationships/hyperlink" Target="https://arcprize.org/play?task=73251a56" TargetMode="External"/><Relationship Id="rId325" Type="http://schemas.openxmlformats.org/officeDocument/2006/relationships/hyperlink" Target="https://arcprize.org/play?task=cbded52d" TargetMode="External"/><Relationship Id="rId203" Type="http://schemas.openxmlformats.org/officeDocument/2006/relationships/hyperlink" Target="https://arcprize.org/play?task=72ca375d" TargetMode="External"/><Relationship Id="rId324" Type="http://schemas.openxmlformats.org/officeDocument/2006/relationships/hyperlink" Target="https://arcprize.org/play?task=caa06a1f" TargetMode="External"/><Relationship Id="rId209" Type="http://schemas.openxmlformats.org/officeDocument/2006/relationships/hyperlink" Target="https://arcprize.org/play?task=75b8110e" TargetMode="External"/><Relationship Id="rId208" Type="http://schemas.openxmlformats.org/officeDocument/2006/relationships/hyperlink" Target="https://arcprize.org/play?task=74dd1130" TargetMode="External"/><Relationship Id="rId329" Type="http://schemas.openxmlformats.org/officeDocument/2006/relationships/hyperlink" Target="https://arcprize.org/play?task=ce4f8723" TargetMode="External"/><Relationship Id="rId207" Type="http://schemas.openxmlformats.org/officeDocument/2006/relationships/hyperlink" Target="https://arcprize.org/play?task=746b3537" TargetMode="External"/><Relationship Id="rId328" Type="http://schemas.openxmlformats.org/officeDocument/2006/relationships/hyperlink" Target="https://arcprize.org/play?task=ce22a75a" TargetMode="External"/><Relationship Id="rId202" Type="http://schemas.openxmlformats.org/officeDocument/2006/relationships/hyperlink" Target="https://arcprize.org/play?task=6fa7a44f" TargetMode="External"/><Relationship Id="rId323" Type="http://schemas.openxmlformats.org/officeDocument/2006/relationships/hyperlink" Target="https://arcprize.org/play?task=c9f8e694" TargetMode="External"/><Relationship Id="rId201" Type="http://schemas.openxmlformats.org/officeDocument/2006/relationships/hyperlink" Target="https://arcprize.org/play?task=6f8cd79b" TargetMode="External"/><Relationship Id="rId322" Type="http://schemas.openxmlformats.org/officeDocument/2006/relationships/hyperlink" Target="https://arcprize.org/play?task=c9e6f938" TargetMode="External"/><Relationship Id="rId200" Type="http://schemas.openxmlformats.org/officeDocument/2006/relationships/hyperlink" Target="https://arcprize.org/play?task=6ecd11f4" TargetMode="External"/><Relationship Id="rId321" Type="http://schemas.openxmlformats.org/officeDocument/2006/relationships/hyperlink" Target="https://arcprize.org/play?task=c909285e" TargetMode="External"/><Relationship Id="rId320" Type="http://schemas.openxmlformats.org/officeDocument/2006/relationships/hyperlink" Target="https://arcprize.org/play?task=c8f0f002" TargetMode="External"/><Relationship Id="rId316" Type="http://schemas.openxmlformats.org/officeDocument/2006/relationships/hyperlink" Target="https://arcprize.org/play?task=c3e719e8" TargetMode="External"/><Relationship Id="rId315" Type="http://schemas.openxmlformats.org/officeDocument/2006/relationships/hyperlink" Target="https://arcprize.org/play?task=c1d99e64" TargetMode="External"/><Relationship Id="rId314" Type="http://schemas.openxmlformats.org/officeDocument/2006/relationships/hyperlink" Target="https://arcprize.org/play?task=c0f76784" TargetMode="External"/><Relationship Id="rId313" Type="http://schemas.openxmlformats.org/officeDocument/2006/relationships/hyperlink" Target="https://arcprize.org/play?task=beb8660c" TargetMode="External"/><Relationship Id="rId319" Type="http://schemas.openxmlformats.org/officeDocument/2006/relationships/hyperlink" Target="https://arcprize.org/play?task=c59eb873" TargetMode="External"/><Relationship Id="rId318" Type="http://schemas.openxmlformats.org/officeDocument/2006/relationships/hyperlink" Target="https://arcprize.org/play?task=c444b776" TargetMode="External"/><Relationship Id="rId317" Type="http://schemas.openxmlformats.org/officeDocument/2006/relationships/hyperlink" Target="https://arcprize.org/play?task=c3f564a4" TargetMode="External"/><Relationship Id="rId312" Type="http://schemas.openxmlformats.org/officeDocument/2006/relationships/hyperlink" Target="https://arcprize.org/play?task=be94b721" TargetMode="External"/><Relationship Id="rId311" Type="http://schemas.openxmlformats.org/officeDocument/2006/relationships/hyperlink" Target="https://arcprize.org/play?task=bdad9b1f" TargetMode="External"/><Relationship Id="rId310" Type="http://schemas.openxmlformats.org/officeDocument/2006/relationships/hyperlink" Target="https://arcprize.org/play?task=bda2d7a6" TargetMode="External"/></Relationships>
</file>

<file path=xl/worksheets/_rels/sheet3.xml.rels><?xml version="1.0" encoding="UTF-8" standalone="yes"?><Relationships xmlns="http://schemas.openxmlformats.org/package/2006/relationships"><Relationship Id="rId392" Type="http://schemas.openxmlformats.org/officeDocument/2006/relationships/hyperlink" Target="https://arcprize.org/play?task=a3325580" TargetMode="External"/><Relationship Id="rId391" Type="http://schemas.openxmlformats.org/officeDocument/2006/relationships/hyperlink" Target="https://arcprize.org/play?task=fcc82909" TargetMode="External"/><Relationship Id="rId390" Type="http://schemas.openxmlformats.org/officeDocument/2006/relationships/hyperlink" Target="https://arcprize.org/play?task=5521c0d9" TargetMode="External"/><Relationship Id="rId1" Type="http://schemas.openxmlformats.org/officeDocument/2006/relationships/hyperlink" Target="https://arcprize.org/play?task=00d62c1b" TargetMode="External"/><Relationship Id="rId2" Type="http://schemas.openxmlformats.org/officeDocument/2006/relationships/hyperlink" Target="https://arcprize.org/play?task=4c4377d9" TargetMode="External"/><Relationship Id="rId3" Type="http://schemas.openxmlformats.org/officeDocument/2006/relationships/hyperlink" Target="https://arcprize.org/play?task=4290ef0e" TargetMode="External"/><Relationship Id="rId4" Type="http://schemas.openxmlformats.org/officeDocument/2006/relationships/hyperlink" Target="https://arcprize.org/play?task=b775ac94" TargetMode="External"/><Relationship Id="rId9" Type="http://schemas.openxmlformats.org/officeDocument/2006/relationships/hyperlink" Target="https://arcprize.org/play?task=025d127b" TargetMode="External"/><Relationship Id="rId385" Type="http://schemas.openxmlformats.org/officeDocument/2006/relationships/hyperlink" Target="https://arcprize.org/play?task=4347f46a" TargetMode="External"/><Relationship Id="rId384" Type="http://schemas.openxmlformats.org/officeDocument/2006/relationships/hyperlink" Target="https://arcprize.org/play?task=7c008303" TargetMode="External"/><Relationship Id="rId383" Type="http://schemas.openxmlformats.org/officeDocument/2006/relationships/hyperlink" Target="https://arcprize.org/play?task=6e19193c" TargetMode="External"/><Relationship Id="rId382" Type="http://schemas.openxmlformats.org/officeDocument/2006/relationships/hyperlink" Target="https://arcprize.org/play?task=0b148d64" TargetMode="External"/><Relationship Id="rId5" Type="http://schemas.openxmlformats.org/officeDocument/2006/relationships/hyperlink" Target="https://arcprize.org/play?task=017c7c7b" TargetMode="External"/><Relationship Id="rId389" Type="http://schemas.openxmlformats.org/officeDocument/2006/relationships/hyperlink" Target="https://arcprize.org/play?task=444801d8" TargetMode="External"/><Relationship Id="rId6" Type="http://schemas.openxmlformats.org/officeDocument/2006/relationships/hyperlink" Target="https://arcprize.org/play?task=6fa7a44f" TargetMode="External"/><Relationship Id="rId388" Type="http://schemas.openxmlformats.org/officeDocument/2006/relationships/hyperlink" Target="https://arcprize.org/play?task=8d510a79" TargetMode="External"/><Relationship Id="rId7" Type="http://schemas.openxmlformats.org/officeDocument/2006/relationships/hyperlink" Target="https://arcprize.org/play?task=0e206a2e" TargetMode="External"/><Relationship Id="rId387" Type="http://schemas.openxmlformats.org/officeDocument/2006/relationships/hyperlink" Target="https://arcprize.org/play?task=d2abd087" TargetMode="External"/><Relationship Id="rId8" Type="http://schemas.openxmlformats.org/officeDocument/2006/relationships/hyperlink" Target="https://arcprize.org/play?task=a64e4611" TargetMode="External"/><Relationship Id="rId386" Type="http://schemas.openxmlformats.org/officeDocument/2006/relationships/hyperlink" Target="https://arcprize.org/play?task=54d9e175" TargetMode="External"/><Relationship Id="rId381" Type="http://schemas.openxmlformats.org/officeDocument/2006/relationships/hyperlink" Target="https://arcprize.org/play?task=42a50994" TargetMode="External"/><Relationship Id="rId380" Type="http://schemas.openxmlformats.org/officeDocument/2006/relationships/hyperlink" Target="https://arcprize.org/play?task=53b68214" TargetMode="External"/><Relationship Id="rId379" Type="http://schemas.openxmlformats.org/officeDocument/2006/relationships/hyperlink" Target="https://arcprize.org/play?task=543a7ed5" TargetMode="External"/><Relationship Id="rId374" Type="http://schemas.openxmlformats.org/officeDocument/2006/relationships/hyperlink" Target="https://arcprize.org/play?task=90c28cc7" TargetMode="External"/><Relationship Id="rId373" Type="http://schemas.openxmlformats.org/officeDocument/2006/relationships/hyperlink" Target="https://arcprize.org/play?task=4258a5f9" TargetMode="External"/><Relationship Id="rId372" Type="http://schemas.openxmlformats.org/officeDocument/2006/relationships/hyperlink" Target="https://arcprize.org/play?task=855e0971" TargetMode="External"/><Relationship Id="rId371" Type="http://schemas.openxmlformats.org/officeDocument/2006/relationships/hyperlink" Target="https://arcprize.org/play?task=e50d258f" TargetMode="External"/><Relationship Id="rId378" Type="http://schemas.openxmlformats.org/officeDocument/2006/relationships/hyperlink" Target="https://arcprize.org/play?task=c3f564a4" TargetMode="External"/><Relationship Id="rId377" Type="http://schemas.openxmlformats.org/officeDocument/2006/relationships/hyperlink" Target="https://arcprize.org/play?task=4290ef0e" TargetMode="External"/><Relationship Id="rId376" Type="http://schemas.openxmlformats.org/officeDocument/2006/relationships/hyperlink" Target="https://arcprize.org/play?task=f8a8fe49" TargetMode="External"/><Relationship Id="rId375" Type="http://schemas.openxmlformats.org/officeDocument/2006/relationships/hyperlink" Target="https://arcprize.org/play?task=36fdfd69" TargetMode="External"/><Relationship Id="rId396" Type="http://schemas.openxmlformats.org/officeDocument/2006/relationships/hyperlink" Target="https://arcprize.org/play?task=91413438" TargetMode="External"/><Relationship Id="rId395" Type="http://schemas.openxmlformats.org/officeDocument/2006/relationships/hyperlink" Target="https://arcprize.org/play?task=e8593010" TargetMode="External"/><Relationship Id="rId394" Type="http://schemas.openxmlformats.org/officeDocument/2006/relationships/hyperlink" Target="https://arcprize.org/play?task=97999447" TargetMode="External"/><Relationship Id="rId393" Type="http://schemas.openxmlformats.org/officeDocument/2006/relationships/hyperlink" Target="https://arcprize.org/play?task=445eab21" TargetMode="External"/><Relationship Id="rId399" Type="http://schemas.openxmlformats.org/officeDocument/2006/relationships/hyperlink" Target="https://arcprize.org/play?task=6e82a1ae" TargetMode="External"/><Relationship Id="rId398" Type="http://schemas.openxmlformats.org/officeDocument/2006/relationships/hyperlink" Target="https://arcprize.org/play?task=f76d97a5" TargetMode="External"/><Relationship Id="rId397" Type="http://schemas.openxmlformats.org/officeDocument/2006/relationships/hyperlink" Target="https://arcprize.org/play?task=447fd412" TargetMode="External"/><Relationship Id="rId808" Type="http://schemas.openxmlformats.org/officeDocument/2006/relationships/hyperlink" Target="https://arcprize.org/play?task=0962bcdd" TargetMode="External"/><Relationship Id="rId807" Type="http://schemas.openxmlformats.org/officeDocument/2006/relationships/hyperlink" Target="https://arcprize.org/play?task=913fb3ed" TargetMode="External"/><Relationship Id="rId806" Type="http://schemas.openxmlformats.org/officeDocument/2006/relationships/hyperlink" Target="https://arcprize.org/play?task=7b6016b9" TargetMode="External"/><Relationship Id="rId805" Type="http://schemas.openxmlformats.org/officeDocument/2006/relationships/hyperlink" Target="https://arcprize.org/play?task=85c4e7cd" TargetMode="External"/><Relationship Id="rId809" Type="http://schemas.openxmlformats.org/officeDocument/2006/relationships/hyperlink" Target="https://arcprize.org/play?task=868de0fa" TargetMode="External"/><Relationship Id="rId800" Type="http://schemas.openxmlformats.org/officeDocument/2006/relationships/hyperlink" Target="https://arcprize.org/play?task=d9fac9be" TargetMode="External"/><Relationship Id="rId804" Type="http://schemas.openxmlformats.org/officeDocument/2006/relationships/hyperlink" Target="https://arcprize.org/play?task=469497ad" TargetMode="External"/><Relationship Id="rId803" Type="http://schemas.openxmlformats.org/officeDocument/2006/relationships/hyperlink" Target="https://arcprize.org/play?task=2dc579da" TargetMode="External"/><Relationship Id="rId802" Type="http://schemas.openxmlformats.org/officeDocument/2006/relationships/hyperlink" Target="https://arcprize.org/play?task=484b58aa" TargetMode="External"/><Relationship Id="rId801" Type="http://schemas.openxmlformats.org/officeDocument/2006/relationships/hyperlink" Target="https://arcprize.org/play?task=855e0971" TargetMode="External"/><Relationship Id="rId40" Type="http://schemas.openxmlformats.org/officeDocument/2006/relationships/hyperlink" Target="https://arcprize.org/play?task=39e1d7f9" TargetMode="External"/><Relationship Id="rId1334" Type="http://schemas.openxmlformats.org/officeDocument/2006/relationships/hyperlink" Target="https://arcprize.org/play?task=e73095fd" TargetMode="External"/><Relationship Id="rId1335" Type="http://schemas.openxmlformats.org/officeDocument/2006/relationships/hyperlink" Target="https://arcprize.org/play?task=7468f01a" TargetMode="External"/><Relationship Id="rId42" Type="http://schemas.openxmlformats.org/officeDocument/2006/relationships/hyperlink" Target="https://arcprize.org/play?task=44f52bb0" TargetMode="External"/><Relationship Id="rId1336" Type="http://schemas.openxmlformats.org/officeDocument/2006/relationships/hyperlink" Target="https://arcprize.org/play?task=aabf363d" TargetMode="External"/><Relationship Id="rId41" Type="http://schemas.openxmlformats.org/officeDocument/2006/relationships/hyperlink" Target="https://arcprize.org/play?task=0962bcdd" TargetMode="External"/><Relationship Id="rId1337" Type="http://schemas.openxmlformats.org/officeDocument/2006/relationships/hyperlink" Target="https://arcprize.org/play?task=d4f3cd78" TargetMode="External"/><Relationship Id="rId44" Type="http://schemas.openxmlformats.org/officeDocument/2006/relationships/hyperlink" Target="https://arcprize.org/play?task=7df24a62" TargetMode="External"/><Relationship Id="rId1338" Type="http://schemas.openxmlformats.org/officeDocument/2006/relationships/hyperlink" Target="https://arcprize.org/play?task=1a07d186" TargetMode="External"/><Relationship Id="rId43" Type="http://schemas.openxmlformats.org/officeDocument/2006/relationships/hyperlink" Target="https://arcprize.org/play?task=2dd70a9a" TargetMode="External"/><Relationship Id="rId1339" Type="http://schemas.openxmlformats.org/officeDocument/2006/relationships/hyperlink" Target="https://arcprize.org/play?task=82819916" TargetMode="External"/><Relationship Id="rId46" Type="http://schemas.openxmlformats.org/officeDocument/2006/relationships/hyperlink" Target="https://arcprize.org/play?task=67a3c6ac" TargetMode="External"/><Relationship Id="rId45" Type="http://schemas.openxmlformats.org/officeDocument/2006/relationships/hyperlink" Target="https://arcprize.org/play?task=0a938d79" TargetMode="External"/><Relationship Id="rId745" Type="http://schemas.openxmlformats.org/officeDocument/2006/relationships/hyperlink" Target="https://arcprize.org/play?task=7b7f7511" TargetMode="External"/><Relationship Id="rId744" Type="http://schemas.openxmlformats.org/officeDocument/2006/relationships/hyperlink" Target="https://arcprize.org/play?task=60b61512" TargetMode="External"/><Relationship Id="rId743" Type="http://schemas.openxmlformats.org/officeDocument/2006/relationships/hyperlink" Target="https://arcprize.org/play?task=28e73c20" TargetMode="External"/><Relationship Id="rId742" Type="http://schemas.openxmlformats.org/officeDocument/2006/relationships/hyperlink" Target="https://arcprize.org/play?task=6cdd2623" TargetMode="External"/><Relationship Id="rId749" Type="http://schemas.openxmlformats.org/officeDocument/2006/relationships/hyperlink" Target="https://arcprize.org/play?task=7c008303" TargetMode="External"/><Relationship Id="rId748" Type="http://schemas.openxmlformats.org/officeDocument/2006/relationships/hyperlink" Target="https://arcprize.org/play?task=a61f2674" TargetMode="External"/><Relationship Id="rId747" Type="http://schemas.openxmlformats.org/officeDocument/2006/relationships/hyperlink" Target="https://arcprize.org/play?task=445eab21" TargetMode="External"/><Relationship Id="rId746" Type="http://schemas.openxmlformats.org/officeDocument/2006/relationships/hyperlink" Target="https://arcprize.org/play?task=77fdfe62" TargetMode="External"/><Relationship Id="rId48" Type="http://schemas.openxmlformats.org/officeDocument/2006/relationships/hyperlink" Target="https://arcprize.org/play?task=d07ae81c" TargetMode="External"/><Relationship Id="rId47" Type="http://schemas.openxmlformats.org/officeDocument/2006/relationships/hyperlink" Target="https://arcprize.org/play?task=6a1e5592" TargetMode="External"/><Relationship Id="rId49" Type="http://schemas.openxmlformats.org/officeDocument/2006/relationships/hyperlink" Target="https://arcprize.org/play?task=0b148d64" TargetMode="External"/><Relationship Id="rId741" Type="http://schemas.openxmlformats.org/officeDocument/2006/relationships/hyperlink" Target="https://arcprize.org/play?task=7b6016b9" TargetMode="External"/><Relationship Id="rId1330" Type="http://schemas.openxmlformats.org/officeDocument/2006/relationships/hyperlink" Target="https://arcprize.org/play?task=b190f7f5" TargetMode="External"/><Relationship Id="rId740" Type="http://schemas.openxmlformats.org/officeDocument/2006/relationships/hyperlink" Target="https://arcprize.org/play?task=dc1df850" TargetMode="External"/><Relationship Id="rId1331" Type="http://schemas.openxmlformats.org/officeDocument/2006/relationships/hyperlink" Target="https://arcprize.org/play?task=6f8cd79b" TargetMode="External"/><Relationship Id="rId1332" Type="http://schemas.openxmlformats.org/officeDocument/2006/relationships/hyperlink" Target="https://arcprize.org/play?task=9172f3a0" TargetMode="External"/><Relationship Id="rId1333" Type="http://schemas.openxmlformats.org/officeDocument/2006/relationships/hyperlink" Target="https://arcprize.org/play?task=d4a91cb9" TargetMode="External"/><Relationship Id="rId1323" Type="http://schemas.openxmlformats.org/officeDocument/2006/relationships/hyperlink" Target="https://arcprize.org/play?task=1fad071e" TargetMode="External"/><Relationship Id="rId1324" Type="http://schemas.openxmlformats.org/officeDocument/2006/relationships/hyperlink" Target="https://arcprize.org/play?task=5582e5ca" TargetMode="External"/><Relationship Id="rId31" Type="http://schemas.openxmlformats.org/officeDocument/2006/relationships/hyperlink" Target="https://arcprize.org/play?task=447fd412" TargetMode="External"/><Relationship Id="rId1325" Type="http://schemas.openxmlformats.org/officeDocument/2006/relationships/hyperlink" Target="https://arcprize.org/play?task=d43fd935" TargetMode="External"/><Relationship Id="rId30" Type="http://schemas.openxmlformats.org/officeDocument/2006/relationships/hyperlink" Target="https://arcprize.org/play?task=f25ffba3" TargetMode="External"/><Relationship Id="rId1326" Type="http://schemas.openxmlformats.org/officeDocument/2006/relationships/hyperlink" Target="https://arcprize.org/play?task=11852cab" TargetMode="External"/><Relationship Id="rId33" Type="http://schemas.openxmlformats.org/officeDocument/2006/relationships/hyperlink" Target="https://arcprize.org/play?task=08ed6ac7" TargetMode="External"/><Relationship Id="rId1327" Type="http://schemas.openxmlformats.org/officeDocument/2006/relationships/hyperlink" Target="https://arcprize.org/play?task=4be741c5" TargetMode="External"/><Relationship Id="rId32" Type="http://schemas.openxmlformats.org/officeDocument/2006/relationships/hyperlink" Target="https://arcprize.org/play?task=8a004b2b" TargetMode="External"/><Relationship Id="rId1328" Type="http://schemas.openxmlformats.org/officeDocument/2006/relationships/hyperlink" Target="https://arcprize.org/play?task=746b3537" TargetMode="External"/><Relationship Id="rId35" Type="http://schemas.openxmlformats.org/officeDocument/2006/relationships/hyperlink" Target="https://arcprize.org/play?task=8a004b2b" TargetMode="External"/><Relationship Id="rId1329" Type="http://schemas.openxmlformats.org/officeDocument/2006/relationships/hyperlink" Target="https://arcprize.org/play?task=d4469b4b" TargetMode="External"/><Relationship Id="rId34" Type="http://schemas.openxmlformats.org/officeDocument/2006/relationships/hyperlink" Target="https://arcprize.org/play?task=a416b8f3" TargetMode="External"/><Relationship Id="rId739" Type="http://schemas.openxmlformats.org/officeDocument/2006/relationships/hyperlink" Target="https://arcprize.org/play?task=d4f3cd78" TargetMode="External"/><Relationship Id="rId734" Type="http://schemas.openxmlformats.org/officeDocument/2006/relationships/hyperlink" Target="https://arcprize.org/play?task=32597951" TargetMode="External"/><Relationship Id="rId733" Type="http://schemas.openxmlformats.org/officeDocument/2006/relationships/hyperlink" Target="https://arcprize.org/play?task=7837ac64" TargetMode="External"/><Relationship Id="rId732" Type="http://schemas.openxmlformats.org/officeDocument/2006/relationships/hyperlink" Target="https://arcprize.org/play?task=5117e062" TargetMode="External"/><Relationship Id="rId731" Type="http://schemas.openxmlformats.org/officeDocument/2006/relationships/hyperlink" Target="https://arcprize.org/play?task=ae4f1146" TargetMode="External"/><Relationship Id="rId738" Type="http://schemas.openxmlformats.org/officeDocument/2006/relationships/hyperlink" Target="https://arcprize.org/play?task=50cb2852" TargetMode="External"/><Relationship Id="rId737" Type="http://schemas.openxmlformats.org/officeDocument/2006/relationships/hyperlink" Target="https://arcprize.org/play?task=794b24be" TargetMode="External"/><Relationship Id="rId736" Type="http://schemas.openxmlformats.org/officeDocument/2006/relationships/hyperlink" Target="https://arcprize.org/play?task=d364b489" TargetMode="External"/><Relationship Id="rId735" Type="http://schemas.openxmlformats.org/officeDocument/2006/relationships/hyperlink" Target="https://arcprize.org/play?task=b8cdaf2b" TargetMode="External"/><Relationship Id="rId37" Type="http://schemas.openxmlformats.org/officeDocument/2006/relationships/hyperlink" Target="https://arcprize.org/play?task=09629e4f" TargetMode="External"/><Relationship Id="rId36" Type="http://schemas.openxmlformats.org/officeDocument/2006/relationships/hyperlink" Target="https://arcprize.org/play?task=3e980e27" TargetMode="External"/><Relationship Id="rId39" Type="http://schemas.openxmlformats.org/officeDocument/2006/relationships/hyperlink" Target="https://arcprize.org/play?task=90f3ed37" TargetMode="External"/><Relationship Id="rId38" Type="http://schemas.openxmlformats.org/officeDocument/2006/relationships/hyperlink" Target="https://arcprize.org/play?task=ed36ccf7" TargetMode="External"/><Relationship Id="rId730" Type="http://schemas.openxmlformats.org/officeDocument/2006/relationships/hyperlink" Target="https://arcprize.org/play?task=834ec97d" TargetMode="External"/><Relationship Id="rId1320" Type="http://schemas.openxmlformats.org/officeDocument/2006/relationships/hyperlink" Target="https://arcprize.org/play?task=28bf18c6" TargetMode="External"/><Relationship Id="rId1321" Type="http://schemas.openxmlformats.org/officeDocument/2006/relationships/hyperlink" Target="https://arcprize.org/play?task=d406998b" TargetMode="External"/><Relationship Id="rId1322" Type="http://schemas.openxmlformats.org/officeDocument/2006/relationships/hyperlink" Target="https://arcprize.org/play?task=f15e1fac" TargetMode="External"/><Relationship Id="rId1356" Type="http://schemas.openxmlformats.org/officeDocument/2006/relationships/hyperlink" Target="https://arcprize.org/play?task=a85d4709" TargetMode="External"/><Relationship Id="rId1357" Type="http://schemas.openxmlformats.org/officeDocument/2006/relationships/hyperlink" Target="https://arcprize.org/play?task=d6ad076f" TargetMode="External"/><Relationship Id="rId20" Type="http://schemas.openxmlformats.org/officeDocument/2006/relationships/hyperlink" Target="https://arcprize.org/play?task=e73095fd" TargetMode="External"/><Relationship Id="rId1358" Type="http://schemas.openxmlformats.org/officeDocument/2006/relationships/hyperlink" Target="https://arcprize.org/play?task=ec883f72" TargetMode="External"/><Relationship Id="rId1359" Type="http://schemas.openxmlformats.org/officeDocument/2006/relationships/hyperlink" Target="https://arcprize.org/play?task=f2829549" TargetMode="External"/><Relationship Id="rId22" Type="http://schemas.openxmlformats.org/officeDocument/2006/relationships/hyperlink" Target="https://arcprize.org/play?task=9dfd6313" TargetMode="External"/><Relationship Id="rId21" Type="http://schemas.openxmlformats.org/officeDocument/2006/relationships/hyperlink" Target="https://arcprize.org/play?task=05269061" TargetMode="External"/><Relationship Id="rId24" Type="http://schemas.openxmlformats.org/officeDocument/2006/relationships/hyperlink" Target="https://arcprize.org/play?task=36d67576" TargetMode="External"/><Relationship Id="rId23" Type="http://schemas.openxmlformats.org/officeDocument/2006/relationships/hyperlink" Target="https://arcprize.org/play?task=6aa20dc0" TargetMode="External"/><Relationship Id="rId767" Type="http://schemas.openxmlformats.org/officeDocument/2006/relationships/hyperlink" Target="https://arcprize.org/play?task=8403a5d5" TargetMode="External"/><Relationship Id="rId766" Type="http://schemas.openxmlformats.org/officeDocument/2006/relationships/hyperlink" Target="https://arcprize.org/play?task=a61f2674" TargetMode="External"/><Relationship Id="rId765" Type="http://schemas.openxmlformats.org/officeDocument/2006/relationships/hyperlink" Target="https://arcprize.org/play?task=7f4411dc" TargetMode="External"/><Relationship Id="rId764" Type="http://schemas.openxmlformats.org/officeDocument/2006/relationships/hyperlink" Target="https://arcprize.org/play?task=67385a82" TargetMode="External"/><Relationship Id="rId769" Type="http://schemas.openxmlformats.org/officeDocument/2006/relationships/hyperlink" Target="https://arcprize.org/play?task=7fe24cdd" TargetMode="External"/><Relationship Id="rId768" Type="http://schemas.openxmlformats.org/officeDocument/2006/relationships/hyperlink" Target="https://arcprize.org/play?task=539a4f51" TargetMode="External"/><Relationship Id="rId26" Type="http://schemas.openxmlformats.org/officeDocument/2006/relationships/hyperlink" Target="https://arcprize.org/play?task=496994bd" TargetMode="External"/><Relationship Id="rId25" Type="http://schemas.openxmlformats.org/officeDocument/2006/relationships/hyperlink" Target="https://arcprize.org/play?task=05f2a901" TargetMode="External"/><Relationship Id="rId28" Type="http://schemas.openxmlformats.org/officeDocument/2006/relationships/hyperlink" Target="https://arcprize.org/play?task=447fd412" TargetMode="External"/><Relationship Id="rId1350" Type="http://schemas.openxmlformats.org/officeDocument/2006/relationships/hyperlink" Target="https://arcprize.org/play?task=6d0160f0" TargetMode="External"/><Relationship Id="rId27" Type="http://schemas.openxmlformats.org/officeDocument/2006/relationships/hyperlink" Target="https://arcprize.org/play?task=36d67576" TargetMode="External"/><Relationship Id="rId1351" Type="http://schemas.openxmlformats.org/officeDocument/2006/relationships/hyperlink" Target="https://arcprize.org/play?task=3ac3eb23" TargetMode="External"/><Relationship Id="rId763" Type="http://schemas.openxmlformats.org/officeDocument/2006/relationships/hyperlink" Target="https://arcprize.org/play?task=4522001f" TargetMode="External"/><Relationship Id="rId1352" Type="http://schemas.openxmlformats.org/officeDocument/2006/relationships/hyperlink" Target="https://arcprize.org/play?task=27a28665" TargetMode="External"/><Relationship Id="rId29" Type="http://schemas.openxmlformats.org/officeDocument/2006/relationships/hyperlink" Target="https://arcprize.org/play?task=06df4c85" TargetMode="External"/><Relationship Id="rId762" Type="http://schemas.openxmlformats.org/officeDocument/2006/relationships/hyperlink" Target="https://arcprize.org/play?task=60b61512" TargetMode="External"/><Relationship Id="rId1353" Type="http://schemas.openxmlformats.org/officeDocument/2006/relationships/hyperlink" Target="https://arcprize.org/play?task=d687bc17" TargetMode="External"/><Relationship Id="rId761" Type="http://schemas.openxmlformats.org/officeDocument/2006/relationships/hyperlink" Target="https://arcprize.org/play?task=7e0986d6" TargetMode="External"/><Relationship Id="rId1354" Type="http://schemas.openxmlformats.org/officeDocument/2006/relationships/hyperlink" Target="https://arcprize.org/play?task=a78176bb" TargetMode="External"/><Relationship Id="rId760" Type="http://schemas.openxmlformats.org/officeDocument/2006/relationships/hyperlink" Target="https://arcprize.org/play?task=47c1f68c" TargetMode="External"/><Relationship Id="rId1355" Type="http://schemas.openxmlformats.org/officeDocument/2006/relationships/hyperlink" Target="https://arcprize.org/play?task=dae9d2b5" TargetMode="External"/><Relationship Id="rId1345" Type="http://schemas.openxmlformats.org/officeDocument/2006/relationships/hyperlink" Target="https://arcprize.org/play?task=d5d6de2d" TargetMode="External"/><Relationship Id="rId1346" Type="http://schemas.openxmlformats.org/officeDocument/2006/relationships/hyperlink" Target="https://arcprize.org/play?task=e76a88a6" TargetMode="External"/><Relationship Id="rId1347" Type="http://schemas.openxmlformats.org/officeDocument/2006/relationships/hyperlink" Target="https://arcprize.org/play?task=1b2d62fb" TargetMode="External"/><Relationship Id="rId1348" Type="http://schemas.openxmlformats.org/officeDocument/2006/relationships/hyperlink" Target="https://arcprize.org/play?task=d511f180" TargetMode="External"/><Relationship Id="rId11" Type="http://schemas.openxmlformats.org/officeDocument/2006/relationships/hyperlink" Target="https://arcprize.org/play?task=57aa92db" TargetMode="External"/><Relationship Id="rId1349" Type="http://schemas.openxmlformats.org/officeDocument/2006/relationships/hyperlink" Target="https://arcprize.org/play?task=d631b094" TargetMode="External"/><Relationship Id="rId10" Type="http://schemas.openxmlformats.org/officeDocument/2006/relationships/hyperlink" Target="https://arcprize.org/play?task=8be77c9e" TargetMode="External"/><Relationship Id="rId13" Type="http://schemas.openxmlformats.org/officeDocument/2006/relationships/hyperlink" Target="https://arcprize.org/play?task=045e512c" TargetMode="External"/><Relationship Id="rId12" Type="http://schemas.openxmlformats.org/officeDocument/2006/relationships/hyperlink" Target="https://arcprize.org/play?task=3befdf3e" TargetMode="External"/><Relationship Id="rId756" Type="http://schemas.openxmlformats.org/officeDocument/2006/relationships/hyperlink" Target="https://arcprize.org/play?task=50cb2852" TargetMode="External"/><Relationship Id="rId755" Type="http://schemas.openxmlformats.org/officeDocument/2006/relationships/hyperlink" Target="https://arcprize.org/play?task=f9012d9b" TargetMode="External"/><Relationship Id="rId754" Type="http://schemas.openxmlformats.org/officeDocument/2006/relationships/hyperlink" Target="https://arcprize.org/play?task=23b5c85d" TargetMode="External"/><Relationship Id="rId753" Type="http://schemas.openxmlformats.org/officeDocument/2006/relationships/hyperlink" Target="https://arcprize.org/play?task=7ddcd7ec" TargetMode="External"/><Relationship Id="rId759" Type="http://schemas.openxmlformats.org/officeDocument/2006/relationships/hyperlink" Target="https://arcprize.org/play?task=05f2a901" TargetMode="External"/><Relationship Id="rId758" Type="http://schemas.openxmlformats.org/officeDocument/2006/relationships/hyperlink" Target="https://arcprize.org/play?task=3aa6fb7a" TargetMode="External"/><Relationship Id="rId757" Type="http://schemas.openxmlformats.org/officeDocument/2006/relationships/hyperlink" Target="https://arcprize.org/play?task=7df24a62" TargetMode="External"/><Relationship Id="rId15" Type="http://schemas.openxmlformats.org/officeDocument/2006/relationships/hyperlink" Target="https://arcprize.org/play?task=264363fd" TargetMode="External"/><Relationship Id="rId14" Type="http://schemas.openxmlformats.org/officeDocument/2006/relationships/hyperlink" Target="https://arcprize.org/play?task=25ff71a9" TargetMode="External"/><Relationship Id="rId17" Type="http://schemas.openxmlformats.org/officeDocument/2006/relationships/hyperlink" Target="https://arcprize.org/play?task=0520fde7" TargetMode="External"/><Relationship Id="rId16" Type="http://schemas.openxmlformats.org/officeDocument/2006/relationships/hyperlink" Target="https://arcprize.org/play?task=8731374e" TargetMode="External"/><Relationship Id="rId1340" Type="http://schemas.openxmlformats.org/officeDocument/2006/relationships/hyperlink" Target="https://arcprize.org/play?task=c59eb873" TargetMode="External"/><Relationship Id="rId19" Type="http://schemas.openxmlformats.org/officeDocument/2006/relationships/hyperlink" Target="https://arcprize.org/play?task=97a05b5b" TargetMode="External"/><Relationship Id="rId752" Type="http://schemas.openxmlformats.org/officeDocument/2006/relationships/hyperlink" Target="https://arcprize.org/play?task=ef135b50" TargetMode="External"/><Relationship Id="rId1341" Type="http://schemas.openxmlformats.org/officeDocument/2006/relationships/hyperlink" Target="https://arcprize.org/play?task=d511f180" TargetMode="External"/><Relationship Id="rId18" Type="http://schemas.openxmlformats.org/officeDocument/2006/relationships/hyperlink" Target="https://arcprize.org/play?task=74dd1130" TargetMode="External"/><Relationship Id="rId751" Type="http://schemas.openxmlformats.org/officeDocument/2006/relationships/hyperlink" Target="https://arcprize.org/play?task=5117e062" TargetMode="External"/><Relationship Id="rId1342" Type="http://schemas.openxmlformats.org/officeDocument/2006/relationships/hyperlink" Target="https://arcprize.org/play?task=63613498" TargetMode="External"/><Relationship Id="rId750" Type="http://schemas.openxmlformats.org/officeDocument/2006/relationships/hyperlink" Target="https://arcprize.org/play?task=ef135b50" TargetMode="External"/><Relationship Id="rId1343" Type="http://schemas.openxmlformats.org/officeDocument/2006/relationships/hyperlink" Target="https://arcprize.org/play?task=ba26e723" TargetMode="External"/><Relationship Id="rId1344" Type="http://schemas.openxmlformats.org/officeDocument/2006/relationships/hyperlink" Target="https://arcprize.org/play?task=bd4472b8" TargetMode="External"/><Relationship Id="rId84" Type="http://schemas.openxmlformats.org/officeDocument/2006/relationships/hyperlink" Target="https://arcprize.org/play?task=e8dc4411" TargetMode="External"/><Relationship Id="rId83" Type="http://schemas.openxmlformats.org/officeDocument/2006/relationships/hyperlink" Target="https://arcprize.org/play?task=228f6490" TargetMode="External"/><Relationship Id="rId86" Type="http://schemas.openxmlformats.org/officeDocument/2006/relationships/hyperlink" Target="https://arcprize.org/play?task=c8f0f002" TargetMode="External"/><Relationship Id="rId85" Type="http://schemas.openxmlformats.org/officeDocument/2006/relationships/hyperlink" Target="https://arcprize.org/play?task=150deff5" TargetMode="External"/><Relationship Id="rId88" Type="http://schemas.openxmlformats.org/officeDocument/2006/relationships/hyperlink" Target="https://arcprize.org/play?task=b230c067" TargetMode="External"/><Relationship Id="rId87" Type="http://schemas.openxmlformats.org/officeDocument/2006/relationships/hyperlink" Target="https://arcprize.org/play?task=9aec4887" TargetMode="External"/><Relationship Id="rId89" Type="http://schemas.openxmlformats.org/officeDocument/2006/relationships/hyperlink" Target="https://arcprize.org/play?task=178fcbfb" TargetMode="External"/><Relationship Id="rId709" Type="http://schemas.openxmlformats.org/officeDocument/2006/relationships/hyperlink" Target="https://arcprize.org/play?task=74dd1130" TargetMode="External"/><Relationship Id="rId708" Type="http://schemas.openxmlformats.org/officeDocument/2006/relationships/hyperlink" Target="https://arcprize.org/play?task=1caeab9d" TargetMode="External"/><Relationship Id="rId707" Type="http://schemas.openxmlformats.org/officeDocument/2006/relationships/hyperlink" Target="https://arcprize.org/play?task=00d62c1b" TargetMode="External"/><Relationship Id="rId706" Type="http://schemas.openxmlformats.org/officeDocument/2006/relationships/hyperlink" Target="https://arcprize.org/play?task=1f85a75f" TargetMode="External"/><Relationship Id="rId80" Type="http://schemas.openxmlformats.org/officeDocument/2006/relationships/hyperlink" Target="https://arcprize.org/play?task=776ffc46" TargetMode="External"/><Relationship Id="rId82" Type="http://schemas.openxmlformats.org/officeDocument/2006/relationships/hyperlink" Target="https://arcprize.org/play?task=6150a2bd" TargetMode="External"/><Relationship Id="rId81" Type="http://schemas.openxmlformats.org/officeDocument/2006/relationships/hyperlink" Target="https://arcprize.org/play?task=137eaa0f" TargetMode="External"/><Relationship Id="rId701" Type="http://schemas.openxmlformats.org/officeDocument/2006/relationships/hyperlink" Target="https://arcprize.org/play?task=7468f01a" TargetMode="External"/><Relationship Id="rId700" Type="http://schemas.openxmlformats.org/officeDocument/2006/relationships/hyperlink" Target="https://arcprize.org/play?task=95990924" TargetMode="External"/><Relationship Id="rId705" Type="http://schemas.openxmlformats.org/officeDocument/2006/relationships/hyperlink" Target="https://arcprize.org/play?task=746b3537" TargetMode="External"/><Relationship Id="rId704" Type="http://schemas.openxmlformats.org/officeDocument/2006/relationships/hyperlink" Target="https://arcprize.org/play?task=5c0a986e" TargetMode="External"/><Relationship Id="rId703" Type="http://schemas.openxmlformats.org/officeDocument/2006/relationships/hyperlink" Target="https://arcprize.org/play?task=be94b721" TargetMode="External"/><Relationship Id="rId702" Type="http://schemas.openxmlformats.org/officeDocument/2006/relationships/hyperlink" Target="https://arcprize.org/play?task=d90796e8" TargetMode="External"/><Relationship Id="rId73" Type="http://schemas.openxmlformats.org/officeDocument/2006/relationships/hyperlink" Target="https://arcprize.org/play?task=11852cab" TargetMode="External"/><Relationship Id="rId72" Type="http://schemas.openxmlformats.org/officeDocument/2006/relationships/hyperlink" Target="https://arcprize.org/play?task=6ecd11f4" TargetMode="External"/><Relationship Id="rId75" Type="http://schemas.openxmlformats.org/officeDocument/2006/relationships/hyperlink" Target="https://arcprize.org/play?task=a64e4611" TargetMode="External"/><Relationship Id="rId74" Type="http://schemas.openxmlformats.org/officeDocument/2006/relationships/hyperlink" Target="https://arcprize.org/play?task=2dee498d" TargetMode="External"/><Relationship Id="rId77" Type="http://schemas.openxmlformats.org/officeDocument/2006/relationships/hyperlink" Target="https://arcprize.org/play?task=1190e5a7" TargetMode="External"/><Relationship Id="rId76" Type="http://schemas.openxmlformats.org/officeDocument/2006/relationships/hyperlink" Target="https://arcprize.org/play?task=890034e9" TargetMode="External"/><Relationship Id="rId79" Type="http://schemas.openxmlformats.org/officeDocument/2006/relationships/hyperlink" Target="https://arcprize.org/play?task=72322fa7" TargetMode="External"/><Relationship Id="rId78" Type="http://schemas.openxmlformats.org/officeDocument/2006/relationships/hyperlink" Target="https://arcprize.org/play?task=3c9b0459" TargetMode="External"/><Relationship Id="rId71" Type="http://schemas.openxmlformats.org/officeDocument/2006/relationships/hyperlink" Target="https://arcprize.org/play?task=d07ae81c" TargetMode="External"/><Relationship Id="rId70" Type="http://schemas.openxmlformats.org/officeDocument/2006/relationships/hyperlink" Target="https://arcprize.org/play?task=c9e6f938" TargetMode="External"/><Relationship Id="rId62" Type="http://schemas.openxmlformats.org/officeDocument/2006/relationships/hyperlink" Target="https://arcprize.org/play?task=5bd6f4ac" TargetMode="External"/><Relationship Id="rId1312" Type="http://schemas.openxmlformats.org/officeDocument/2006/relationships/hyperlink" Target="https://arcprize.org/play?task=6f8cd79b" TargetMode="External"/><Relationship Id="rId61" Type="http://schemas.openxmlformats.org/officeDocument/2006/relationships/hyperlink" Target="https://arcprize.org/play?task=0dfd9992" TargetMode="External"/><Relationship Id="rId1313" Type="http://schemas.openxmlformats.org/officeDocument/2006/relationships/hyperlink" Target="https://arcprize.org/play?task=d2abd087" TargetMode="External"/><Relationship Id="rId64" Type="http://schemas.openxmlformats.org/officeDocument/2006/relationships/hyperlink" Target="https://arcprize.org/play?task=a8c38be5" TargetMode="External"/><Relationship Id="rId1314" Type="http://schemas.openxmlformats.org/officeDocument/2006/relationships/hyperlink" Target="https://arcprize.org/play?task=44d8ac46" TargetMode="External"/><Relationship Id="rId63" Type="http://schemas.openxmlformats.org/officeDocument/2006/relationships/hyperlink" Target="https://arcprize.org/play?task=50846271" TargetMode="External"/><Relationship Id="rId1315" Type="http://schemas.openxmlformats.org/officeDocument/2006/relationships/hyperlink" Target="https://arcprize.org/play?task=d9fac9be" TargetMode="External"/><Relationship Id="rId66" Type="http://schemas.openxmlformats.org/officeDocument/2006/relationships/hyperlink" Target="https://arcprize.org/play?task=6d0aefbc" TargetMode="External"/><Relationship Id="rId1316" Type="http://schemas.openxmlformats.org/officeDocument/2006/relationships/hyperlink" Target="https://arcprize.org/play?task=dae9d2b5" TargetMode="External"/><Relationship Id="rId65" Type="http://schemas.openxmlformats.org/officeDocument/2006/relationships/hyperlink" Target="https://arcprize.org/play?task=0e206a2e" TargetMode="External"/><Relationship Id="rId1317" Type="http://schemas.openxmlformats.org/officeDocument/2006/relationships/hyperlink" Target="https://arcprize.org/play?task=d364b489" TargetMode="External"/><Relationship Id="rId68" Type="http://schemas.openxmlformats.org/officeDocument/2006/relationships/hyperlink" Target="https://arcprize.org/play?task=db93a21d" TargetMode="External"/><Relationship Id="rId1318" Type="http://schemas.openxmlformats.org/officeDocument/2006/relationships/hyperlink" Target="https://arcprize.org/play?task=4612dd53" TargetMode="External"/><Relationship Id="rId67" Type="http://schemas.openxmlformats.org/officeDocument/2006/relationships/hyperlink" Target="https://arcprize.org/play?task=7df24a62" TargetMode="External"/><Relationship Id="rId1319" Type="http://schemas.openxmlformats.org/officeDocument/2006/relationships/hyperlink" Target="https://arcprize.org/play?task=1190e5a7" TargetMode="External"/><Relationship Id="rId729" Type="http://schemas.openxmlformats.org/officeDocument/2006/relationships/hyperlink" Target="https://arcprize.org/play?task=780d0b14" TargetMode="External"/><Relationship Id="rId728" Type="http://schemas.openxmlformats.org/officeDocument/2006/relationships/hyperlink" Target="https://arcprize.org/play?task=ae4f1146" TargetMode="External"/><Relationship Id="rId60" Type="http://schemas.openxmlformats.org/officeDocument/2006/relationships/hyperlink" Target="https://arcprize.org/play?task=aba27056" TargetMode="External"/><Relationship Id="rId723" Type="http://schemas.openxmlformats.org/officeDocument/2006/relationships/hyperlink" Target="https://arcprize.org/play?task=8e1813be" TargetMode="External"/><Relationship Id="rId722" Type="http://schemas.openxmlformats.org/officeDocument/2006/relationships/hyperlink" Target="https://arcprize.org/play?task=3631a71a" TargetMode="External"/><Relationship Id="rId721" Type="http://schemas.openxmlformats.org/officeDocument/2006/relationships/hyperlink" Target="https://arcprize.org/play?task=776ffc46" TargetMode="External"/><Relationship Id="rId720" Type="http://schemas.openxmlformats.org/officeDocument/2006/relationships/hyperlink" Target="https://arcprize.org/play?task=a9f96cdd" TargetMode="External"/><Relationship Id="rId727" Type="http://schemas.openxmlformats.org/officeDocument/2006/relationships/hyperlink" Target="https://arcprize.org/play?task=91413438" TargetMode="External"/><Relationship Id="rId726" Type="http://schemas.openxmlformats.org/officeDocument/2006/relationships/hyperlink" Target="https://arcprize.org/play?task=47c1f68c" TargetMode="External"/><Relationship Id="rId725" Type="http://schemas.openxmlformats.org/officeDocument/2006/relationships/hyperlink" Target="https://arcprize.org/play?task=77fdfe62" TargetMode="External"/><Relationship Id="rId724" Type="http://schemas.openxmlformats.org/officeDocument/2006/relationships/hyperlink" Target="https://arcprize.org/play?task=40853293" TargetMode="External"/><Relationship Id="rId69" Type="http://schemas.openxmlformats.org/officeDocument/2006/relationships/hyperlink" Target="https://arcprize.org/play?task=10fcaaa3" TargetMode="External"/><Relationship Id="rId1310" Type="http://schemas.openxmlformats.org/officeDocument/2006/relationships/hyperlink" Target="https://arcprize.org/play?task=0a938d79" TargetMode="External"/><Relationship Id="rId1311" Type="http://schemas.openxmlformats.org/officeDocument/2006/relationships/hyperlink" Target="https://arcprize.org/play?task=94f9d214" TargetMode="External"/><Relationship Id="rId51" Type="http://schemas.openxmlformats.org/officeDocument/2006/relationships/hyperlink" Target="https://arcprize.org/play?task=3e980e27" TargetMode="External"/><Relationship Id="rId1301" Type="http://schemas.openxmlformats.org/officeDocument/2006/relationships/hyperlink" Target="https://arcprize.org/play?task=d13f3404" TargetMode="External"/><Relationship Id="rId50" Type="http://schemas.openxmlformats.org/officeDocument/2006/relationships/hyperlink" Target="https://arcprize.org/play?task=d10ecb37" TargetMode="External"/><Relationship Id="rId1302" Type="http://schemas.openxmlformats.org/officeDocument/2006/relationships/hyperlink" Target="https://arcprize.org/play?task=5ad4f10b" TargetMode="External"/><Relationship Id="rId53" Type="http://schemas.openxmlformats.org/officeDocument/2006/relationships/hyperlink" Target="https://arcprize.org/play?task=0ca9ddb6" TargetMode="External"/><Relationship Id="rId1303" Type="http://schemas.openxmlformats.org/officeDocument/2006/relationships/hyperlink" Target="https://arcprize.org/play?task=ea786f4a" TargetMode="External"/><Relationship Id="rId52" Type="http://schemas.openxmlformats.org/officeDocument/2006/relationships/hyperlink" Target="https://arcprize.org/play?task=9aec4887" TargetMode="External"/><Relationship Id="rId1304" Type="http://schemas.openxmlformats.org/officeDocument/2006/relationships/hyperlink" Target="https://arcprize.org/play?task=ce4f8723" TargetMode="External"/><Relationship Id="rId55" Type="http://schemas.openxmlformats.org/officeDocument/2006/relationships/hyperlink" Target="https://arcprize.org/play?task=39e1d7f9" TargetMode="External"/><Relationship Id="rId1305" Type="http://schemas.openxmlformats.org/officeDocument/2006/relationships/hyperlink" Target="https://arcprize.org/play?task=d22278a0" TargetMode="External"/><Relationship Id="rId54" Type="http://schemas.openxmlformats.org/officeDocument/2006/relationships/hyperlink" Target="https://arcprize.org/play?task=eb281b96" TargetMode="External"/><Relationship Id="rId1306" Type="http://schemas.openxmlformats.org/officeDocument/2006/relationships/hyperlink" Target="https://arcprize.org/play?task=93b581b8" TargetMode="External"/><Relationship Id="rId57" Type="http://schemas.openxmlformats.org/officeDocument/2006/relationships/hyperlink" Target="https://arcprize.org/play?task=0d3d703e" TargetMode="External"/><Relationship Id="rId1307" Type="http://schemas.openxmlformats.org/officeDocument/2006/relationships/hyperlink" Target="https://arcprize.org/play?task=fafffa47" TargetMode="External"/><Relationship Id="rId56" Type="http://schemas.openxmlformats.org/officeDocument/2006/relationships/hyperlink" Target="https://arcprize.org/play?task=ce602527" TargetMode="External"/><Relationship Id="rId1308" Type="http://schemas.openxmlformats.org/officeDocument/2006/relationships/hyperlink" Target="https://arcprize.org/play?task=cf98881b" TargetMode="External"/><Relationship Id="rId1309" Type="http://schemas.openxmlformats.org/officeDocument/2006/relationships/hyperlink" Target="https://arcprize.org/play?task=d23f8c26" TargetMode="External"/><Relationship Id="rId719" Type="http://schemas.openxmlformats.org/officeDocument/2006/relationships/hyperlink" Target="https://arcprize.org/play?task=56ff96f3" TargetMode="External"/><Relationship Id="rId718" Type="http://schemas.openxmlformats.org/officeDocument/2006/relationships/hyperlink" Target="https://arcprize.org/play?task=272f95fa" TargetMode="External"/><Relationship Id="rId717" Type="http://schemas.openxmlformats.org/officeDocument/2006/relationships/hyperlink" Target="https://arcprize.org/play?task=760b3cac" TargetMode="External"/><Relationship Id="rId712" Type="http://schemas.openxmlformats.org/officeDocument/2006/relationships/hyperlink" Target="https://arcprize.org/play?task=ded97339" TargetMode="External"/><Relationship Id="rId711" Type="http://schemas.openxmlformats.org/officeDocument/2006/relationships/hyperlink" Target="https://arcprize.org/play?task=363442ee" TargetMode="External"/><Relationship Id="rId710" Type="http://schemas.openxmlformats.org/officeDocument/2006/relationships/hyperlink" Target="https://arcprize.org/play?task=9edfc990" TargetMode="External"/><Relationship Id="rId716" Type="http://schemas.openxmlformats.org/officeDocument/2006/relationships/hyperlink" Target="https://arcprize.org/play?task=c0f76784" TargetMode="External"/><Relationship Id="rId715" Type="http://schemas.openxmlformats.org/officeDocument/2006/relationships/hyperlink" Target="https://arcprize.org/play?task=40853293" TargetMode="External"/><Relationship Id="rId714" Type="http://schemas.openxmlformats.org/officeDocument/2006/relationships/hyperlink" Target="https://arcprize.org/play?task=af902bf9" TargetMode="External"/><Relationship Id="rId713" Type="http://schemas.openxmlformats.org/officeDocument/2006/relationships/hyperlink" Target="https://arcprize.org/play?task=75b8110e" TargetMode="External"/><Relationship Id="rId59" Type="http://schemas.openxmlformats.org/officeDocument/2006/relationships/hyperlink" Target="https://arcprize.org/play?task=b775ac94" TargetMode="External"/><Relationship Id="rId58" Type="http://schemas.openxmlformats.org/officeDocument/2006/relationships/hyperlink" Target="https://arcprize.org/play?task=beb8660c" TargetMode="External"/><Relationship Id="rId1300" Type="http://schemas.openxmlformats.org/officeDocument/2006/relationships/hyperlink" Target="https://arcprize.org/play?task=23581191" TargetMode="External"/><Relationship Id="rId349" Type="http://schemas.openxmlformats.org/officeDocument/2006/relationships/hyperlink" Target="https://arcprize.org/play?task=3e980e27" TargetMode="External"/><Relationship Id="rId348" Type="http://schemas.openxmlformats.org/officeDocument/2006/relationships/hyperlink" Target="https://arcprize.org/play?task=6e82a1ae" TargetMode="External"/><Relationship Id="rId347" Type="http://schemas.openxmlformats.org/officeDocument/2006/relationships/hyperlink" Target="https://arcprize.org/play?task=928ad970" TargetMode="External"/><Relationship Id="rId346" Type="http://schemas.openxmlformats.org/officeDocument/2006/relationships/hyperlink" Target="https://arcprize.org/play?task=d23f8c26" TargetMode="External"/><Relationship Id="rId341" Type="http://schemas.openxmlformats.org/officeDocument/2006/relationships/hyperlink" Target="https://arcprize.org/play?task=3c9b0459" TargetMode="External"/><Relationship Id="rId340" Type="http://schemas.openxmlformats.org/officeDocument/2006/relationships/hyperlink" Target="https://arcprize.org/play?task=d687bc17" TargetMode="External"/><Relationship Id="rId345" Type="http://schemas.openxmlformats.org/officeDocument/2006/relationships/hyperlink" Target="https://arcprize.org/play?task=3de23699" TargetMode="External"/><Relationship Id="rId344" Type="http://schemas.openxmlformats.org/officeDocument/2006/relationships/hyperlink" Target="https://arcprize.org/play?task=d2abd087" TargetMode="External"/><Relationship Id="rId343" Type="http://schemas.openxmlformats.org/officeDocument/2006/relationships/hyperlink" Target="https://arcprize.org/play?task=09629e4f" TargetMode="External"/><Relationship Id="rId342" Type="http://schemas.openxmlformats.org/officeDocument/2006/relationships/hyperlink" Target="https://arcprize.org/play?task=cf98881b" TargetMode="External"/><Relationship Id="rId338" Type="http://schemas.openxmlformats.org/officeDocument/2006/relationships/hyperlink" Target="https://arcprize.org/play?task=ce4f8723" TargetMode="External"/><Relationship Id="rId337" Type="http://schemas.openxmlformats.org/officeDocument/2006/relationships/hyperlink" Target="https://arcprize.org/play?task=3befdf3e" TargetMode="External"/><Relationship Id="rId336" Type="http://schemas.openxmlformats.org/officeDocument/2006/relationships/hyperlink" Target="https://arcprize.org/play?task=6d58a25d" TargetMode="External"/><Relationship Id="rId335" Type="http://schemas.openxmlformats.org/officeDocument/2006/relationships/hyperlink" Target="https://arcprize.org/play?task=4c5c2cf0" TargetMode="External"/><Relationship Id="rId339" Type="http://schemas.openxmlformats.org/officeDocument/2006/relationships/hyperlink" Target="https://arcprize.org/play?task=ae3edfdc" TargetMode="External"/><Relationship Id="rId330" Type="http://schemas.openxmlformats.org/officeDocument/2006/relationships/hyperlink" Target="https://arcprize.org/play?task=bda2d7a6" TargetMode="External"/><Relationship Id="rId334" Type="http://schemas.openxmlformats.org/officeDocument/2006/relationships/hyperlink" Target="https://arcprize.org/play?task=bdad9b1f" TargetMode="External"/><Relationship Id="rId333" Type="http://schemas.openxmlformats.org/officeDocument/2006/relationships/hyperlink" Target="https://arcprize.org/play?task=3bdb4ada" TargetMode="External"/><Relationship Id="rId332" Type="http://schemas.openxmlformats.org/officeDocument/2006/relationships/hyperlink" Target="https://arcprize.org/play?task=2bcee788" TargetMode="External"/><Relationship Id="rId331" Type="http://schemas.openxmlformats.org/officeDocument/2006/relationships/hyperlink" Target="https://arcprize.org/play?task=952a094c" TargetMode="External"/><Relationship Id="rId370" Type="http://schemas.openxmlformats.org/officeDocument/2006/relationships/hyperlink" Target="https://arcprize.org/play?task=2281f1f4" TargetMode="External"/><Relationship Id="rId369" Type="http://schemas.openxmlformats.org/officeDocument/2006/relationships/hyperlink" Target="https://arcprize.org/play?task=41e4d17e" TargetMode="External"/><Relationship Id="rId368" Type="http://schemas.openxmlformats.org/officeDocument/2006/relationships/hyperlink" Target="https://arcprize.org/play?task=4093f84a" TargetMode="External"/><Relationship Id="rId363" Type="http://schemas.openxmlformats.org/officeDocument/2006/relationships/hyperlink" Target="https://arcprize.org/play?task=8efcae92" TargetMode="External"/><Relationship Id="rId362" Type="http://schemas.openxmlformats.org/officeDocument/2006/relationships/hyperlink" Target="https://arcprize.org/play?task=bc1d5164" TargetMode="External"/><Relationship Id="rId361" Type="http://schemas.openxmlformats.org/officeDocument/2006/relationships/hyperlink" Target="https://arcprize.org/play?task=40853293" TargetMode="External"/><Relationship Id="rId360" Type="http://schemas.openxmlformats.org/officeDocument/2006/relationships/hyperlink" Target="https://arcprize.org/play?task=ea32f347" TargetMode="External"/><Relationship Id="rId367" Type="http://schemas.openxmlformats.org/officeDocument/2006/relationships/hyperlink" Target="https://arcprize.org/play?task=d687bc17" TargetMode="External"/><Relationship Id="rId366" Type="http://schemas.openxmlformats.org/officeDocument/2006/relationships/hyperlink" Target="https://arcprize.org/play?task=eb5a1d5d" TargetMode="External"/><Relationship Id="rId365" Type="http://schemas.openxmlformats.org/officeDocument/2006/relationships/hyperlink" Target="https://arcprize.org/play?task=4093f84a" TargetMode="External"/><Relationship Id="rId364" Type="http://schemas.openxmlformats.org/officeDocument/2006/relationships/hyperlink" Target="https://arcprize.org/play?task=6c434453" TargetMode="External"/><Relationship Id="rId95" Type="http://schemas.openxmlformats.org/officeDocument/2006/relationships/hyperlink" Target="https://arcprize.org/play?task=ce602527" TargetMode="External"/><Relationship Id="rId94" Type="http://schemas.openxmlformats.org/officeDocument/2006/relationships/hyperlink" Target="https://arcprize.org/play?task=d631b094" TargetMode="External"/><Relationship Id="rId97" Type="http://schemas.openxmlformats.org/officeDocument/2006/relationships/hyperlink" Target="https://arcprize.org/play?task=1b2d62fb" TargetMode="External"/><Relationship Id="rId96" Type="http://schemas.openxmlformats.org/officeDocument/2006/relationships/hyperlink" Target="https://arcprize.org/play?task=a78176bb" TargetMode="External"/><Relationship Id="rId99" Type="http://schemas.openxmlformats.org/officeDocument/2006/relationships/hyperlink" Target="https://arcprize.org/play?task=c8cbb738" TargetMode="External"/><Relationship Id="rId98" Type="http://schemas.openxmlformats.org/officeDocument/2006/relationships/hyperlink" Target="https://arcprize.org/play?task=e9afcf9a" TargetMode="External"/><Relationship Id="rId91" Type="http://schemas.openxmlformats.org/officeDocument/2006/relationships/hyperlink" Target="https://arcprize.org/play?task=b7249182" TargetMode="External"/><Relationship Id="rId90" Type="http://schemas.openxmlformats.org/officeDocument/2006/relationships/hyperlink" Target="https://arcprize.org/play?task=b1948b0a" TargetMode="External"/><Relationship Id="rId93" Type="http://schemas.openxmlformats.org/officeDocument/2006/relationships/hyperlink" Target="https://arcprize.org/play?task=1a07d186" TargetMode="External"/><Relationship Id="rId92" Type="http://schemas.openxmlformats.org/officeDocument/2006/relationships/hyperlink" Target="https://arcprize.org/play?task=e509e548" TargetMode="External"/><Relationship Id="rId359" Type="http://schemas.openxmlformats.org/officeDocument/2006/relationships/hyperlink" Target="https://arcprize.org/play?task=25d487eb" TargetMode="External"/><Relationship Id="rId358" Type="http://schemas.openxmlformats.org/officeDocument/2006/relationships/hyperlink" Target="https://arcprize.org/play?task=7fe24cdd" TargetMode="External"/><Relationship Id="rId357" Type="http://schemas.openxmlformats.org/officeDocument/2006/relationships/hyperlink" Target="https://arcprize.org/play?task=3f7978a0" TargetMode="External"/><Relationship Id="rId352" Type="http://schemas.openxmlformats.org/officeDocument/2006/relationships/hyperlink" Target="https://arcprize.org/play?task=d6ad076f" TargetMode="External"/><Relationship Id="rId351" Type="http://schemas.openxmlformats.org/officeDocument/2006/relationships/hyperlink" Target="https://arcprize.org/play?task=a61ba2ce" TargetMode="External"/><Relationship Id="rId350" Type="http://schemas.openxmlformats.org/officeDocument/2006/relationships/hyperlink" Target="https://arcprize.org/play?task=23581191" TargetMode="External"/><Relationship Id="rId356" Type="http://schemas.openxmlformats.org/officeDocument/2006/relationships/hyperlink" Target="https://arcprize.org/play?task=b782dc8a" TargetMode="External"/><Relationship Id="rId355" Type="http://schemas.openxmlformats.org/officeDocument/2006/relationships/hyperlink" Target="https://arcprize.org/play?task=6d58a25d" TargetMode="External"/><Relationship Id="rId354" Type="http://schemas.openxmlformats.org/officeDocument/2006/relationships/hyperlink" Target="https://arcprize.org/play?task=46442a0e" TargetMode="External"/><Relationship Id="rId353" Type="http://schemas.openxmlformats.org/officeDocument/2006/relationships/hyperlink" Target="https://arcprize.org/play?task=3eda0437" TargetMode="External"/><Relationship Id="rId1378" Type="http://schemas.openxmlformats.org/officeDocument/2006/relationships/hyperlink" Target="https://arcprize.org/play?task=2c608aff" TargetMode="External"/><Relationship Id="rId1379" Type="http://schemas.openxmlformats.org/officeDocument/2006/relationships/hyperlink" Target="https://arcprize.org/play?task=8d5021e8" TargetMode="External"/><Relationship Id="rId305" Type="http://schemas.openxmlformats.org/officeDocument/2006/relationships/hyperlink" Target="https://arcprize.org/play?task=3906de3d" TargetMode="External"/><Relationship Id="rId789" Type="http://schemas.openxmlformats.org/officeDocument/2006/relationships/hyperlink" Target="https://arcprize.org/play?task=834ec97d" TargetMode="External"/><Relationship Id="rId304" Type="http://schemas.openxmlformats.org/officeDocument/2006/relationships/hyperlink" Target="https://arcprize.org/play?task=c8cbb738" TargetMode="External"/><Relationship Id="rId788" Type="http://schemas.openxmlformats.org/officeDocument/2006/relationships/hyperlink" Target="https://arcprize.org/play?task=85c4e7cd" TargetMode="External"/><Relationship Id="rId303" Type="http://schemas.openxmlformats.org/officeDocument/2006/relationships/hyperlink" Target="https://arcprize.org/play?task=f1cefba8" TargetMode="External"/><Relationship Id="rId787" Type="http://schemas.openxmlformats.org/officeDocument/2006/relationships/hyperlink" Target="https://arcprize.org/play?task=a740d043" TargetMode="External"/><Relationship Id="rId302" Type="http://schemas.openxmlformats.org/officeDocument/2006/relationships/hyperlink" Target="https://arcprize.org/play?task=ea786f4a" TargetMode="External"/><Relationship Id="rId786" Type="http://schemas.openxmlformats.org/officeDocument/2006/relationships/hyperlink" Target="https://arcprize.org/play?task=cbded52d" TargetMode="External"/><Relationship Id="rId309" Type="http://schemas.openxmlformats.org/officeDocument/2006/relationships/hyperlink" Target="https://arcprize.org/play?task=39a8645d" TargetMode="External"/><Relationship Id="rId308" Type="http://schemas.openxmlformats.org/officeDocument/2006/relationships/hyperlink" Target="https://arcprize.org/play?task=846bdb03" TargetMode="External"/><Relationship Id="rId307" Type="http://schemas.openxmlformats.org/officeDocument/2006/relationships/hyperlink" Target="https://arcprize.org/play?task=673ef223" TargetMode="External"/><Relationship Id="rId306" Type="http://schemas.openxmlformats.org/officeDocument/2006/relationships/hyperlink" Target="https://arcprize.org/play?task=fafffa47" TargetMode="External"/><Relationship Id="rId781" Type="http://schemas.openxmlformats.org/officeDocument/2006/relationships/hyperlink" Target="https://arcprize.org/play?task=82819916" TargetMode="External"/><Relationship Id="rId1370" Type="http://schemas.openxmlformats.org/officeDocument/2006/relationships/hyperlink" Target="https://arcprize.org/play?task=e509e548" TargetMode="External"/><Relationship Id="rId780" Type="http://schemas.openxmlformats.org/officeDocument/2006/relationships/hyperlink" Target="https://arcprize.org/play?task=a68b268e" TargetMode="External"/><Relationship Id="rId1371" Type="http://schemas.openxmlformats.org/officeDocument/2006/relationships/hyperlink" Target="https://arcprize.org/play?task=3bdb4ada" TargetMode="External"/><Relationship Id="rId1372" Type="http://schemas.openxmlformats.org/officeDocument/2006/relationships/hyperlink" Target="https://arcprize.org/play?task=a416b8f3" TargetMode="External"/><Relationship Id="rId1373" Type="http://schemas.openxmlformats.org/officeDocument/2006/relationships/hyperlink" Target="https://arcprize.org/play?task=d9f24cd1" TargetMode="External"/><Relationship Id="rId301" Type="http://schemas.openxmlformats.org/officeDocument/2006/relationships/hyperlink" Target="https://arcprize.org/play?task=36fdfd69" TargetMode="External"/><Relationship Id="rId785" Type="http://schemas.openxmlformats.org/officeDocument/2006/relationships/hyperlink" Target="https://arcprize.org/play?task=83302e8f" TargetMode="External"/><Relationship Id="rId1374" Type="http://schemas.openxmlformats.org/officeDocument/2006/relationships/hyperlink" Target="https://arcprize.org/play?task=8731374e" TargetMode="External"/><Relationship Id="rId300" Type="http://schemas.openxmlformats.org/officeDocument/2006/relationships/hyperlink" Target="https://arcprize.org/play?task=72322fa7" TargetMode="External"/><Relationship Id="rId784" Type="http://schemas.openxmlformats.org/officeDocument/2006/relationships/hyperlink" Target="https://arcprize.org/play?task=99fa7670" TargetMode="External"/><Relationship Id="rId1375" Type="http://schemas.openxmlformats.org/officeDocument/2006/relationships/hyperlink" Target="https://arcprize.org/play?task=28bf18c6" TargetMode="External"/><Relationship Id="rId783" Type="http://schemas.openxmlformats.org/officeDocument/2006/relationships/hyperlink" Target="https://arcprize.org/play?task=7b6016b9" TargetMode="External"/><Relationship Id="rId1376" Type="http://schemas.openxmlformats.org/officeDocument/2006/relationships/hyperlink" Target="https://arcprize.org/play?task=f25ffba3" TargetMode="External"/><Relationship Id="rId782" Type="http://schemas.openxmlformats.org/officeDocument/2006/relationships/hyperlink" Target="https://arcprize.org/play?task=913fb3ed" TargetMode="External"/><Relationship Id="rId1377" Type="http://schemas.openxmlformats.org/officeDocument/2006/relationships/hyperlink" Target="https://arcprize.org/play?task=d9fac9be" TargetMode="External"/><Relationship Id="rId1367" Type="http://schemas.openxmlformats.org/officeDocument/2006/relationships/hyperlink" Target="https://arcprize.org/play?task=22168020" TargetMode="External"/><Relationship Id="rId1368" Type="http://schemas.openxmlformats.org/officeDocument/2006/relationships/hyperlink" Target="https://arcprize.org/play?task=d10ecb37" TargetMode="External"/><Relationship Id="rId1369" Type="http://schemas.openxmlformats.org/officeDocument/2006/relationships/hyperlink" Target="https://arcprize.org/play?task=d90796e8" TargetMode="External"/><Relationship Id="rId778" Type="http://schemas.openxmlformats.org/officeDocument/2006/relationships/hyperlink" Target="https://arcprize.org/play?task=2dc579da" TargetMode="External"/><Relationship Id="rId777" Type="http://schemas.openxmlformats.org/officeDocument/2006/relationships/hyperlink" Target="https://arcprize.org/play?task=810b9b61" TargetMode="External"/><Relationship Id="rId776" Type="http://schemas.openxmlformats.org/officeDocument/2006/relationships/hyperlink" Target="https://arcprize.org/play?task=c909285e" TargetMode="External"/><Relationship Id="rId775" Type="http://schemas.openxmlformats.org/officeDocument/2006/relationships/hyperlink" Target="https://arcprize.org/play?task=253bf280" TargetMode="External"/><Relationship Id="rId779" Type="http://schemas.openxmlformats.org/officeDocument/2006/relationships/hyperlink" Target="https://arcprize.org/play?task=484b58aa" TargetMode="External"/><Relationship Id="rId770" Type="http://schemas.openxmlformats.org/officeDocument/2006/relationships/hyperlink" Target="https://arcprize.org/play?task=e179c5f4" TargetMode="External"/><Relationship Id="rId1360" Type="http://schemas.openxmlformats.org/officeDocument/2006/relationships/hyperlink" Target="https://arcprize.org/play?task=e9afcf9a" TargetMode="External"/><Relationship Id="rId1361" Type="http://schemas.openxmlformats.org/officeDocument/2006/relationships/hyperlink" Target="https://arcprize.org/play?task=d89b689b" TargetMode="External"/><Relationship Id="rId1362" Type="http://schemas.openxmlformats.org/officeDocument/2006/relationships/hyperlink" Target="https://arcprize.org/play?task=22233c11" TargetMode="External"/><Relationship Id="rId774" Type="http://schemas.openxmlformats.org/officeDocument/2006/relationships/hyperlink" Target="https://arcprize.org/play?task=1f642eb9" TargetMode="External"/><Relationship Id="rId1363" Type="http://schemas.openxmlformats.org/officeDocument/2006/relationships/hyperlink" Target="https://arcprize.org/play?task=0520fde7" TargetMode="External"/><Relationship Id="rId773" Type="http://schemas.openxmlformats.org/officeDocument/2006/relationships/hyperlink" Target="https://arcprize.org/play?task=80af3007" TargetMode="External"/><Relationship Id="rId1364" Type="http://schemas.openxmlformats.org/officeDocument/2006/relationships/hyperlink" Target="https://arcprize.org/play?task=d631b094" TargetMode="External"/><Relationship Id="rId772" Type="http://schemas.openxmlformats.org/officeDocument/2006/relationships/hyperlink" Target="https://arcprize.org/play?task=7f4411dc" TargetMode="External"/><Relationship Id="rId1365" Type="http://schemas.openxmlformats.org/officeDocument/2006/relationships/hyperlink" Target="https://arcprize.org/play?task=d8c310e9" TargetMode="External"/><Relationship Id="rId771" Type="http://schemas.openxmlformats.org/officeDocument/2006/relationships/hyperlink" Target="https://arcprize.org/play?task=a5313dff" TargetMode="External"/><Relationship Id="rId1366" Type="http://schemas.openxmlformats.org/officeDocument/2006/relationships/hyperlink" Target="https://arcprize.org/play?task=469497ad" TargetMode="External"/><Relationship Id="rId327" Type="http://schemas.openxmlformats.org/officeDocument/2006/relationships/hyperlink" Target="https://arcprize.org/play?task=1f0c79e5" TargetMode="External"/><Relationship Id="rId326" Type="http://schemas.openxmlformats.org/officeDocument/2006/relationships/hyperlink" Target="https://arcprize.org/play?task=bbc9ae5d" TargetMode="External"/><Relationship Id="rId325" Type="http://schemas.openxmlformats.org/officeDocument/2006/relationships/hyperlink" Target="https://arcprize.org/play?task=3af2c5a8" TargetMode="External"/><Relationship Id="rId324" Type="http://schemas.openxmlformats.org/officeDocument/2006/relationships/hyperlink" Target="https://arcprize.org/play?task=22233c11" TargetMode="External"/><Relationship Id="rId329" Type="http://schemas.openxmlformats.org/officeDocument/2006/relationships/hyperlink" Target="https://arcprize.org/play?task=3bd67248" TargetMode="External"/><Relationship Id="rId1390" Type="http://schemas.openxmlformats.org/officeDocument/2006/relationships/hyperlink" Target="https://arcprize.org/play?task=5c2c9af4" TargetMode="External"/><Relationship Id="rId328" Type="http://schemas.openxmlformats.org/officeDocument/2006/relationships/hyperlink" Target="https://arcprize.org/play?task=44d8ac46" TargetMode="External"/><Relationship Id="rId1391" Type="http://schemas.openxmlformats.org/officeDocument/2006/relationships/hyperlink" Target="https://arcprize.org/play?task=746b3537" TargetMode="External"/><Relationship Id="rId1392" Type="http://schemas.openxmlformats.org/officeDocument/2006/relationships/hyperlink" Target="https://arcprize.org/play?task=3906de3d" TargetMode="External"/><Relationship Id="rId1393" Type="http://schemas.openxmlformats.org/officeDocument/2006/relationships/hyperlink" Target="https://arcprize.org/play?task=dbc1a6ce" TargetMode="External"/><Relationship Id="rId1394" Type="http://schemas.openxmlformats.org/officeDocument/2006/relationships/hyperlink" Target="https://arcprize.org/play?task=88a10436" TargetMode="External"/><Relationship Id="rId1395" Type="http://schemas.openxmlformats.org/officeDocument/2006/relationships/hyperlink" Target="https://arcprize.org/play?task=a79310a0" TargetMode="External"/><Relationship Id="rId323" Type="http://schemas.openxmlformats.org/officeDocument/2006/relationships/hyperlink" Target="https://arcprize.org/play?task=941d9a10" TargetMode="External"/><Relationship Id="rId1396" Type="http://schemas.openxmlformats.org/officeDocument/2006/relationships/hyperlink" Target="https://arcprize.org/play?task=54d82841" TargetMode="External"/><Relationship Id="rId322" Type="http://schemas.openxmlformats.org/officeDocument/2006/relationships/hyperlink" Target="https://arcprize.org/play?task=9ecd008a" TargetMode="External"/><Relationship Id="rId1397" Type="http://schemas.openxmlformats.org/officeDocument/2006/relationships/hyperlink" Target="https://arcprize.org/play?task=dc0a314f" TargetMode="External"/><Relationship Id="rId321" Type="http://schemas.openxmlformats.org/officeDocument/2006/relationships/hyperlink" Target="https://arcprize.org/play?task=3ac3eb23" TargetMode="External"/><Relationship Id="rId1398" Type="http://schemas.openxmlformats.org/officeDocument/2006/relationships/hyperlink" Target="https://arcprize.org/play?task=fcb5c309" TargetMode="External"/><Relationship Id="rId320" Type="http://schemas.openxmlformats.org/officeDocument/2006/relationships/hyperlink" Target="https://arcprize.org/play?task=ecdecbb3" TargetMode="External"/><Relationship Id="rId1399" Type="http://schemas.openxmlformats.org/officeDocument/2006/relationships/hyperlink" Target="https://arcprize.org/play?task=e98196ab" TargetMode="External"/><Relationship Id="rId1389" Type="http://schemas.openxmlformats.org/officeDocument/2006/relationships/hyperlink" Target="https://arcprize.org/play?task=db93a21d" TargetMode="External"/><Relationship Id="rId316" Type="http://schemas.openxmlformats.org/officeDocument/2006/relationships/hyperlink" Target="https://arcprize.org/play?task=b527c5c6" TargetMode="External"/><Relationship Id="rId315" Type="http://schemas.openxmlformats.org/officeDocument/2006/relationships/hyperlink" Target="https://arcprize.org/play?task=694f12f3" TargetMode="External"/><Relationship Id="rId799" Type="http://schemas.openxmlformats.org/officeDocument/2006/relationships/hyperlink" Target="https://arcprize.org/play?task=1f642eb9" TargetMode="External"/><Relationship Id="rId314" Type="http://schemas.openxmlformats.org/officeDocument/2006/relationships/hyperlink" Target="https://arcprize.org/play?task=54d82841" TargetMode="External"/><Relationship Id="rId798" Type="http://schemas.openxmlformats.org/officeDocument/2006/relationships/hyperlink" Target="https://arcprize.org/play?task=253bf280" TargetMode="External"/><Relationship Id="rId313" Type="http://schemas.openxmlformats.org/officeDocument/2006/relationships/hyperlink" Target="https://arcprize.org/play?task=39e1d7f9" TargetMode="External"/><Relationship Id="rId797" Type="http://schemas.openxmlformats.org/officeDocument/2006/relationships/hyperlink" Target="https://arcprize.org/play?task=846bdb03" TargetMode="External"/><Relationship Id="rId319" Type="http://schemas.openxmlformats.org/officeDocument/2006/relationships/hyperlink" Target="https://arcprize.org/play?task=56dc2b01" TargetMode="External"/><Relationship Id="rId318" Type="http://schemas.openxmlformats.org/officeDocument/2006/relationships/hyperlink" Target="https://arcprize.org/play?task=99b1bc43" TargetMode="External"/><Relationship Id="rId317" Type="http://schemas.openxmlformats.org/officeDocument/2006/relationships/hyperlink" Target="https://arcprize.org/play?task=3aa6fb7a" TargetMode="External"/><Relationship Id="rId1380" Type="http://schemas.openxmlformats.org/officeDocument/2006/relationships/hyperlink" Target="https://arcprize.org/play?task=9dfd6313" TargetMode="External"/><Relationship Id="rId792" Type="http://schemas.openxmlformats.org/officeDocument/2006/relationships/hyperlink" Target="https://arcprize.org/play?task=9f236235" TargetMode="External"/><Relationship Id="rId1381" Type="http://schemas.openxmlformats.org/officeDocument/2006/relationships/hyperlink" Target="https://arcprize.org/play?task=dae9d2b5" TargetMode="External"/><Relationship Id="rId791" Type="http://schemas.openxmlformats.org/officeDocument/2006/relationships/hyperlink" Target="https://arcprize.org/play?task=d43fd935" TargetMode="External"/><Relationship Id="rId1382" Type="http://schemas.openxmlformats.org/officeDocument/2006/relationships/hyperlink" Target="https://arcprize.org/play?task=ecdecbb3" TargetMode="External"/><Relationship Id="rId790" Type="http://schemas.openxmlformats.org/officeDocument/2006/relationships/hyperlink" Target="https://arcprize.org/play?task=d364b489" TargetMode="External"/><Relationship Id="rId1383" Type="http://schemas.openxmlformats.org/officeDocument/2006/relationships/hyperlink" Target="https://arcprize.org/play?task=29c11459" TargetMode="External"/><Relationship Id="rId1384" Type="http://schemas.openxmlformats.org/officeDocument/2006/relationships/hyperlink" Target="https://arcprize.org/play?task=00d62c1b" TargetMode="External"/><Relationship Id="rId312" Type="http://schemas.openxmlformats.org/officeDocument/2006/relationships/hyperlink" Target="https://arcprize.org/play?task=150deff5" TargetMode="External"/><Relationship Id="rId796" Type="http://schemas.openxmlformats.org/officeDocument/2006/relationships/hyperlink" Target="https://arcprize.org/play?task=eb5a1d5d" TargetMode="External"/><Relationship Id="rId1385" Type="http://schemas.openxmlformats.org/officeDocument/2006/relationships/hyperlink" Target="https://arcprize.org/play?task=db3e9e38" TargetMode="External"/><Relationship Id="rId311" Type="http://schemas.openxmlformats.org/officeDocument/2006/relationships/hyperlink" Target="https://arcprize.org/play?task=681b3aeb" TargetMode="External"/><Relationship Id="rId795" Type="http://schemas.openxmlformats.org/officeDocument/2006/relationships/hyperlink" Target="https://arcprize.org/play?task=dc433765" TargetMode="External"/><Relationship Id="rId1386" Type="http://schemas.openxmlformats.org/officeDocument/2006/relationships/hyperlink" Target="https://arcprize.org/play?task=f8c80d96" TargetMode="External"/><Relationship Id="rId310" Type="http://schemas.openxmlformats.org/officeDocument/2006/relationships/hyperlink" Target="https://arcprize.org/play?task=3428a4f5" TargetMode="External"/><Relationship Id="rId794" Type="http://schemas.openxmlformats.org/officeDocument/2006/relationships/hyperlink" Target="https://arcprize.org/play?task=dc1df850" TargetMode="External"/><Relationship Id="rId1387" Type="http://schemas.openxmlformats.org/officeDocument/2006/relationships/hyperlink" Target="https://arcprize.org/play?task=5582e5ca" TargetMode="External"/><Relationship Id="rId793" Type="http://schemas.openxmlformats.org/officeDocument/2006/relationships/hyperlink" Target="https://arcprize.org/play?task=8403a5d5" TargetMode="External"/><Relationship Id="rId1388" Type="http://schemas.openxmlformats.org/officeDocument/2006/relationships/hyperlink" Target="https://arcprize.org/play?task=08ed6ac7" TargetMode="External"/><Relationship Id="rId297" Type="http://schemas.openxmlformats.org/officeDocument/2006/relationships/hyperlink" Target="https://arcprize.org/play?task=36d67576" TargetMode="External"/><Relationship Id="rId296" Type="http://schemas.openxmlformats.org/officeDocument/2006/relationships/hyperlink" Target="https://arcprize.org/play?task=50846271" TargetMode="External"/><Relationship Id="rId295" Type="http://schemas.openxmlformats.org/officeDocument/2006/relationships/hyperlink" Target="https://arcprize.org/play?task=0962bcdd" TargetMode="External"/><Relationship Id="rId294" Type="http://schemas.openxmlformats.org/officeDocument/2006/relationships/hyperlink" Target="https://arcprize.org/play?task=a5f85a15" TargetMode="External"/><Relationship Id="rId299" Type="http://schemas.openxmlformats.org/officeDocument/2006/relationships/hyperlink" Target="https://arcprize.org/play?task=2bcee788" TargetMode="External"/><Relationship Id="rId298" Type="http://schemas.openxmlformats.org/officeDocument/2006/relationships/hyperlink" Target="https://arcprize.org/play?task=b8825c91" TargetMode="External"/><Relationship Id="rId271" Type="http://schemas.openxmlformats.org/officeDocument/2006/relationships/hyperlink" Target="https://arcprize.org/play?task=0a938d79" TargetMode="External"/><Relationship Id="rId270" Type="http://schemas.openxmlformats.org/officeDocument/2006/relationships/hyperlink" Target="https://arcprize.org/play?task=82819916" TargetMode="External"/><Relationship Id="rId269" Type="http://schemas.openxmlformats.org/officeDocument/2006/relationships/hyperlink" Target="https://arcprize.org/play?task=321b1fc6" TargetMode="External"/><Relationship Id="rId264" Type="http://schemas.openxmlformats.org/officeDocument/2006/relationships/hyperlink" Target="https://arcprize.org/play?task=444801d8" TargetMode="External"/><Relationship Id="rId263" Type="http://schemas.openxmlformats.org/officeDocument/2006/relationships/hyperlink" Target="https://arcprize.org/play?task=b190f7f5" TargetMode="External"/><Relationship Id="rId262" Type="http://schemas.openxmlformats.org/officeDocument/2006/relationships/hyperlink" Target="https://arcprize.org/play?task=6f8cd79b" TargetMode="External"/><Relationship Id="rId261" Type="http://schemas.openxmlformats.org/officeDocument/2006/relationships/hyperlink" Target="https://arcprize.org/play?task=2dee498d" TargetMode="External"/><Relationship Id="rId268" Type="http://schemas.openxmlformats.org/officeDocument/2006/relationships/hyperlink" Target="https://arcprize.org/play?task=91714a58" TargetMode="External"/><Relationship Id="rId267" Type="http://schemas.openxmlformats.org/officeDocument/2006/relationships/hyperlink" Target="https://arcprize.org/play?task=e73095fd" TargetMode="External"/><Relationship Id="rId266" Type="http://schemas.openxmlformats.org/officeDocument/2006/relationships/hyperlink" Target="https://arcprize.org/play?task=7468f01a" TargetMode="External"/><Relationship Id="rId265" Type="http://schemas.openxmlformats.org/officeDocument/2006/relationships/hyperlink" Target="https://arcprize.org/play?task=31aa019c" TargetMode="External"/><Relationship Id="rId260" Type="http://schemas.openxmlformats.org/officeDocument/2006/relationships/hyperlink" Target="https://arcprize.org/play?task=80af3007" TargetMode="External"/><Relationship Id="rId259" Type="http://schemas.openxmlformats.org/officeDocument/2006/relationships/hyperlink" Target="https://arcprize.org/play?task=11852cab" TargetMode="External"/><Relationship Id="rId258" Type="http://schemas.openxmlformats.org/officeDocument/2006/relationships/hyperlink" Target="https://arcprize.org/play?task=4be741c5" TargetMode="External"/><Relationship Id="rId253" Type="http://schemas.openxmlformats.org/officeDocument/2006/relationships/hyperlink" Target="https://arcprize.org/play?task=2dc579da" TargetMode="External"/><Relationship Id="rId252" Type="http://schemas.openxmlformats.org/officeDocument/2006/relationships/hyperlink" Target="https://arcprize.org/play?task=6855a6e4" TargetMode="External"/><Relationship Id="rId251" Type="http://schemas.openxmlformats.org/officeDocument/2006/relationships/hyperlink" Target="https://arcprize.org/play?task=1a07d186" TargetMode="External"/><Relationship Id="rId250" Type="http://schemas.openxmlformats.org/officeDocument/2006/relationships/hyperlink" Target="https://arcprize.org/play?task=1190e5a7" TargetMode="External"/><Relationship Id="rId257" Type="http://schemas.openxmlformats.org/officeDocument/2006/relationships/hyperlink" Target="https://arcprize.org/play?task=2dd70a9a" TargetMode="External"/><Relationship Id="rId256" Type="http://schemas.openxmlformats.org/officeDocument/2006/relationships/hyperlink" Target="https://arcprize.org/play?task=de1cd16c" TargetMode="External"/><Relationship Id="rId255" Type="http://schemas.openxmlformats.org/officeDocument/2006/relationships/hyperlink" Target="https://arcprize.org/play?task=63613498" TargetMode="External"/><Relationship Id="rId254" Type="http://schemas.openxmlformats.org/officeDocument/2006/relationships/hyperlink" Target="https://arcprize.org/play?task=1fad071e" TargetMode="External"/><Relationship Id="rId293" Type="http://schemas.openxmlformats.org/officeDocument/2006/relationships/hyperlink" Target="https://arcprize.org/play?task=363442ee" TargetMode="External"/><Relationship Id="rId292" Type="http://schemas.openxmlformats.org/officeDocument/2006/relationships/hyperlink" Target="https://arcprize.org/play?task=2dd70a9a" TargetMode="External"/><Relationship Id="rId291" Type="http://schemas.openxmlformats.org/officeDocument/2006/relationships/hyperlink" Target="https://arcprize.org/play?task=93b581b8" TargetMode="External"/><Relationship Id="rId290" Type="http://schemas.openxmlformats.org/officeDocument/2006/relationships/hyperlink" Target="https://arcprize.org/play?task=7b7f7511" TargetMode="External"/><Relationship Id="rId286" Type="http://schemas.openxmlformats.org/officeDocument/2006/relationships/hyperlink" Target="https://arcprize.org/play?task=6430c8c4" TargetMode="External"/><Relationship Id="rId285" Type="http://schemas.openxmlformats.org/officeDocument/2006/relationships/hyperlink" Target="https://arcprize.org/play?task=3618c87e" TargetMode="External"/><Relationship Id="rId284" Type="http://schemas.openxmlformats.org/officeDocument/2006/relationships/hyperlink" Target="https://arcprize.org/play?task=5168d44c" TargetMode="External"/><Relationship Id="rId283" Type="http://schemas.openxmlformats.org/officeDocument/2006/relationships/hyperlink" Target="https://arcprize.org/play?task=f15e1fac" TargetMode="External"/><Relationship Id="rId289" Type="http://schemas.openxmlformats.org/officeDocument/2006/relationships/hyperlink" Target="https://arcprize.org/play?task=3631a71a" TargetMode="External"/><Relationship Id="rId288" Type="http://schemas.openxmlformats.org/officeDocument/2006/relationships/hyperlink" Target="https://arcprize.org/play?task=0e206a2e" TargetMode="External"/><Relationship Id="rId287" Type="http://schemas.openxmlformats.org/officeDocument/2006/relationships/hyperlink" Target="https://arcprize.org/play?task=5ad4f10b" TargetMode="External"/><Relationship Id="rId282" Type="http://schemas.openxmlformats.org/officeDocument/2006/relationships/hyperlink" Target="https://arcprize.org/play?task=d9fac9be" TargetMode="External"/><Relationship Id="rId281" Type="http://schemas.openxmlformats.org/officeDocument/2006/relationships/hyperlink" Target="https://arcprize.org/play?task=3428a4f5" TargetMode="External"/><Relationship Id="rId280" Type="http://schemas.openxmlformats.org/officeDocument/2006/relationships/hyperlink" Target="https://arcprize.org/play?task=73251a56" TargetMode="External"/><Relationship Id="rId275" Type="http://schemas.openxmlformats.org/officeDocument/2006/relationships/hyperlink" Target="https://arcprize.org/play?task=44d8ac46" TargetMode="External"/><Relationship Id="rId274" Type="http://schemas.openxmlformats.org/officeDocument/2006/relationships/hyperlink" Target="https://arcprize.org/play?task=ba26e723" TargetMode="External"/><Relationship Id="rId273" Type="http://schemas.openxmlformats.org/officeDocument/2006/relationships/hyperlink" Target="https://arcprize.org/play?task=32597951" TargetMode="External"/><Relationship Id="rId272" Type="http://schemas.openxmlformats.org/officeDocument/2006/relationships/hyperlink" Target="https://arcprize.org/play?task=9d9215db" TargetMode="External"/><Relationship Id="rId279" Type="http://schemas.openxmlformats.org/officeDocument/2006/relationships/hyperlink" Target="https://arcprize.org/play?task=4612dd53" TargetMode="External"/><Relationship Id="rId278" Type="http://schemas.openxmlformats.org/officeDocument/2006/relationships/hyperlink" Target="https://arcprize.org/play?task=94f9d214" TargetMode="External"/><Relationship Id="rId277" Type="http://schemas.openxmlformats.org/officeDocument/2006/relationships/hyperlink" Target="https://arcprize.org/play?task=3345333e" TargetMode="External"/><Relationship Id="rId276" Type="http://schemas.openxmlformats.org/officeDocument/2006/relationships/hyperlink" Target="https://arcprize.org/play?task=b8cdaf2b" TargetMode="External"/><Relationship Id="rId1455" Type="http://schemas.openxmlformats.org/officeDocument/2006/relationships/hyperlink" Target="https://arcprize.org/play?task=d511f180" TargetMode="External"/><Relationship Id="rId1456" Type="http://schemas.openxmlformats.org/officeDocument/2006/relationships/hyperlink" Target="https://arcprize.org/play?task=963e52fc" TargetMode="External"/><Relationship Id="rId1457" Type="http://schemas.openxmlformats.org/officeDocument/2006/relationships/hyperlink" Target="https://arcprize.org/play?task=e6721834" TargetMode="External"/><Relationship Id="rId1458" Type="http://schemas.openxmlformats.org/officeDocument/2006/relationships/hyperlink" Target="https://arcprize.org/play?task=234bbc79" TargetMode="External"/><Relationship Id="rId1459" Type="http://schemas.openxmlformats.org/officeDocument/2006/relationships/hyperlink" Target="https://arcprize.org/play?task=8eb1be9a" TargetMode="External"/><Relationship Id="rId629" Type="http://schemas.openxmlformats.org/officeDocument/2006/relationships/hyperlink" Target="https://arcprize.org/play?task=6b9890af" TargetMode="External"/><Relationship Id="rId624" Type="http://schemas.openxmlformats.org/officeDocument/2006/relationships/hyperlink" Target="https://arcprize.org/play?task=b6afb2da" TargetMode="External"/><Relationship Id="rId623" Type="http://schemas.openxmlformats.org/officeDocument/2006/relationships/hyperlink" Target="https://arcprize.org/play?task=a65b410d" TargetMode="External"/><Relationship Id="rId622" Type="http://schemas.openxmlformats.org/officeDocument/2006/relationships/hyperlink" Target="https://arcprize.org/play?task=5168d44c" TargetMode="External"/><Relationship Id="rId621" Type="http://schemas.openxmlformats.org/officeDocument/2006/relationships/hyperlink" Target="https://arcprize.org/play?task=6a1e5592" TargetMode="External"/><Relationship Id="rId628" Type="http://schemas.openxmlformats.org/officeDocument/2006/relationships/hyperlink" Target="https://arcprize.org/play?task=e48d4e1a" TargetMode="External"/><Relationship Id="rId627" Type="http://schemas.openxmlformats.org/officeDocument/2006/relationships/hyperlink" Target="https://arcprize.org/play?task=239be575" TargetMode="External"/><Relationship Id="rId626" Type="http://schemas.openxmlformats.org/officeDocument/2006/relationships/hyperlink" Target="https://arcprize.org/play?task=6e02f1e3" TargetMode="External"/><Relationship Id="rId625" Type="http://schemas.openxmlformats.org/officeDocument/2006/relationships/hyperlink" Target="https://arcprize.org/play?task=6aa20dc0" TargetMode="External"/><Relationship Id="rId1450" Type="http://schemas.openxmlformats.org/officeDocument/2006/relationships/hyperlink" Target="https://arcprize.org/play?task=890034e9" TargetMode="External"/><Relationship Id="rId620" Type="http://schemas.openxmlformats.org/officeDocument/2006/relationships/hyperlink" Target="https://arcprize.org/play?task=d90796e8" TargetMode="External"/><Relationship Id="rId1451" Type="http://schemas.openxmlformats.org/officeDocument/2006/relationships/hyperlink" Target="https://arcprize.org/play?task=ce22a75a" TargetMode="External"/><Relationship Id="rId1452" Type="http://schemas.openxmlformats.org/officeDocument/2006/relationships/hyperlink" Target="https://arcprize.org/play?task=c9f8e694" TargetMode="External"/><Relationship Id="rId1453" Type="http://schemas.openxmlformats.org/officeDocument/2006/relationships/hyperlink" Target="https://arcprize.org/play?task=e50d258f" TargetMode="External"/><Relationship Id="rId1454" Type="http://schemas.openxmlformats.org/officeDocument/2006/relationships/hyperlink" Target="https://arcprize.org/play?task=045e512c" TargetMode="External"/><Relationship Id="rId1444" Type="http://schemas.openxmlformats.org/officeDocument/2006/relationships/hyperlink" Target="https://arcprize.org/play?task=d037b0a7" TargetMode="External"/><Relationship Id="rId1445" Type="http://schemas.openxmlformats.org/officeDocument/2006/relationships/hyperlink" Target="https://arcprize.org/play?task=e5062a87" TargetMode="External"/><Relationship Id="rId1446" Type="http://schemas.openxmlformats.org/officeDocument/2006/relationships/hyperlink" Target="https://arcprize.org/play?task=6ecd11f4" TargetMode="External"/><Relationship Id="rId1447" Type="http://schemas.openxmlformats.org/officeDocument/2006/relationships/hyperlink" Target="https://arcprize.org/play?task=bd4472b8" TargetMode="External"/><Relationship Id="rId1448" Type="http://schemas.openxmlformats.org/officeDocument/2006/relationships/hyperlink" Target="https://arcprize.org/play?task=e3497940" TargetMode="External"/><Relationship Id="rId1449" Type="http://schemas.openxmlformats.org/officeDocument/2006/relationships/hyperlink" Target="https://arcprize.org/play?task=e509e548" TargetMode="External"/><Relationship Id="rId619" Type="http://schemas.openxmlformats.org/officeDocument/2006/relationships/hyperlink" Target="https://arcprize.org/play?task=91714a58" TargetMode="External"/><Relationship Id="rId618" Type="http://schemas.openxmlformats.org/officeDocument/2006/relationships/hyperlink" Target="https://arcprize.org/play?task=4258a5f9" TargetMode="External"/><Relationship Id="rId613" Type="http://schemas.openxmlformats.org/officeDocument/2006/relationships/hyperlink" Target="https://arcprize.org/play?task=68b16354" TargetMode="External"/><Relationship Id="rId612" Type="http://schemas.openxmlformats.org/officeDocument/2006/relationships/hyperlink" Target="https://arcprize.org/play?task=3631a71a" TargetMode="External"/><Relationship Id="rId611" Type="http://schemas.openxmlformats.org/officeDocument/2006/relationships/hyperlink" Target="https://arcprize.org/play?task=868de0fa" TargetMode="External"/><Relationship Id="rId610" Type="http://schemas.openxmlformats.org/officeDocument/2006/relationships/hyperlink" Target="https://arcprize.org/play?task=e48d4e1a" TargetMode="External"/><Relationship Id="rId617" Type="http://schemas.openxmlformats.org/officeDocument/2006/relationships/hyperlink" Target="https://arcprize.org/play?task=694f12f3" TargetMode="External"/><Relationship Id="rId616" Type="http://schemas.openxmlformats.org/officeDocument/2006/relationships/hyperlink" Target="https://arcprize.org/play?task=834ec97d" TargetMode="External"/><Relationship Id="rId615" Type="http://schemas.openxmlformats.org/officeDocument/2006/relationships/hyperlink" Target="https://arcprize.org/play?task=8d510a79" TargetMode="External"/><Relationship Id="rId614" Type="http://schemas.openxmlformats.org/officeDocument/2006/relationships/hyperlink" Target="https://arcprize.org/play?task=a68b268e" TargetMode="External"/><Relationship Id="rId1440" Type="http://schemas.openxmlformats.org/officeDocument/2006/relationships/hyperlink" Target="https://arcprize.org/play?task=3618c87e" TargetMode="External"/><Relationship Id="rId1441" Type="http://schemas.openxmlformats.org/officeDocument/2006/relationships/hyperlink" Target="https://arcprize.org/play?task=e48d4e1a" TargetMode="External"/><Relationship Id="rId1442" Type="http://schemas.openxmlformats.org/officeDocument/2006/relationships/hyperlink" Target="https://arcprize.org/play?task=776ffc46" TargetMode="External"/><Relationship Id="rId1443" Type="http://schemas.openxmlformats.org/officeDocument/2006/relationships/hyperlink" Target="https://arcprize.org/play?task=0d3d703e" TargetMode="External"/><Relationship Id="rId1477" Type="http://schemas.openxmlformats.org/officeDocument/2006/relationships/hyperlink" Target="https://arcprize.org/play?task=e9614598" TargetMode="External"/><Relationship Id="rId1478" Type="http://schemas.openxmlformats.org/officeDocument/2006/relationships/hyperlink" Target="https://arcprize.org/play?task=e40b9e2f" TargetMode="External"/><Relationship Id="rId1479" Type="http://schemas.openxmlformats.org/officeDocument/2006/relationships/hyperlink" Target="https://arcprize.org/play?task=1e0a9b12" TargetMode="External"/><Relationship Id="rId646" Type="http://schemas.openxmlformats.org/officeDocument/2006/relationships/hyperlink" Target="https://arcprize.org/play?task=7f4411dc" TargetMode="External"/><Relationship Id="rId645" Type="http://schemas.openxmlformats.org/officeDocument/2006/relationships/hyperlink" Target="https://arcprize.org/play?task=6d0160f0" TargetMode="External"/><Relationship Id="rId644" Type="http://schemas.openxmlformats.org/officeDocument/2006/relationships/hyperlink" Target="https://arcprize.org/play?task=90c28cc7" TargetMode="External"/><Relationship Id="rId643" Type="http://schemas.openxmlformats.org/officeDocument/2006/relationships/hyperlink" Target="https://arcprize.org/play?task=ddf7fa4f" TargetMode="External"/><Relationship Id="rId649" Type="http://schemas.openxmlformats.org/officeDocument/2006/relationships/hyperlink" Target="https://arcprize.org/play?task=6d0aefbc" TargetMode="External"/><Relationship Id="rId648" Type="http://schemas.openxmlformats.org/officeDocument/2006/relationships/hyperlink" Target="https://arcprize.org/play?task=29623171" TargetMode="External"/><Relationship Id="rId647" Type="http://schemas.openxmlformats.org/officeDocument/2006/relationships/hyperlink" Target="https://arcprize.org/play?task=ded97339" TargetMode="External"/><Relationship Id="rId1470" Type="http://schemas.openxmlformats.org/officeDocument/2006/relationships/hyperlink" Target="https://arcprize.org/play?task=a8c38be5" TargetMode="External"/><Relationship Id="rId1471" Type="http://schemas.openxmlformats.org/officeDocument/2006/relationships/hyperlink" Target="https://arcprize.org/play?task=3af2c5a8" TargetMode="External"/><Relationship Id="rId1472" Type="http://schemas.openxmlformats.org/officeDocument/2006/relationships/hyperlink" Target="https://arcprize.org/play?task=c8f0f002" TargetMode="External"/><Relationship Id="rId642" Type="http://schemas.openxmlformats.org/officeDocument/2006/relationships/hyperlink" Target="https://arcprize.org/play?task=539a4f51" TargetMode="External"/><Relationship Id="rId1473" Type="http://schemas.openxmlformats.org/officeDocument/2006/relationships/hyperlink" Target="https://arcprize.org/play?task=e8dc4411" TargetMode="External"/><Relationship Id="rId641" Type="http://schemas.openxmlformats.org/officeDocument/2006/relationships/hyperlink" Target="https://arcprize.org/play?task=6cf79266" TargetMode="External"/><Relationship Id="rId1474" Type="http://schemas.openxmlformats.org/officeDocument/2006/relationships/hyperlink" Target="https://arcprize.org/play?task=150deff5" TargetMode="External"/><Relationship Id="rId640" Type="http://schemas.openxmlformats.org/officeDocument/2006/relationships/hyperlink" Target="https://arcprize.org/play?task=d5d6de2d" TargetMode="External"/><Relationship Id="rId1475" Type="http://schemas.openxmlformats.org/officeDocument/2006/relationships/hyperlink" Target="https://arcprize.org/play?task=62c24649" TargetMode="External"/><Relationship Id="rId1476" Type="http://schemas.openxmlformats.org/officeDocument/2006/relationships/hyperlink" Target="https://arcprize.org/play?task=6d0aefbc" TargetMode="External"/><Relationship Id="rId1466" Type="http://schemas.openxmlformats.org/officeDocument/2006/relationships/hyperlink" Target="https://arcprize.org/play?task=e5062a87" TargetMode="External"/><Relationship Id="rId1467" Type="http://schemas.openxmlformats.org/officeDocument/2006/relationships/hyperlink" Target="https://arcprize.org/play?task=25d8a9c8" TargetMode="External"/><Relationship Id="rId1468" Type="http://schemas.openxmlformats.org/officeDocument/2006/relationships/hyperlink" Target="https://arcprize.org/play?task=6150a2bd" TargetMode="External"/><Relationship Id="rId1469" Type="http://schemas.openxmlformats.org/officeDocument/2006/relationships/hyperlink" Target="https://arcprize.org/play?task=e8593010" TargetMode="External"/><Relationship Id="rId635" Type="http://schemas.openxmlformats.org/officeDocument/2006/relationships/hyperlink" Target="https://arcprize.org/play?task=a3325580" TargetMode="External"/><Relationship Id="rId634" Type="http://schemas.openxmlformats.org/officeDocument/2006/relationships/hyperlink" Target="https://arcprize.org/play?task=c909285e" TargetMode="External"/><Relationship Id="rId633" Type="http://schemas.openxmlformats.org/officeDocument/2006/relationships/hyperlink" Target="https://arcprize.org/play?task=6c434453" TargetMode="External"/><Relationship Id="rId632" Type="http://schemas.openxmlformats.org/officeDocument/2006/relationships/hyperlink" Target="https://arcprize.org/play?task=c444b776" TargetMode="External"/><Relationship Id="rId639" Type="http://schemas.openxmlformats.org/officeDocument/2006/relationships/hyperlink" Target="https://arcprize.org/play?task=c3e719e8" TargetMode="External"/><Relationship Id="rId638" Type="http://schemas.openxmlformats.org/officeDocument/2006/relationships/hyperlink" Target="https://arcprize.org/play?task=1e32b0e9" TargetMode="External"/><Relationship Id="rId637" Type="http://schemas.openxmlformats.org/officeDocument/2006/relationships/hyperlink" Target="https://arcprize.org/play?task=6cdd2623" TargetMode="External"/><Relationship Id="rId636" Type="http://schemas.openxmlformats.org/officeDocument/2006/relationships/hyperlink" Target="https://arcprize.org/play?task=d8c310e9" TargetMode="External"/><Relationship Id="rId1460" Type="http://schemas.openxmlformats.org/officeDocument/2006/relationships/hyperlink" Target="https://arcprize.org/play?task=67e8384a" TargetMode="External"/><Relationship Id="rId1461" Type="http://schemas.openxmlformats.org/officeDocument/2006/relationships/hyperlink" Target="https://arcprize.org/play?task=e73095fd" TargetMode="External"/><Relationship Id="rId631" Type="http://schemas.openxmlformats.org/officeDocument/2006/relationships/hyperlink" Target="https://arcprize.org/play?task=623ea044" TargetMode="External"/><Relationship Id="rId1462" Type="http://schemas.openxmlformats.org/officeDocument/2006/relationships/hyperlink" Target="https://arcprize.org/play?task=db93a21d" TargetMode="External"/><Relationship Id="rId630" Type="http://schemas.openxmlformats.org/officeDocument/2006/relationships/hyperlink" Target="https://arcprize.org/play?task=bb43febb" TargetMode="External"/><Relationship Id="rId1463" Type="http://schemas.openxmlformats.org/officeDocument/2006/relationships/hyperlink" Target="https://arcprize.org/play?task=963e52fc" TargetMode="External"/><Relationship Id="rId1464" Type="http://schemas.openxmlformats.org/officeDocument/2006/relationships/hyperlink" Target="https://arcprize.org/play?task=b1948b0a" TargetMode="External"/><Relationship Id="rId1465" Type="http://schemas.openxmlformats.org/officeDocument/2006/relationships/hyperlink" Target="https://arcprize.org/play?task=e76a88a6" TargetMode="External"/><Relationship Id="rId1411" Type="http://schemas.openxmlformats.org/officeDocument/2006/relationships/hyperlink" Target="https://arcprize.org/play?task=9172f3a0" TargetMode="External"/><Relationship Id="rId1412" Type="http://schemas.openxmlformats.org/officeDocument/2006/relationships/hyperlink" Target="https://arcprize.org/play?task=1fad071e" TargetMode="External"/><Relationship Id="rId1413" Type="http://schemas.openxmlformats.org/officeDocument/2006/relationships/hyperlink" Target="https://arcprize.org/play?task=de1cd16c" TargetMode="External"/><Relationship Id="rId1414" Type="http://schemas.openxmlformats.org/officeDocument/2006/relationships/hyperlink" Target="https://arcprize.org/play?task=3eda0437" TargetMode="External"/><Relationship Id="rId1415" Type="http://schemas.openxmlformats.org/officeDocument/2006/relationships/hyperlink" Target="https://arcprize.org/play?task=aabf363d" TargetMode="External"/><Relationship Id="rId1416" Type="http://schemas.openxmlformats.org/officeDocument/2006/relationships/hyperlink" Target="https://arcprize.org/play?task=7468f01a" TargetMode="External"/><Relationship Id="rId1417" Type="http://schemas.openxmlformats.org/officeDocument/2006/relationships/hyperlink" Target="https://arcprize.org/play?task=ded97339" TargetMode="External"/><Relationship Id="rId1418" Type="http://schemas.openxmlformats.org/officeDocument/2006/relationships/hyperlink" Target="https://arcprize.org/play?task=29623171" TargetMode="External"/><Relationship Id="rId1419" Type="http://schemas.openxmlformats.org/officeDocument/2006/relationships/hyperlink" Target="https://arcprize.org/play?task=c59eb873" TargetMode="External"/><Relationship Id="rId1410" Type="http://schemas.openxmlformats.org/officeDocument/2006/relationships/hyperlink" Target="https://arcprize.org/play?task=b527c5c6" TargetMode="External"/><Relationship Id="rId1400" Type="http://schemas.openxmlformats.org/officeDocument/2006/relationships/hyperlink" Target="https://arcprize.org/play?task=d23f8c26" TargetMode="External"/><Relationship Id="rId1401" Type="http://schemas.openxmlformats.org/officeDocument/2006/relationships/hyperlink" Target="https://arcprize.org/play?task=dc1df850" TargetMode="External"/><Relationship Id="rId1402" Type="http://schemas.openxmlformats.org/officeDocument/2006/relationships/hyperlink" Target="https://arcprize.org/play?task=d0f5fe59" TargetMode="External"/><Relationship Id="rId1403" Type="http://schemas.openxmlformats.org/officeDocument/2006/relationships/hyperlink" Target="https://arcprize.org/play?task=3618c87e" TargetMode="External"/><Relationship Id="rId1404" Type="http://schemas.openxmlformats.org/officeDocument/2006/relationships/hyperlink" Target="https://arcprize.org/play?task=ea786f4a" TargetMode="External"/><Relationship Id="rId1405" Type="http://schemas.openxmlformats.org/officeDocument/2006/relationships/hyperlink" Target="https://arcprize.org/play?task=dc433765" TargetMode="External"/><Relationship Id="rId1406" Type="http://schemas.openxmlformats.org/officeDocument/2006/relationships/hyperlink" Target="https://arcprize.org/play?task=321b1fc6" TargetMode="External"/><Relationship Id="rId1407" Type="http://schemas.openxmlformats.org/officeDocument/2006/relationships/hyperlink" Target="https://arcprize.org/play?task=46f33fce" TargetMode="External"/><Relationship Id="rId1408" Type="http://schemas.openxmlformats.org/officeDocument/2006/relationships/hyperlink" Target="https://arcprize.org/play?task=1190e5a7" TargetMode="External"/><Relationship Id="rId1409" Type="http://schemas.openxmlformats.org/officeDocument/2006/relationships/hyperlink" Target="https://arcprize.org/play?task=ddf7fa4f" TargetMode="External"/><Relationship Id="rId1433" Type="http://schemas.openxmlformats.org/officeDocument/2006/relationships/hyperlink" Target="https://arcprize.org/play?task=e3497940" TargetMode="External"/><Relationship Id="rId1434" Type="http://schemas.openxmlformats.org/officeDocument/2006/relationships/hyperlink" Target="https://arcprize.org/play?task=d22278a0" TargetMode="External"/><Relationship Id="rId1435" Type="http://schemas.openxmlformats.org/officeDocument/2006/relationships/hyperlink" Target="https://arcprize.org/play?task=e3497940" TargetMode="External"/><Relationship Id="rId1436" Type="http://schemas.openxmlformats.org/officeDocument/2006/relationships/hyperlink" Target="https://arcprize.org/play?task=e98196ab" TargetMode="External"/><Relationship Id="rId1437" Type="http://schemas.openxmlformats.org/officeDocument/2006/relationships/hyperlink" Target="https://arcprize.org/play?task=e40b9e2f" TargetMode="External"/><Relationship Id="rId1438" Type="http://schemas.openxmlformats.org/officeDocument/2006/relationships/hyperlink" Target="https://arcprize.org/play?task=e8dc4411" TargetMode="External"/><Relationship Id="rId1439" Type="http://schemas.openxmlformats.org/officeDocument/2006/relationships/hyperlink" Target="https://arcprize.org/play?task=c9f8e694" TargetMode="External"/><Relationship Id="rId609" Type="http://schemas.openxmlformats.org/officeDocument/2006/relationships/hyperlink" Target="https://arcprize.org/play?task=6855a6e4" TargetMode="External"/><Relationship Id="rId608" Type="http://schemas.openxmlformats.org/officeDocument/2006/relationships/hyperlink" Target="https://arcprize.org/play?task=6cdd2623" TargetMode="External"/><Relationship Id="rId607" Type="http://schemas.openxmlformats.org/officeDocument/2006/relationships/hyperlink" Target="https://arcprize.org/play?task=444801d8" TargetMode="External"/><Relationship Id="rId602" Type="http://schemas.openxmlformats.org/officeDocument/2006/relationships/hyperlink" Target="https://arcprize.org/play?task=a3df8b1e" TargetMode="External"/><Relationship Id="rId601" Type="http://schemas.openxmlformats.org/officeDocument/2006/relationships/hyperlink" Target="https://arcprize.org/play?task=67e8384a" TargetMode="External"/><Relationship Id="rId600" Type="http://schemas.openxmlformats.org/officeDocument/2006/relationships/hyperlink" Target="https://arcprize.org/play?task=7b6016b9" TargetMode="External"/><Relationship Id="rId606" Type="http://schemas.openxmlformats.org/officeDocument/2006/relationships/hyperlink" Target="https://arcprize.org/play?task=d13f3404" TargetMode="External"/><Relationship Id="rId605" Type="http://schemas.openxmlformats.org/officeDocument/2006/relationships/hyperlink" Target="https://arcprize.org/play?task=681b3aeb" TargetMode="External"/><Relationship Id="rId604" Type="http://schemas.openxmlformats.org/officeDocument/2006/relationships/hyperlink" Target="https://arcprize.org/play?task=e179c5f4" TargetMode="External"/><Relationship Id="rId603" Type="http://schemas.openxmlformats.org/officeDocument/2006/relationships/hyperlink" Target="https://arcprize.org/play?task=42a50994" TargetMode="External"/><Relationship Id="rId1430" Type="http://schemas.openxmlformats.org/officeDocument/2006/relationships/hyperlink" Target="https://arcprize.org/play?task=6455b5f5" TargetMode="External"/><Relationship Id="rId1431" Type="http://schemas.openxmlformats.org/officeDocument/2006/relationships/hyperlink" Target="https://arcprize.org/play?task=d037b0a7" TargetMode="External"/><Relationship Id="rId1432" Type="http://schemas.openxmlformats.org/officeDocument/2006/relationships/hyperlink" Target="https://arcprize.org/play?task=a79310a0" TargetMode="External"/><Relationship Id="rId1422" Type="http://schemas.openxmlformats.org/officeDocument/2006/relationships/hyperlink" Target="https://arcprize.org/play?task=3befdf3e" TargetMode="External"/><Relationship Id="rId1423" Type="http://schemas.openxmlformats.org/officeDocument/2006/relationships/hyperlink" Target="https://arcprize.org/play?task=1cf80156" TargetMode="External"/><Relationship Id="rId1424" Type="http://schemas.openxmlformats.org/officeDocument/2006/relationships/hyperlink" Target="https://arcprize.org/play?task=f2829549" TargetMode="External"/><Relationship Id="rId1425" Type="http://schemas.openxmlformats.org/officeDocument/2006/relationships/hyperlink" Target="https://arcprize.org/play?task=e21d9049" TargetMode="External"/><Relationship Id="rId1426" Type="http://schemas.openxmlformats.org/officeDocument/2006/relationships/hyperlink" Target="https://arcprize.org/play?task=b230c067" TargetMode="External"/><Relationship Id="rId1427" Type="http://schemas.openxmlformats.org/officeDocument/2006/relationships/hyperlink" Target="https://arcprize.org/play?task=22eb0ac0" TargetMode="External"/><Relationship Id="rId1428" Type="http://schemas.openxmlformats.org/officeDocument/2006/relationships/hyperlink" Target="https://arcprize.org/play?task=22168020" TargetMode="External"/><Relationship Id="rId1429" Type="http://schemas.openxmlformats.org/officeDocument/2006/relationships/hyperlink" Target="https://arcprize.org/play?task=e26a3af2" TargetMode="External"/><Relationship Id="rId1420" Type="http://schemas.openxmlformats.org/officeDocument/2006/relationships/hyperlink" Target="https://arcprize.org/play?task=1b2d62fb" TargetMode="External"/><Relationship Id="rId1421" Type="http://schemas.openxmlformats.org/officeDocument/2006/relationships/hyperlink" Target="https://arcprize.org/play?task=e179c5f4" TargetMode="External"/><Relationship Id="rId1059" Type="http://schemas.openxmlformats.org/officeDocument/2006/relationships/hyperlink" Target="https://arcprize.org/play?task=b91ae062" TargetMode="External"/><Relationship Id="rId228" Type="http://schemas.openxmlformats.org/officeDocument/2006/relationships/hyperlink" Target="https://arcprize.org/play?task=6b9890af" TargetMode="External"/><Relationship Id="rId227" Type="http://schemas.openxmlformats.org/officeDocument/2006/relationships/hyperlink" Target="https://arcprize.org/play?task=22233c11" TargetMode="External"/><Relationship Id="rId226" Type="http://schemas.openxmlformats.org/officeDocument/2006/relationships/hyperlink" Target="https://arcprize.org/play?task=22168020" TargetMode="External"/><Relationship Id="rId225" Type="http://schemas.openxmlformats.org/officeDocument/2006/relationships/hyperlink" Target="https://arcprize.org/play?task=28e73c20" TargetMode="External"/><Relationship Id="rId229" Type="http://schemas.openxmlformats.org/officeDocument/2006/relationships/hyperlink" Target="https://arcprize.org/play?task=29623171" TargetMode="External"/><Relationship Id="rId1050" Type="http://schemas.openxmlformats.org/officeDocument/2006/relationships/hyperlink" Target="https://arcprize.org/play?task=1b60fb0c" TargetMode="External"/><Relationship Id="rId220" Type="http://schemas.openxmlformats.org/officeDocument/2006/relationships/hyperlink" Target="https://arcprize.org/play?task=83302e8f" TargetMode="External"/><Relationship Id="rId1051" Type="http://schemas.openxmlformats.org/officeDocument/2006/relationships/hyperlink" Target="https://arcprize.org/play?task=2204b7a8" TargetMode="External"/><Relationship Id="rId1052" Type="http://schemas.openxmlformats.org/officeDocument/2006/relationships/hyperlink" Target="https://arcprize.org/play?task=bbc9ae5d" TargetMode="External"/><Relationship Id="rId1053" Type="http://schemas.openxmlformats.org/officeDocument/2006/relationships/hyperlink" Target="https://arcprize.org/play?task=a8d7556c" TargetMode="External"/><Relationship Id="rId1054" Type="http://schemas.openxmlformats.org/officeDocument/2006/relationships/hyperlink" Target="https://arcprize.org/play?task=4093f84a" TargetMode="External"/><Relationship Id="rId224" Type="http://schemas.openxmlformats.org/officeDocument/2006/relationships/hyperlink" Target="https://arcprize.org/play?task=5daaa586" TargetMode="External"/><Relationship Id="rId1055" Type="http://schemas.openxmlformats.org/officeDocument/2006/relationships/hyperlink" Target="https://arcprize.org/play?task=ac0a08a4" TargetMode="External"/><Relationship Id="rId223" Type="http://schemas.openxmlformats.org/officeDocument/2006/relationships/hyperlink" Target="https://arcprize.org/play?task=e509e548" TargetMode="External"/><Relationship Id="rId1056" Type="http://schemas.openxmlformats.org/officeDocument/2006/relationships/hyperlink" Target="https://arcprize.org/play?task=bdad9b1f" TargetMode="External"/><Relationship Id="rId222" Type="http://schemas.openxmlformats.org/officeDocument/2006/relationships/hyperlink" Target="https://arcprize.org/play?task=0520fde7" TargetMode="External"/><Relationship Id="rId1057" Type="http://schemas.openxmlformats.org/officeDocument/2006/relationships/hyperlink" Target="https://arcprize.org/play?task=a9f96cdd" TargetMode="External"/><Relationship Id="rId221" Type="http://schemas.openxmlformats.org/officeDocument/2006/relationships/hyperlink" Target="https://arcprize.org/play?task=28bf18c6" TargetMode="External"/><Relationship Id="rId1058" Type="http://schemas.openxmlformats.org/officeDocument/2006/relationships/hyperlink" Target="https://arcprize.org/play?task=855e0971" TargetMode="External"/><Relationship Id="rId1048" Type="http://schemas.openxmlformats.org/officeDocument/2006/relationships/hyperlink" Target="https://arcprize.org/play?task=7fe24cdd" TargetMode="External"/><Relationship Id="rId1049" Type="http://schemas.openxmlformats.org/officeDocument/2006/relationships/hyperlink" Target="https://arcprize.org/play?task=a8c38be5" TargetMode="External"/><Relationship Id="rId217" Type="http://schemas.openxmlformats.org/officeDocument/2006/relationships/hyperlink" Target="https://arcprize.org/play?task=27a28665" TargetMode="External"/><Relationship Id="rId216" Type="http://schemas.openxmlformats.org/officeDocument/2006/relationships/hyperlink" Target="https://arcprize.org/play?task=6e19193c" TargetMode="External"/><Relationship Id="rId215" Type="http://schemas.openxmlformats.org/officeDocument/2006/relationships/hyperlink" Target="https://arcprize.org/play?task=f8c80d96" TargetMode="External"/><Relationship Id="rId699" Type="http://schemas.openxmlformats.org/officeDocument/2006/relationships/hyperlink" Target="https://arcprize.org/play?task=0ca9ddb6" TargetMode="External"/><Relationship Id="rId214" Type="http://schemas.openxmlformats.org/officeDocument/2006/relationships/hyperlink" Target="https://arcprize.org/play?task=28bf18c6" TargetMode="External"/><Relationship Id="rId698" Type="http://schemas.openxmlformats.org/officeDocument/2006/relationships/hyperlink" Target="https://arcprize.org/play?task=b60334d2" TargetMode="External"/><Relationship Id="rId219" Type="http://schemas.openxmlformats.org/officeDocument/2006/relationships/hyperlink" Target="https://arcprize.org/play?task=8731374e" TargetMode="External"/><Relationship Id="rId218" Type="http://schemas.openxmlformats.org/officeDocument/2006/relationships/hyperlink" Target="https://arcprize.org/play?task=8d5021e8" TargetMode="External"/><Relationship Id="rId693" Type="http://schemas.openxmlformats.org/officeDocument/2006/relationships/hyperlink" Target="https://arcprize.org/play?task=73251a56" TargetMode="External"/><Relationship Id="rId1040" Type="http://schemas.openxmlformats.org/officeDocument/2006/relationships/hyperlink" Target="https://arcprize.org/play?task=5521c0d9" TargetMode="External"/><Relationship Id="rId692" Type="http://schemas.openxmlformats.org/officeDocument/2006/relationships/hyperlink" Target="https://arcprize.org/play?task=1b60fb0c" TargetMode="External"/><Relationship Id="rId1041" Type="http://schemas.openxmlformats.org/officeDocument/2006/relationships/hyperlink" Target="https://arcprize.org/play?task=a85d4709" TargetMode="External"/><Relationship Id="rId691" Type="http://schemas.openxmlformats.org/officeDocument/2006/relationships/hyperlink" Target="https://arcprize.org/play?task=a9f96cdd" TargetMode="External"/><Relationship Id="rId1042" Type="http://schemas.openxmlformats.org/officeDocument/2006/relationships/hyperlink" Target="https://arcprize.org/play?task=6855a6e4" TargetMode="External"/><Relationship Id="rId690" Type="http://schemas.openxmlformats.org/officeDocument/2006/relationships/hyperlink" Target="https://arcprize.org/play?task=75b8110e" TargetMode="External"/><Relationship Id="rId1043" Type="http://schemas.openxmlformats.org/officeDocument/2006/relationships/hyperlink" Target="https://arcprize.org/play?task=e26a3af2" TargetMode="External"/><Relationship Id="rId213" Type="http://schemas.openxmlformats.org/officeDocument/2006/relationships/hyperlink" Target="https://arcprize.org/play?task=272f95fa" TargetMode="External"/><Relationship Id="rId697" Type="http://schemas.openxmlformats.org/officeDocument/2006/relationships/hyperlink" Target="https://arcprize.org/play?task=7447852a" TargetMode="External"/><Relationship Id="rId1044" Type="http://schemas.openxmlformats.org/officeDocument/2006/relationships/hyperlink" Target="https://arcprize.org/play?task=c3f564a4" TargetMode="External"/><Relationship Id="rId212" Type="http://schemas.openxmlformats.org/officeDocument/2006/relationships/hyperlink" Target="https://arcprize.org/play?task=543a7ed5" TargetMode="External"/><Relationship Id="rId696" Type="http://schemas.openxmlformats.org/officeDocument/2006/relationships/hyperlink" Target="https://arcprize.org/play?task=41e4d17e" TargetMode="External"/><Relationship Id="rId1045" Type="http://schemas.openxmlformats.org/officeDocument/2006/relationships/hyperlink" Target="https://arcprize.org/play?task=a87f7484" TargetMode="External"/><Relationship Id="rId211" Type="http://schemas.openxmlformats.org/officeDocument/2006/relationships/hyperlink" Target="https://arcprize.org/play?task=ecdecbb3" TargetMode="External"/><Relationship Id="rId695" Type="http://schemas.openxmlformats.org/officeDocument/2006/relationships/hyperlink" Target="https://arcprize.org/play?task=db3e9e38" TargetMode="External"/><Relationship Id="rId1046" Type="http://schemas.openxmlformats.org/officeDocument/2006/relationships/hyperlink" Target="https://arcprize.org/play?task=6cf79266" TargetMode="External"/><Relationship Id="rId210" Type="http://schemas.openxmlformats.org/officeDocument/2006/relationships/hyperlink" Target="https://arcprize.org/play?task=e98196ab" TargetMode="External"/><Relationship Id="rId694" Type="http://schemas.openxmlformats.org/officeDocument/2006/relationships/hyperlink" Target="https://arcprize.org/play?task=88a62173" TargetMode="External"/><Relationship Id="rId1047" Type="http://schemas.openxmlformats.org/officeDocument/2006/relationships/hyperlink" Target="https://arcprize.org/play?task=1bfc4729" TargetMode="External"/><Relationship Id="rId249" Type="http://schemas.openxmlformats.org/officeDocument/2006/relationships/hyperlink" Target="https://arcprize.org/play?task=2c608aff" TargetMode="External"/><Relationship Id="rId248" Type="http://schemas.openxmlformats.org/officeDocument/2006/relationships/hyperlink" Target="https://arcprize.org/play?task=a1570a43" TargetMode="External"/><Relationship Id="rId247" Type="http://schemas.openxmlformats.org/officeDocument/2006/relationships/hyperlink" Target="https://arcprize.org/play?task=e76a88a6" TargetMode="External"/><Relationship Id="rId1070" Type="http://schemas.openxmlformats.org/officeDocument/2006/relationships/hyperlink" Target="https://arcprize.org/play?task=31aa019c" TargetMode="External"/><Relationship Id="rId1071" Type="http://schemas.openxmlformats.org/officeDocument/2006/relationships/hyperlink" Target="https://arcprize.org/play?task=d8c310e9" TargetMode="External"/><Relationship Id="rId1072" Type="http://schemas.openxmlformats.org/officeDocument/2006/relationships/hyperlink" Target="https://arcprize.org/play?task=be94b721" TargetMode="External"/><Relationship Id="rId242" Type="http://schemas.openxmlformats.org/officeDocument/2006/relationships/hyperlink" Target="https://arcprize.org/play?task=dae9d2b5" TargetMode="External"/><Relationship Id="rId1073" Type="http://schemas.openxmlformats.org/officeDocument/2006/relationships/hyperlink" Target="https://arcprize.org/play?task=ae3edfdc" TargetMode="External"/><Relationship Id="rId241" Type="http://schemas.openxmlformats.org/officeDocument/2006/relationships/hyperlink" Target="https://arcprize.org/play?task=2bcee788" TargetMode="External"/><Relationship Id="rId1074" Type="http://schemas.openxmlformats.org/officeDocument/2006/relationships/hyperlink" Target="https://arcprize.org/play?task=7e0986d6" TargetMode="External"/><Relationship Id="rId240" Type="http://schemas.openxmlformats.org/officeDocument/2006/relationships/hyperlink" Target="https://arcprize.org/play?task=3345333e" TargetMode="External"/><Relationship Id="rId1075" Type="http://schemas.openxmlformats.org/officeDocument/2006/relationships/hyperlink" Target="https://arcprize.org/play?task=f8b3ba0a" TargetMode="External"/><Relationship Id="rId1076" Type="http://schemas.openxmlformats.org/officeDocument/2006/relationships/hyperlink" Target="https://arcprize.org/play?task=56ff96f3" TargetMode="External"/><Relationship Id="rId246" Type="http://schemas.openxmlformats.org/officeDocument/2006/relationships/hyperlink" Target="https://arcprize.org/play?task=f2829549" TargetMode="External"/><Relationship Id="rId1077" Type="http://schemas.openxmlformats.org/officeDocument/2006/relationships/hyperlink" Target="https://arcprize.org/play?task=ae4f1146" TargetMode="External"/><Relationship Id="rId245" Type="http://schemas.openxmlformats.org/officeDocument/2006/relationships/hyperlink" Target="https://arcprize.org/play?task=2bee17df" TargetMode="External"/><Relationship Id="rId1078" Type="http://schemas.openxmlformats.org/officeDocument/2006/relationships/hyperlink" Target="https://arcprize.org/play?task=9af7a82c" TargetMode="External"/><Relationship Id="rId244" Type="http://schemas.openxmlformats.org/officeDocument/2006/relationships/hyperlink" Target="https://arcprize.org/play?task=7e0986d6" TargetMode="External"/><Relationship Id="rId1079" Type="http://schemas.openxmlformats.org/officeDocument/2006/relationships/hyperlink" Target="https://arcprize.org/play?task=f8ff0b80" TargetMode="External"/><Relationship Id="rId243" Type="http://schemas.openxmlformats.org/officeDocument/2006/relationships/hyperlink" Target="https://arcprize.org/play?task=a78176bb" TargetMode="External"/><Relationship Id="rId239" Type="http://schemas.openxmlformats.org/officeDocument/2006/relationships/hyperlink" Target="https://arcprize.org/play?task=6d0160f0" TargetMode="External"/><Relationship Id="rId238" Type="http://schemas.openxmlformats.org/officeDocument/2006/relationships/hyperlink" Target="https://arcprize.org/play?task=3ac3eb23" TargetMode="External"/><Relationship Id="rId237" Type="http://schemas.openxmlformats.org/officeDocument/2006/relationships/hyperlink" Target="https://arcprize.org/play?task=29ec7d0e" TargetMode="External"/><Relationship Id="rId236" Type="http://schemas.openxmlformats.org/officeDocument/2006/relationships/hyperlink" Target="https://arcprize.org/play?task=508bd3b6" TargetMode="External"/><Relationship Id="rId1060" Type="http://schemas.openxmlformats.org/officeDocument/2006/relationships/hyperlink" Target="https://arcprize.org/play?task=7b7f7511" TargetMode="External"/><Relationship Id="rId1061" Type="http://schemas.openxmlformats.org/officeDocument/2006/relationships/hyperlink" Target="https://arcprize.org/play?task=aabf363d" TargetMode="External"/><Relationship Id="rId231" Type="http://schemas.openxmlformats.org/officeDocument/2006/relationships/hyperlink" Target="https://arcprize.org/play?task=469497ad" TargetMode="External"/><Relationship Id="rId1062" Type="http://schemas.openxmlformats.org/officeDocument/2006/relationships/hyperlink" Target="https://arcprize.org/play?task=a1570a43" TargetMode="External"/><Relationship Id="rId230" Type="http://schemas.openxmlformats.org/officeDocument/2006/relationships/hyperlink" Target="https://arcprize.org/play?task=3bdb4ada" TargetMode="External"/><Relationship Id="rId1063" Type="http://schemas.openxmlformats.org/officeDocument/2006/relationships/hyperlink" Target="https://arcprize.org/play?task=c444b776" TargetMode="External"/><Relationship Id="rId1064" Type="http://schemas.openxmlformats.org/officeDocument/2006/relationships/hyperlink" Target="https://arcprize.org/play?task=4be741c5" TargetMode="External"/><Relationship Id="rId1065" Type="http://schemas.openxmlformats.org/officeDocument/2006/relationships/hyperlink" Target="https://arcprize.org/play?task=aba27056" TargetMode="External"/><Relationship Id="rId235" Type="http://schemas.openxmlformats.org/officeDocument/2006/relationships/hyperlink" Target="https://arcprize.org/play?task=ec883f72" TargetMode="External"/><Relationship Id="rId1066" Type="http://schemas.openxmlformats.org/officeDocument/2006/relationships/hyperlink" Target="https://arcprize.org/play?task=f8a8fe49" TargetMode="External"/><Relationship Id="rId234" Type="http://schemas.openxmlformats.org/officeDocument/2006/relationships/hyperlink" Target="https://arcprize.org/play?task=1b2d62fb" TargetMode="External"/><Relationship Id="rId1067" Type="http://schemas.openxmlformats.org/officeDocument/2006/relationships/hyperlink" Target="https://arcprize.org/play?task=cce03e0d" TargetMode="External"/><Relationship Id="rId233" Type="http://schemas.openxmlformats.org/officeDocument/2006/relationships/hyperlink" Target="https://arcprize.org/play?task=29c11459" TargetMode="External"/><Relationship Id="rId1068" Type="http://schemas.openxmlformats.org/officeDocument/2006/relationships/hyperlink" Target="https://arcprize.org/play?task=09629e4f" TargetMode="External"/><Relationship Id="rId232" Type="http://schemas.openxmlformats.org/officeDocument/2006/relationships/hyperlink" Target="https://arcprize.org/play?task=b548a754" TargetMode="External"/><Relationship Id="rId1069" Type="http://schemas.openxmlformats.org/officeDocument/2006/relationships/hyperlink" Target="https://arcprize.org/play?task=ac0a08a4" TargetMode="External"/><Relationship Id="rId1015" Type="http://schemas.openxmlformats.org/officeDocument/2006/relationships/hyperlink" Target="https://arcprize.org/play?task=b0c4d837" TargetMode="External"/><Relationship Id="rId1499" Type="http://schemas.openxmlformats.org/officeDocument/2006/relationships/hyperlink" Target="https://arcprize.org/play?task=b1948b0a" TargetMode="External"/><Relationship Id="rId1016" Type="http://schemas.openxmlformats.org/officeDocument/2006/relationships/hyperlink" Target="https://arcprize.org/play?task=2204b7a8" TargetMode="External"/><Relationship Id="rId1017" Type="http://schemas.openxmlformats.org/officeDocument/2006/relationships/hyperlink" Target="https://arcprize.org/play?task=a65b410d" TargetMode="External"/><Relationship Id="rId1018" Type="http://schemas.openxmlformats.org/officeDocument/2006/relationships/hyperlink" Target="https://arcprize.org/play?task=7c008303" TargetMode="External"/><Relationship Id="rId1019" Type="http://schemas.openxmlformats.org/officeDocument/2006/relationships/hyperlink" Target="https://arcprize.org/play?task=b94a9452" TargetMode="External"/><Relationship Id="rId668" Type="http://schemas.openxmlformats.org/officeDocument/2006/relationships/hyperlink" Target="https://arcprize.org/play?task=952a094c" TargetMode="External"/><Relationship Id="rId667" Type="http://schemas.openxmlformats.org/officeDocument/2006/relationships/hyperlink" Target="https://arcprize.org/play?task=e21d9049" TargetMode="External"/><Relationship Id="rId666" Type="http://schemas.openxmlformats.org/officeDocument/2006/relationships/hyperlink" Target="https://arcprize.org/play?task=feca6190" TargetMode="External"/><Relationship Id="rId665" Type="http://schemas.openxmlformats.org/officeDocument/2006/relationships/hyperlink" Target="https://arcprize.org/play?task=6e19193c" TargetMode="External"/><Relationship Id="rId669" Type="http://schemas.openxmlformats.org/officeDocument/2006/relationships/hyperlink" Target="https://arcprize.org/play?task=6e82a1ae" TargetMode="External"/><Relationship Id="rId1490" Type="http://schemas.openxmlformats.org/officeDocument/2006/relationships/hyperlink" Target="https://arcprize.org/play?task=c8cbb738" TargetMode="External"/><Relationship Id="rId660" Type="http://schemas.openxmlformats.org/officeDocument/2006/relationships/hyperlink" Target="https://arcprize.org/play?task=11852cab" TargetMode="External"/><Relationship Id="rId1491" Type="http://schemas.openxmlformats.org/officeDocument/2006/relationships/hyperlink" Target="https://arcprize.org/play?task=a85d4709" TargetMode="External"/><Relationship Id="rId1492" Type="http://schemas.openxmlformats.org/officeDocument/2006/relationships/hyperlink" Target="https://arcprize.org/play?task=eb281b96" TargetMode="External"/><Relationship Id="rId1493" Type="http://schemas.openxmlformats.org/officeDocument/2006/relationships/hyperlink" Target="https://arcprize.org/play?task=ea786f4a" TargetMode="External"/><Relationship Id="rId1010" Type="http://schemas.openxmlformats.org/officeDocument/2006/relationships/hyperlink" Target="https://arcprize.org/play?task=3de23699" TargetMode="External"/><Relationship Id="rId1494" Type="http://schemas.openxmlformats.org/officeDocument/2006/relationships/hyperlink" Target="https://arcprize.org/play?task=f35d900a" TargetMode="External"/><Relationship Id="rId664" Type="http://schemas.openxmlformats.org/officeDocument/2006/relationships/hyperlink" Target="https://arcprize.org/play?task=56dc2b01" TargetMode="External"/><Relationship Id="rId1011" Type="http://schemas.openxmlformats.org/officeDocument/2006/relationships/hyperlink" Target="https://arcprize.org/play?task=ff805c23" TargetMode="External"/><Relationship Id="rId1495" Type="http://schemas.openxmlformats.org/officeDocument/2006/relationships/hyperlink" Target="https://arcprize.org/play?task=e9afcf9a" TargetMode="External"/><Relationship Id="rId663" Type="http://schemas.openxmlformats.org/officeDocument/2006/relationships/hyperlink" Target="https://arcprize.org/play?task=0dfd9992" TargetMode="External"/><Relationship Id="rId1012" Type="http://schemas.openxmlformats.org/officeDocument/2006/relationships/hyperlink" Target="https://arcprize.org/play?task=b0c4d837" TargetMode="External"/><Relationship Id="rId1496" Type="http://schemas.openxmlformats.org/officeDocument/2006/relationships/hyperlink" Target="https://arcprize.org/play?task=ed36ccf7" TargetMode="External"/><Relationship Id="rId662" Type="http://schemas.openxmlformats.org/officeDocument/2006/relationships/hyperlink" Target="https://arcprize.org/play?task=b6afb2da" TargetMode="External"/><Relationship Id="rId1013" Type="http://schemas.openxmlformats.org/officeDocument/2006/relationships/hyperlink" Target="https://arcprize.org/play?task=a64e4611" TargetMode="External"/><Relationship Id="rId1497" Type="http://schemas.openxmlformats.org/officeDocument/2006/relationships/hyperlink" Target="https://arcprize.org/play?task=eb281b96" TargetMode="External"/><Relationship Id="rId661" Type="http://schemas.openxmlformats.org/officeDocument/2006/relationships/hyperlink" Target="https://arcprize.org/play?task=6e02f1e3" TargetMode="External"/><Relationship Id="rId1014" Type="http://schemas.openxmlformats.org/officeDocument/2006/relationships/hyperlink" Target="https://arcprize.org/play?task=53b68214" TargetMode="External"/><Relationship Id="rId1498" Type="http://schemas.openxmlformats.org/officeDocument/2006/relationships/hyperlink" Target="https://arcprize.org/play?task=ce602527" TargetMode="External"/><Relationship Id="rId1004" Type="http://schemas.openxmlformats.org/officeDocument/2006/relationships/hyperlink" Target="https://arcprize.org/play?task=a3df8b1e" TargetMode="External"/><Relationship Id="rId1488" Type="http://schemas.openxmlformats.org/officeDocument/2006/relationships/hyperlink" Target="https://arcprize.org/play?task=67a3c6ac" TargetMode="External"/><Relationship Id="rId1005" Type="http://schemas.openxmlformats.org/officeDocument/2006/relationships/hyperlink" Target="https://arcprize.org/play?task=a61ba2ce" TargetMode="External"/><Relationship Id="rId1489" Type="http://schemas.openxmlformats.org/officeDocument/2006/relationships/hyperlink" Target="https://arcprize.org/play?task=ea32f347" TargetMode="External"/><Relationship Id="rId1006" Type="http://schemas.openxmlformats.org/officeDocument/2006/relationships/hyperlink" Target="https://arcprize.org/play?task=06df4c85" TargetMode="External"/><Relationship Id="rId1007" Type="http://schemas.openxmlformats.org/officeDocument/2006/relationships/hyperlink" Target="https://arcprize.org/play?task=dc0a314f" TargetMode="External"/><Relationship Id="rId1008" Type="http://schemas.openxmlformats.org/officeDocument/2006/relationships/hyperlink" Target="https://arcprize.org/play?task=ff805c23" TargetMode="External"/><Relationship Id="rId1009" Type="http://schemas.openxmlformats.org/officeDocument/2006/relationships/hyperlink" Target="https://arcprize.org/play?task=a61f2674" TargetMode="External"/><Relationship Id="rId657" Type="http://schemas.openxmlformats.org/officeDocument/2006/relationships/hyperlink" Target="https://arcprize.org/play?task=6d75e8bb" TargetMode="External"/><Relationship Id="rId656" Type="http://schemas.openxmlformats.org/officeDocument/2006/relationships/hyperlink" Target="https://arcprize.org/play?task=e76a88a6" TargetMode="External"/><Relationship Id="rId655" Type="http://schemas.openxmlformats.org/officeDocument/2006/relationships/hyperlink" Target="https://arcprize.org/play?task=4938f0c2" TargetMode="External"/><Relationship Id="rId654" Type="http://schemas.openxmlformats.org/officeDocument/2006/relationships/hyperlink" Target="https://arcprize.org/play?task=cdecee7f" TargetMode="External"/><Relationship Id="rId659" Type="http://schemas.openxmlformats.org/officeDocument/2006/relationships/hyperlink" Target="https://arcprize.org/play?task=780d0b14" TargetMode="External"/><Relationship Id="rId658" Type="http://schemas.openxmlformats.org/officeDocument/2006/relationships/hyperlink" Target="https://arcprize.org/play?task=67385a82" TargetMode="External"/><Relationship Id="rId1480" Type="http://schemas.openxmlformats.org/officeDocument/2006/relationships/hyperlink" Target="https://arcprize.org/play?task=c9e6f938" TargetMode="External"/><Relationship Id="rId1481" Type="http://schemas.openxmlformats.org/officeDocument/2006/relationships/hyperlink" Target="https://arcprize.org/play?task=e98196ab" TargetMode="External"/><Relationship Id="rId1482" Type="http://schemas.openxmlformats.org/officeDocument/2006/relationships/hyperlink" Target="https://arcprize.org/play?task=846bdb03" TargetMode="External"/><Relationship Id="rId1483" Type="http://schemas.openxmlformats.org/officeDocument/2006/relationships/hyperlink" Target="https://arcprize.org/play?task=27a28665" TargetMode="External"/><Relationship Id="rId653" Type="http://schemas.openxmlformats.org/officeDocument/2006/relationships/hyperlink" Target="https://arcprize.org/play?task=6d58a25d" TargetMode="External"/><Relationship Id="rId1000" Type="http://schemas.openxmlformats.org/officeDocument/2006/relationships/hyperlink" Target="https://arcprize.org/play?task=bb43febb" TargetMode="External"/><Relationship Id="rId1484" Type="http://schemas.openxmlformats.org/officeDocument/2006/relationships/hyperlink" Target="https://arcprize.org/play?task=beb8660c" TargetMode="External"/><Relationship Id="rId652" Type="http://schemas.openxmlformats.org/officeDocument/2006/relationships/hyperlink" Target="https://arcprize.org/play?task=d0f5fe59" TargetMode="External"/><Relationship Id="rId1001" Type="http://schemas.openxmlformats.org/officeDocument/2006/relationships/hyperlink" Target="https://arcprize.org/play?task=a5f85a15" TargetMode="External"/><Relationship Id="rId1485" Type="http://schemas.openxmlformats.org/officeDocument/2006/relationships/hyperlink" Target="https://arcprize.org/play?task=e9afcf9a" TargetMode="External"/><Relationship Id="rId651" Type="http://schemas.openxmlformats.org/officeDocument/2006/relationships/hyperlink" Target="https://arcprize.org/play?task=137eaa0f" TargetMode="External"/><Relationship Id="rId1002" Type="http://schemas.openxmlformats.org/officeDocument/2006/relationships/hyperlink" Target="https://arcprize.org/play?task=80af3007" TargetMode="External"/><Relationship Id="rId1486" Type="http://schemas.openxmlformats.org/officeDocument/2006/relationships/hyperlink" Target="https://arcprize.org/play?task=aba27056" TargetMode="External"/><Relationship Id="rId650" Type="http://schemas.openxmlformats.org/officeDocument/2006/relationships/hyperlink" Target="https://arcprize.org/play?task=aedd82e4" TargetMode="External"/><Relationship Id="rId1003" Type="http://schemas.openxmlformats.org/officeDocument/2006/relationships/hyperlink" Target="https://arcprize.org/play?task=99fa7670" TargetMode="External"/><Relationship Id="rId1487" Type="http://schemas.openxmlformats.org/officeDocument/2006/relationships/hyperlink" Target="https://arcprize.org/play?task=67e8384a" TargetMode="External"/><Relationship Id="rId1037" Type="http://schemas.openxmlformats.org/officeDocument/2006/relationships/hyperlink" Target="https://arcprize.org/play?task=a79310a0" TargetMode="External"/><Relationship Id="rId1038" Type="http://schemas.openxmlformats.org/officeDocument/2006/relationships/hyperlink" Target="https://arcprize.org/play?task=41e4d17e" TargetMode="External"/><Relationship Id="rId1039" Type="http://schemas.openxmlformats.org/officeDocument/2006/relationships/hyperlink" Target="https://arcprize.org/play?task=85c4e7cd" TargetMode="External"/><Relationship Id="rId206" Type="http://schemas.openxmlformats.org/officeDocument/2006/relationships/hyperlink" Target="https://arcprize.org/play?task=a79310a0" TargetMode="External"/><Relationship Id="rId205" Type="http://schemas.openxmlformats.org/officeDocument/2006/relationships/hyperlink" Target="https://arcprize.org/play?task=25ff71a9" TargetMode="External"/><Relationship Id="rId689" Type="http://schemas.openxmlformats.org/officeDocument/2006/relationships/hyperlink" Target="https://arcprize.org/play?task=72ca375d" TargetMode="External"/><Relationship Id="rId204" Type="http://schemas.openxmlformats.org/officeDocument/2006/relationships/hyperlink" Target="https://arcprize.org/play?task=8efcae92" TargetMode="External"/><Relationship Id="rId688" Type="http://schemas.openxmlformats.org/officeDocument/2006/relationships/hyperlink" Target="https://arcprize.org/play?task=e9614598" TargetMode="External"/><Relationship Id="rId203" Type="http://schemas.openxmlformats.org/officeDocument/2006/relationships/hyperlink" Target="https://arcprize.org/play?task=5c2c9af4" TargetMode="External"/><Relationship Id="rId687" Type="http://schemas.openxmlformats.org/officeDocument/2006/relationships/hyperlink" Target="https://arcprize.org/play?task=dbc1a6ce" TargetMode="External"/><Relationship Id="rId209" Type="http://schemas.openxmlformats.org/officeDocument/2006/relationships/hyperlink" Target="https://arcprize.org/play?task=264363fd" TargetMode="External"/><Relationship Id="rId208" Type="http://schemas.openxmlformats.org/officeDocument/2006/relationships/hyperlink" Target="https://arcprize.org/play?task=36fdfd69" TargetMode="External"/><Relationship Id="rId207" Type="http://schemas.openxmlformats.org/officeDocument/2006/relationships/hyperlink" Target="https://arcprize.org/play?task=2c608aff" TargetMode="External"/><Relationship Id="rId682" Type="http://schemas.openxmlformats.org/officeDocument/2006/relationships/hyperlink" Target="https://arcprize.org/play?task=6773b310" TargetMode="External"/><Relationship Id="rId681" Type="http://schemas.openxmlformats.org/officeDocument/2006/relationships/hyperlink" Target="https://arcprize.org/play?task=6fa7a44f" TargetMode="External"/><Relationship Id="rId1030" Type="http://schemas.openxmlformats.org/officeDocument/2006/relationships/hyperlink" Target="https://arcprize.org/play?task=a48eeaf7" TargetMode="External"/><Relationship Id="rId680" Type="http://schemas.openxmlformats.org/officeDocument/2006/relationships/hyperlink" Target="https://arcprize.org/play?task=d4a91cb9" TargetMode="External"/><Relationship Id="rId1031" Type="http://schemas.openxmlformats.org/officeDocument/2006/relationships/hyperlink" Target="https://arcprize.org/play?task=4347f46a" TargetMode="External"/><Relationship Id="rId1032" Type="http://schemas.openxmlformats.org/officeDocument/2006/relationships/hyperlink" Target="https://arcprize.org/play?task=f25fbde4" TargetMode="External"/><Relationship Id="rId202" Type="http://schemas.openxmlformats.org/officeDocument/2006/relationships/hyperlink" Target="https://arcprize.org/play?task=746b3537" TargetMode="External"/><Relationship Id="rId686" Type="http://schemas.openxmlformats.org/officeDocument/2006/relationships/hyperlink" Target="https://arcprize.org/play?task=73251a56" TargetMode="External"/><Relationship Id="rId1033" Type="http://schemas.openxmlformats.org/officeDocument/2006/relationships/hyperlink" Target="https://arcprize.org/play?task=a78176bb" TargetMode="External"/><Relationship Id="rId201" Type="http://schemas.openxmlformats.org/officeDocument/2006/relationships/hyperlink" Target="https://arcprize.org/play?task=25d8a9c8" TargetMode="External"/><Relationship Id="rId685" Type="http://schemas.openxmlformats.org/officeDocument/2006/relationships/hyperlink" Target="https://arcprize.org/play?task=72322fa7" TargetMode="External"/><Relationship Id="rId1034" Type="http://schemas.openxmlformats.org/officeDocument/2006/relationships/hyperlink" Target="https://arcprize.org/play?task=de1cd16c" TargetMode="External"/><Relationship Id="rId200" Type="http://schemas.openxmlformats.org/officeDocument/2006/relationships/hyperlink" Target="https://arcprize.org/play?task=928ad970" TargetMode="External"/><Relationship Id="rId684" Type="http://schemas.openxmlformats.org/officeDocument/2006/relationships/hyperlink" Target="https://arcprize.org/play?task=a2fd1cf0" TargetMode="External"/><Relationship Id="rId1035" Type="http://schemas.openxmlformats.org/officeDocument/2006/relationships/hyperlink" Target="https://arcprize.org/play?task=49d1d64f" TargetMode="External"/><Relationship Id="rId683" Type="http://schemas.openxmlformats.org/officeDocument/2006/relationships/hyperlink" Target="https://arcprize.org/play?task=d9f24cd1" TargetMode="External"/><Relationship Id="rId1036" Type="http://schemas.openxmlformats.org/officeDocument/2006/relationships/hyperlink" Target="https://arcprize.org/play?task=ba97ae07" TargetMode="External"/><Relationship Id="rId1026" Type="http://schemas.openxmlformats.org/officeDocument/2006/relationships/hyperlink" Target="https://arcprize.org/play?task=95990924" TargetMode="External"/><Relationship Id="rId1027" Type="http://schemas.openxmlformats.org/officeDocument/2006/relationships/hyperlink" Target="https://arcprize.org/play?task=d4469b4b" TargetMode="External"/><Relationship Id="rId1028" Type="http://schemas.openxmlformats.org/officeDocument/2006/relationships/hyperlink" Target="https://arcprize.org/play?task=caa06a1f" TargetMode="External"/><Relationship Id="rId1029" Type="http://schemas.openxmlformats.org/officeDocument/2006/relationships/hyperlink" Target="https://arcprize.org/play?task=a740d043" TargetMode="External"/><Relationship Id="rId679" Type="http://schemas.openxmlformats.org/officeDocument/2006/relationships/hyperlink" Target="https://arcprize.org/play?task=c0f76784" TargetMode="External"/><Relationship Id="rId678" Type="http://schemas.openxmlformats.org/officeDocument/2006/relationships/hyperlink" Target="https://arcprize.org/play?task=2bee17df" TargetMode="External"/><Relationship Id="rId677" Type="http://schemas.openxmlformats.org/officeDocument/2006/relationships/hyperlink" Target="https://arcprize.org/play?task=6f8cd79b" TargetMode="External"/><Relationship Id="rId676" Type="http://schemas.openxmlformats.org/officeDocument/2006/relationships/hyperlink" Target="https://arcprize.org/play?task=d89b689b" TargetMode="External"/><Relationship Id="rId671" Type="http://schemas.openxmlformats.org/officeDocument/2006/relationships/hyperlink" Target="https://arcprize.org/play?task=72ca375d" TargetMode="External"/><Relationship Id="rId670" Type="http://schemas.openxmlformats.org/officeDocument/2006/relationships/hyperlink" Target="https://arcprize.org/play?task=025d127b" TargetMode="External"/><Relationship Id="rId1020" Type="http://schemas.openxmlformats.org/officeDocument/2006/relationships/hyperlink" Target="https://arcprize.org/play?task=7447852a" TargetMode="External"/><Relationship Id="rId1021" Type="http://schemas.openxmlformats.org/officeDocument/2006/relationships/hyperlink" Target="https://arcprize.org/play?task=a68b268e" TargetMode="External"/><Relationship Id="rId675" Type="http://schemas.openxmlformats.org/officeDocument/2006/relationships/hyperlink" Target="https://arcprize.org/play?task=9d9215db" TargetMode="External"/><Relationship Id="rId1022" Type="http://schemas.openxmlformats.org/officeDocument/2006/relationships/hyperlink" Target="https://arcprize.org/play?task=8f2ea7aa" TargetMode="External"/><Relationship Id="rId674" Type="http://schemas.openxmlformats.org/officeDocument/2006/relationships/hyperlink" Target="https://arcprize.org/play?task=9565186b" TargetMode="External"/><Relationship Id="rId1023" Type="http://schemas.openxmlformats.org/officeDocument/2006/relationships/hyperlink" Target="https://arcprize.org/play?task=ce9e57f2" TargetMode="External"/><Relationship Id="rId673" Type="http://schemas.openxmlformats.org/officeDocument/2006/relationships/hyperlink" Target="https://arcprize.org/play?task=6ecd11f4" TargetMode="External"/><Relationship Id="rId1024" Type="http://schemas.openxmlformats.org/officeDocument/2006/relationships/hyperlink" Target="https://arcprize.org/play?task=995c5fa3" TargetMode="External"/><Relationship Id="rId672" Type="http://schemas.openxmlformats.org/officeDocument/2006/relationships/hyperlink" Target="https://arcprize.org/play?task=25d487eb" TargetMode="External"/><Relationship Id="rId1025" Type="http://schemas.openxmlformats.org/officeDocument/2006/relationships/hyperlink" Target="https://arcprize.org/play?task=a699fb00" TargetMode="External"/><Relationship Id="rId190" Type="http://schemas.openxmlformats.org/officeDocument/2006/relationships/hyperlink" Target="https://arcprize.org/play?task=c59eb873" TargetMode="External"/><Relationship Id="rId194" Type="http://schemas.openxmlformats.org/officeDocument/2006/relationships/hyperlink" Target="https://arcprize.org/play?task=29c11459" TargetMode="External"/><Relationship Id="rId193" Type="http://schemas.openxmlformats.org/officeDocument/2006/relationships/hyperlink" Target="https://arcprize.org/play?task=253bf280" TargetMode="External"/><Relationship Id="rId192" Type="http://schemas.openxmlformats.org/officeDocument/2006/relationships/hyperlink" Target="https://arcprize.org/play?task=694f12f3" TargetMode="External"/><Relationship Id="rId191" Type="http://schemas.openxmlformats.org/officeDocument/2006/relationships/hyperlink" Target="https://arcprize.org/play?task=d0f5fe59" TargetMode="External"/><Relationship Id="rId187" Type="http://schemas.openxmlformats.org/officeDocument/2006/relationships/hyperlink" Target="https://arcprize.org/play?task=321b1fc6" TargetMode="External"/><Relationship Id="rId186" Type="http://schemas.openxmlformats.org/officeDocument/2006/relationships/hyperlink" Target="https://arcprize.org/play?task=aabf363d" TargetMode="External"/><Relationship Id="rId185" Type="http://schemas.openxmlformats.org/officeDocument/2006/relationships/hyperlink" Target="https://arcprize.org/play?task=239be575" TargetMode="External"/><Relationship Id="rId184" Type="http://schemas.openxmlformats.org/officeDocument/2006/relationships/hyperlink" Target="https://arcprize.org/play?task=93b581b8" TargetMode="External"/><Relationship Id="rId189" Type="http://schemas.openxmlformats.org/officeDocument/2006/relationships/hyperlink" Target="https://arcprize.org/play?task=23b5c85d" TargetMode="External"/><Relationship Id="rId188" Type="http://schemas.openxmlformats.org/officeDocument/2006/relationships/hyperlink" Target="https://arcprize.org/play?task=673ef223" TargetMode="External"/><Relationship Id="rId183" Type="http://schemas.openxmlformats.org/officeDocument/2006/relationships/hyperlink" Target="https://arcprize.org/play?task=b527c5c6" TargetMode="External"/><Relationship Id="rId182" Type="http://schemas.openxmlformats.org/officeDocument/2006/relationships/hyperlink" Target="https://arcprize.org/play?task=9172f3a0" TargetMode="External"/><Relationship Id="rId181" Type="http://schemas.openxmlformats.org/officeDocument/2006/relationships/hyperlink" Target="https://arcprize.org/play?task=23581191" TargetMode="External"/><Relationship Id="rId180" Type="http://schemas.openxmlformats.org/officeDocument/2006/relationships/hyperlink" Target="https://arcprize.org/play?task=5ad4f10b" TargetMode="External"/><Relationship Id="rId176" Type="http://schemas.openxmlformats.org/officeDocument/2006/relationships/hyperlink" Target="https://arcprize.org/play?task=4612dd53" TargetMode="External"/><Relationship Id="rId175" Type="http://schemas.openxmlformats.org/officeDocument/2006/relationships/hyperlink" Target="https://arcprize.org/play?task=3befdf3e" TargetMode="External"/><Relationship Id="rId174" Type="http://schemas.openxmlformats.org/officeDocument/2006/relationships/hyperlink" Target="https://arcprize.org/play?task=3618c87e" TargetMode="External"/><Relationship Id="rId173" Type="http://schemas.openxmlformats.org/officeDocument/2006/relationships/hyperlink" Target="https://arcprize.org/play?task=22eb0ac0" TargetMode="External"/><Relationship Id="rId179" Type="http://schemas.openxmlformats.org/officeDocument/2006/relationships/hyperlink" Target="https://arcprize.org/play?task=3eda0437" TargetMode="External"/><Relationship Id="rId178" Type="http://schemas.openxmlformats.org/officeDocument/2006/relationships/hyperlink" Target="https://arcprize.org/play?task=46f33fce" TargetMode="External"/><Relationship Id="rId177" Type="http://schemas.openxmlformats.org/officeDocument/2006/relationships/hyperlink" Target="https://arcprize.org/play?task=234bbc79" TargetMode="External"/><Relationship Id="rId198" Type="http://schemas.openxmlformats.org/officeDocument/2006/relationships/hyperlink" Target="https://arcprize.org/play?task=5582e5ca" TargetMode="External"/><Relationship Id="rId197" Type="http://schemas.openxmlformats.org/officeDocument/2006/relationships/hyperlink" Target="https://arcprize.org/play?task=25d487eb" TargetMode="External"/><Relationship Id="rId196" Type="http://schemas.openxmlformats.org/officeDocument/2006/relationships/hyperlink" Target="https://arcprize.org/play?task=ae3edfdc" TargetMode="External"/><Relationship Id="rId195" Type="http://schemas.openxmlformats.org/officeDocument/2006/relationships/hyperlink" Target="https://arcprize.org/play?task=88a10436" TargetMode="External"/><Relationship Id="rId199" Type="http://schemas.openxmlformats.org/officeDocument/2006/relationships/hyperlink" Target="https://arcprize.org/play?task=fcb5c309" TargetMode="External"/><Relationship Id="rId150" Type="http://schemas.openxmlformats.org/officeDocument/2006/relationships/hyperlink" Target="https://arcprize.org/play?task=d511f180" TargetMode="External"/><Relationship Id="rId149" Type="http://schemas.openxmlformats.org/officeDocument/2006/relationships/hyperlink" Target="https://arcprize.org/play?task=2013d3e2" TargetMode="External"/><Relationship Id="rId148" Type="http://schemas.openxmlformats.org/officeDocument/2006/relationships/hyperlink" Target="https://arcprize.org/play?task=6aa20dc0" TargetMode="External"/><Relationship Id="rId1090" Type="http://schemas.openxmlformats.org/officeDocument/2006/relationships/hyperlink" Target="https://arcprize.org/play?task=6c434453" TargetMode="External"/><Relationship Id="rId1091" Type="http://schemas.openxmlformats.org/officeDocument/2006/relationships/hyperlink" Target="https://arcprize.org/play?task=29ec7d0e" TargetMode="External"/><Relationship Id="rId1092" Type="http://schemas.openxmlformats.org/officeDocument/2006/relationships/hyperlink" Target="https://arcprize.org/play?task=3aa6fb7a" TargetMode="External"/><Relationship Id="rId1093" Type="http://schemas.openxmlformats.org/officeDocument/2006/relationships/hyperlink" Target="https://arcprize.org/play?task=b190f7f5" TargetMode="External"/><Relationship Id="rId1094" Type="http://schemas.openxmlformats.org/officeDocument/2006/relationships/hyperlink" Target="https://arcprize.org/play?task=d06dbe63" TargetMode="External"/><Relationship Id="rId143" Type="http://schemas.openxmlformats.org/officeDocument/2006/relationships/hyperlink" Target="https://arcprize.org/play?task=6ecd11f4" TargetMode="External"/><Relationship Id="rId1095" Type="http://schemas.openxmlformats.org/officeDocument/2006/relationships/hyperlink" Target="https://arcprize.org/play?task=3bd67248" TargetMode="External"/><Relationship Id="rId142" Type="http://schemas.openxmlformats.org/officeDocument/2006/relationships/hyperlink" Target="https://arcprize.org/play?task=bd4472b8" TargetMode="External"/><Relationship Id="rId1096" Type="http://schemas.openxmlformats.org/officeDocument/2006/relationships/hyperlink" Target="https://arcprize.org/play?task=272f95fa" TargetMode="External"/><Relationship Id="rId141" Type="http://schemas.openxmlformats.org/officeDocument/2006/relationships/hyperlink" Target="https://arcprize.org/play?task=1f876c06" TargetMode="External"/><Relationship Id="rId1097" Type="http://schemas.openxmlformats.org/officeDocument/2006/relationships/hyperlink" Target="https://arcprize.org/play?task=b1948b0a" TargetMode="External"/><Relationship Id="rId140" Type="http://schemas.openxmlformats.org/officeDocument/2006/relationships/hyperlink" Target="https://arcprize.org/play?task=57aa92db" TargetMode="External"/><Relationship Id="rId1098" Type="http://schemas.openxmlformats.org/officeDocument/2006/relationships/hyperlink" Target="https://arcprize.org/play?task=1f876c06" TargetMode="External"/><Relationship Id="rId147" Type="http://schemas.openxmlformats.org/officeDocument/2006/relationships/hyperlink" Target="https://arcprize.org/play?task=890034e9" TargetMode="External"/><Relationship Id="rId1099" Type="http://schemas.openxmlformats.org/officeDocument/2006/relationships/hyperlink" Target="https://arcprize.org/play?task=3f7978a0" TargetMode="External"/><Relationship Id="rId146" Type="http://schemas.openxmlformats.org/officeDocument/2006/relationships/hyperlink" Target="https://arcprize.org/play?task=ce22a75a" TargetMode="External"/><Relationship Id="rId145" Type="http://schemas.openxmlformats.org/officeDocument/2006/relationships/hyperlink" Target="https://arcprize.org/play?task=1fad071e" TargetMode="External"/><Relationship Id="rId144" Type="http://schemas.openxmlformats.org/officeDocument/2006/relationships/hyperlink" Target="https://arcprize.org/play?task=264363fd" TargetMode="External"/><Relationship Id="rId139" Type="http://schemas.openxmlformats.org/officeDocument/2006/relationships/hyperlink" Target="https://arcprize.org/play?task=234bbc79" TargetMode="External"/><Relationship Id="rId138" Type="http://schemas.openxmlformats.org/officeDocument/2006/relationships/hyperlink" Target="https://arcprize.org/play?task=0d3d703e" TargetMode="External"/><Relationship Id="rId137" Type="http://schemas.openxmlformats.org/officeDocument/2006/relationships/hyperlink" Target="https://arcprize.org/play?task=1f85a75f" TargetMode="External"/><Relationship Id="rId1080" Type="http://schemas.openxmlformats.org/officeDocument/2006/relationships/hyperlink" Target="https://arcprize.org/play?task=dc433765" TargetMode="External"/><Relationship Id="rId1081" Type="http://schemas.openxmlformats.org/officeDocument/2006/relationships/hyperlink" Target="https://arcprize.org/play?task=aedd82e4" TargetMode="External"/><Relationship Id="rId1082" Type="http://schemas.openxmlformats.org/officeDocument/2006/relationships/hyperlink" Target="https://arcprize.org/play?task=3345333e" TargetMode="External"/><Relationship Id="rId1083" Type="http://schemas.openxmlformats.org/officeDocument/2006/relationships/hyperlink" Target="https://arcprize.org/play?task=05269061" TargetMode="External"/><Relationship Id="rId132" Type="http://schemas.openxmlformats.org/officeDocument/2006/relationships/hyperlink" Target="https://arcprize.org/play?task=e6721834" TargetMode="External"/><Relationship Id="rId1084" Type="http://schemas.openxmlformats.org/officeDocument/2006/relationships/hyperlink" Target="https://arcprize.org/play?task=2dc579da" TargetMode="External"/><Relationship Id="rId131" Type="http://schemas.openxmlformats.org/officeDocument/2006/relationships/hyperlink" Target="https://arcprize.org/play?task=db93a21d" TargetMode="External"/><Relationship Id="rId1085" Type="http://schemas.openxmlformats.org/officeDocument/2006/relationships/hyperlink" Target="https://arcprize.org/play?task=af902bf9" TargetMode="External"/><Relationship Id="rId130" Type="http://schemas.openxmlformats.org/officeDocument/2006/relationships/hyperlink" Target="https://arcprize.org/play?task=8eb1be9a" TargetMode="External"/><Relationship Id="rId1086" Type="http://schemas.openxmlformats.org/officeDocument/2006/relationships/hyperlink" Target="https://arcprize.org/play?task=67a423a3" TargetMode="External"/><Relationship Id="rId1087" Type="http://schemas.openxmlformats.org/officeDocument/2006/relationships/hyperlink" Target="https://arcprize.org/play?task=178fcbfb" TargetMode="External"/><Relationship Id="rId136" Type="http://schemas.openxmlformats.org/officeDocument/2006/relationships/hyperlink" Target="https://arcprize.org/play?task=4290ef0e" TargetMode="External"/><Relationship Id="rId1088" Type="http://schemas.openxmlformats.org/officeDocument/2006/relationships/hyperlink" Target="https://arcprize.org/play?task=23b5c85d" TargetMode="External"/><Relationship Id="rId135" Type="http://schemas.openxmlformats.org/officeDocument/2006/relationships/hyperlink" Target="https://arcprize.org/play?task=045e512c" TargetMode="External"/><Relationship Id="rId1089" Type="http://schemas.openxmlformats.org/officeDocument/2006/relationships/hyperlink" Target="https://arcprize.org/play?task=b0c4d837" TargetMode="External"/><Relationship Id="rId134" Type="http://schemas.openxmlformats.org/officeDocument/2006/relationships/hyperlink" Target="https://arcprize.org/play?task=963e52fc" TargetMode="External"/><Relationship Id="rId133" Type="http://schemas.openxmlformats.org/officeDocument/2006/relationships/hyperlink" Target="https://arcprize.org/play?task=1f642eb9" TargetMode="External"/><Relationship Id="rId172" Type="http://schemas.openxmlformats.org/officeDocument/2006/relationships/hyperlink" Target="https://arcprize.org/play?task=63613498" TargetMode="External"/><Relationship Id="rId171" Type="http://schemas.openxmlformats.org/officeDocument/2006/relationships/hyperlink" Target="https://arcprize.org/play?task=29623171" TargetMode="External"/><Relationship Id="rId170" Type="http://schemas.openxmlformats.org/officeDocument/2006/relationships/hyperlink" Target="https://arcprize.org/play?task=e3497940" TargetMode="External"/><Relationship Id="rId165" Type="http://schemas.openxmlformats.org/officeDocument/2006/relationships/hyperlink" Target="https://arcprize.org/play?task=2281f1f4" TargetMode="External"/><Relationship Id="rId164" Type="http://schemas.openxmlformats.org/officeDocument/2006/relationships/hyperlink" Target="https://arcprize.org/play?task=234bbc79" TargetMode="External"/><Relationship Id="rId163" Type="http://schemas.openxmlformats.org/officeDocument/2006/relationships/hyperlink" Target="https://arcprize.org/play?task=6455b5f5" TargetMode="External"/><Relationship Id="rId162" Type="http://schemas.openxmlformats.org/officeDocument/2006/relationships/hyperlink" Target="https://arcprize.org/play?task=22eb0ac0" TargetMode="External"/><Relationship Id="rId169" Type="http://schemas.openxmlformats.org/officeDocument/2006/relationships/hyperlink" Target="https://arcprize.org/play?task=228f6490" TargetMode="External"/><Relationship Id="rId168" Type="http://schemas.openxmlformats.org/officeDocument/2006/relationships/hyperlink" Target="https://arcprize.org/play?task=3eda0437" TargetMode="External"/><Relationship Id="rId167" Type="http://schemas.openxmlformats.org/officeDocument/2006/relationships/hyperlink" Target="https://arcprize.org/play?task=b230c067" TargetMode="External"/><Relationship Id="rId166" Type="http://schemas.openxmlformats.org/officeDocument/2006/relationships/hyperlink" Target="https://arcprize.org/play?task=d037b0a7" TargetMode="External"/><Relationship Id="rId161" Type="http://schemas.openxmlformats.org/officeDocument/2006/relationships/hyperlink" Target="https://arcprize.org/play?task=22233c11" TargetMode="External"/><Relationship Id="rId160" Type="http://schemas.openxmlformats.org/officeDocument/2006/relationships/hyperlink" Target="https://arcprize.org/play?task=f35d900a" TargetMode="External"/><Relationship Id="rId159" Type="http://schemas.openxmlformats.org/officeDocument/2006/relationships/hyperlink" Target="https://arcprize.org/play?task=d22278a0" TargetMode="External"/><Relationship Id="rId154" Type="http://schemas.openxmlformats.org/officeDocument/2006/relationships/hyperlink" Target="https://arcprize.org/play?task=c9f8e694" TargetMode="External"/><Relationship Id="rId153" Type="http://schemas.openxmlformats.org/officeDocument/2006/relationships/hyperlink" Target="https://arcprize.org/play?task=2204b7a8" TargetMode="External"/><Relationship Id="rId152" Type="http://schemas.openxmlformats.org/officeDocument/2006/relationships/hyperlink" Target="https://arcprize.org/play?task=228f6490" TargetMode="External"/><Relationship Id="rId151" Type="http://schemas.openxmlformats.org/officeDocument/2006/relationships/hyperlink" Target="https://arcprize.org/play?task=776ffc46" TargetMode="External"/><Relationship Id="rId158" Type="http://schemas.openxmlformats.org/officeDocument/2006/relationships/hyperlink" Target="https://arcprize.org/play?task=1cf80156" TargetMode="External"/><Relationship Id="rId157" Type="http://schemas.openxmlformats.org/officeDocument/2006/relationships/hyperlink" Target="https://arcprize.org/play?task=22168020" TargetMode="External"/><Relationship Id="rId156" Type="http://schemas.openxmlformats.org/officeDocument/2006/relationships/hyperlink" Target="https://arcprize.org/play?task=b7249182" TargetMode="External"/><Relationship Id="rId155" Type="http://schemas.openxmlformats.org/officeDocument/2006/relationships/hyperlink" Target="https://arcprize.org/play?task=e8dc4411" TargetMode="External"/><Relationship Id="rId1510" Type="http://schemas.openxmlformats.org/officeDocument/2006/relationships/hyperlink" Target="https://arcprize.org/play?task=b7249182" TargetMode="External"/><Relationship Id="rId1511" Type="http://schemas.openxmlformats.org/officeDocument/2006/relationships/hyperlink" Target="https://arcprize.org/play?task=6150a2bd" TargetMode="External"/><Relationship Id="rId1512" Type="http://schemas.openxmlformats.org/officeDocument/2006/relationships/hyperlink" Target="https://arcprize.org/play?task=6fa7a44f" TargetMode="External"/><Relationship Id="rId1513" Type="http://schemas.openxmlformats.org/officeDocument/2006/relationships/hyperlink" Target="https://arcprize.org/play?task=ed36ccf7" TargetMode="External"/><Relationship Id="rId1514" Type="http://schemas.openxmlformats.org/officeDocument/2006/relationships/hyperlink" Target="https://arcprize.org/play?task=72322fa7" TargetMode="External"/><Relationship Id="rId1515" Type="http://schemas.openxmlformats.org/officeDocument/2006/relationships/hyperlink" Target="https://arcprize.org/play?task=c8f0f002" TargetMode="External"/><Relationship Id="rId1516" Type="http://schemas.openxmlformats.org/officeDocument/2006/relationships/hyperlink" Target="https://arcprize.org/play?task=8be77c9e" TargetMode="External"/><Relationship Id="rId1517" Type="http://schemas.openxmlformats.org/officeDocument/2006/relationships/hyperlink" Target="https://arcprize.org/play?task=ef135b50" TargetMode="External"/><Relationship Id="rId1518" Type="http://schemas.openxmlformats.org/officeDocument/2006/relationships/hyperlink" Target="https://arcprize.org/play?task=a64e4611" TargetMode="External"/><Relationship Id="rId1519" Type="http://schemas.openxmlformats.org/officeDocument/2006/relationships/hyperlink" Target="https://arcprize.org/play?task=2dee498d" TargetMode="External"/><Relationship Id="rId1500" Type="http://schemas.openxmlformats.org/officeDocument/2006/relationships/hyperlink" Target="https://arcprize.org/play?task=496994bd" TargetMode="External"/><Relationship Id="rId1501" Type="http://schemas.openxmlformats.org/officeDocument/2006/relationships/hyperlink" Target="https://arcprize.org/play?task=eb5a1d5d" TargetMode="External"/><Relationship Id="rId1502" Type="http://schemas.openxmlformats.org/officeDocument/2006/relationships/hyperlink" Target="https://arcprize.org/play?task=228f6490" TargetMode="External"/><Relationship Id="rId1503" Type="http://schemas.openxmlformats.org/officeDocument/2006/relationships/hyperlink" Target="https://arcprize.org/play?task=d631b094" TargetMode="External"/><Relationship Id="rId1504" Type="http://schemas.openxmlformats.org/officeDocument/2006/relationships/hyperlink" Target="https://arcprize.org/play?task=74dd1130" TargetMode="External"/><Relationship Id="rId1505" Type="http://schemas.openxmlformats.org/officeDocument/2006/relationships/hyperlink" Target="https://arcprize.org/play?task=ec883f72" TargetMode="External"/><Relationship Id="rId1506" Type="http://schemas.openxmlformats.org/officeDocument/2006/relationships/hyperlink" Target="https://arcprize.org/play?task=9aec4887" TargetMode="External"/><Relationship Id="rId1507" Type="http://schemas.openxmlformats.org/officeDocument/2006/relationships/hyperlink" Target="https://arcprize.org/play?task=3c9b0459" TargetMode="External"/><Relationship Id="rId1508" Type="http://schemas.openxmlformats.org/officeDocument/2006/relationships/hyperlink" Target="https://arcprize.org/play?task=4c4377d9" TargetMode="External"/><Relationship Id="rId1509" Type="http://schemas.openxmlformats.org/officeDocument/2006/relationships/hyperlink" Target="https://arcprize.org/play?task=ecdecbb3" TargetMode="External"/><Relationship Id="rId1576" Type="http://schemas.openxmlformats.org/officeDocument/2006/relationships/hyperlink" Target="https://arcprize.org/play?task=0520fde7" TargetMode="External"/><Relationship Id="rId1577" Type="http://schemas.openxmlformats.org/officeDocument/2006/relationships/hyperlink" Target="https://arcprize.org/play?task=fcb5c309" TargetMode="External"/><Relationship Id="rId1578" Type="http://schemas.openxmlformats.org/officeDocument/2006/relationships/hyperlink" Target="https://arcprize.org/play?task=264363fd" TargetMode="External"/><Relationship Id="rId1579" Type="http://schemas.openxmlformats.org/officeDocument/2006/relationships/hyperlink" Target="https://arcprize.org/play?task=9dfd6313" TargetMode="External"/><Relationship Id="rId509" Type="http://schemas.openxmlformats.org/officeDocument/2006/relationships/hyperlink" Target="https://arcprize.org/play?task=5582e5ca" TargetMode="External"/><Relationship Id="rId508" Type="http://schemas.openxmlformats.org/officeDocument/2006/relationships/hyperlink" Target="https://arcprize.org/play?task=045e512c" TargetMode="External"/><Relationship Id="rId503" Type="http://schemas.openxmlformats.org/officeDocument/2006/relationships/hyperlink" Target="https://arcprize.org/play?task=67a423a3" TargetMode="External"/><Relationship Id="rId987" Type="http://schemas.openxmlformats.org/officeDocument/2006/relationships/hyperlink" Target="https://arcprize.org/play?task=a3df8b1e" TargetMode="External"/><Relationship Id="rId502" Type="http://schemas.openxmlformats.org/officeDocument/2006/relationships/hyperlink" Target="https://arcprize.org/play?task=c1d99e64" TargetMode="External"/><Relationship Id="rId986" Type="http://schemas.openxmlformats.org/officeDocument/2006/relationships/hyperlink" Target="https://arcprize.org/play?task=8d510a79" TargetMode="External"/><Relationship Id="rId501" Type="http://schemas.openxmlformats.org/officeDocument/2006/relationships/hyperlink" Target="https://arcprize.org/play?task=54d9e175" TargetMode="External"/><Relationship Id="rId985" Type="http://schemas.openxmlformats.org/officeDocument/2006/relationships/hyperlink" Target="https://arcprize.org/play?task=a3df8b1e" TargetMode="External"/><Relationship Id="rId500" Type="http://schemas.openxmlformats.org/officeDocument/2006/relationships/hyperlink" Target="https://arcprize.org/play?task=e26a3af2" TargetMode="External"/><Relationship Id="rId984" Type="http://schemas.openxmlformats.org/officeDocument/2006/relationships/hyperlink" Target="https://arcprize.org/play?task=1f85a75f" TargetMode="External"/><Relationship Id="rId507" Type="http://schemas.openxmlformats.org/officeDocument/2006/relationships/hyperlink" Target="https://arcprize.org/play?task=6c434453" TargetMode="External"/><Relationship Id="rId506" Type="http://schemas.openxmlformats.org/officeDocument/2006/relationships/hyperlink" Target="https://arcprize.org/play?task=d5d6de2d" TargetMode="External"/><Relationship Id="rId505" Type="http://schemas.openxmlformats.org/officeDocument/2006/relationships/hyperlink" Target="https://arcprize.org/play?task=5521c0d9" TargetMode="External"/><Relationship Id="rId989" Type="http://schemas.openxmlformats.org/officeDocument/2006/relationships/hyperlink" Target="https://arcprize.org/play?task=a416b8f3" TargetMode="External"/><Relationship Id="rId504" Type="http://schemas.openxmlformats.org/officeDocument/2006/relationships/hyperlink" Target="https://arcprize.org/play?task=6a1e5592" TargetMode="External"/><Relationship Id="rId988" Type="http://schemas.openxmlformats.org/officeDocument/2006/relationships/hyperlink" Target="https://arcprize.org/play?task=75b8110e" TargetMode="External"/><Relationship Id="rId1570" Type="http://schemas.openxmlformats.org/officeDocument/2006/relationships/hyperlink" Target="https://arcprize.org/play?task=6aa20dc0" TargetMode="External"/><Relationship Id="rId1571" Type="http://schemas.openxmlformats.org/officeDocument/2006/relationships/hyperlink" Target="https://arcprize.org/play?task=25ff71a9" TargetMode="External"/><Relationship Id="rId983" Type="http://schemas.openxmlformats.org/officeDocument/2006/relationships/hyperlink" Target="https://arcprize.org/play?task=760b3cac" TargetMode="External"/><Relationship Id="rId1572" Type="http://schemas.openxmlformats.org/officeDocument/2006/relationships/hyperlink" Target="https://arcprize.org/play?task=3428a4f5" TargetMode="External"/><Relationship Id="rId982" Type="http://schemas.openxmlformats.org/officeDocument/2006/relationships/hyperlink" Target="https://arcprize.org/play?task=868de0fa" TargetMode="External"/><Relationship Id="rId1573" Type="http://schemas.openxmlformats.org/officeDocument/2006/relationships/hyperlink" Target="https://arcprize.org/play?task=fafffa47" TargetMode="External"/><Relationship Id="rId981" Type="http://schemas.openxmlformats.org/officeDocument/2006/relationships/hyperlink" Target="https://arcprize.org/play?task=a3325580" TargetMode="External"/><Relationship Id="rId1574" Type="http://schemas.openxmlformats.org/officeDocument/2006/relationships/hyperlink" Target="https://arcprize.org/play?task=97a05b5b" TargetMode="External"/><Relationship Id="rId980" Type="http://schemas.openxmlformats.org/officeDocument/2006/relationships/hyperlink" Target="https://arcprize.org/play?task=77fdfe62" TargetMode="External"/><Relationship Id="rId1575" Type="http://schemas.openxmlformats.org/officeDocument/2006/relationships/hyperlink" Target="https://arcprize.org/play?task=74dd1130" TargetMode="External"/><Relationship Id="rId1565" Type="http://schemas.openxmlformats.org/officeDocument/2006/relationships/hyperlink" Target="https://arcprize.org/play?task=f8ff0b80" TargetMode="External"/><Relationship Id="rId1566" Type="http://schemas.openxmlformats.org/officeDocument/2006/relationships/hyperlink" Target="https://arcprize.org/play?task=447fd412" TargetMode="External"/><Relationship Id="rId1567" Type="http://schemas.openxmlformats.org/officeDocument/2006/relationships/hyperlink" Target="https://arcprize.org/play?task=f25ffba3" TargetMode="External"/><Relationship Id="rId1568" Type="http://schemas.openxmlformats.org/officeDocument/2006/relationships/hyperlink" Target="https://arcprize.org/play?task=25ff71a9" TargetMode="External"/><Relationship Id="rId1569" Type="http://schemas.openxmlformats.org/officeDocument/2006/relationships/hyperlink" Target="https://arcprize.org/play?task=f9012d9b" TargetMode="External"/><Relationship Id="rId976" Type="http://schemas.openxmlformats.org/officeDocument/2006/relationships/hyperlink" Target="https://arcprize.org/play?task=0ca9ddb6" TargetMode="External"/><Relationship Id="rId975" Type="http://schemas.openxmlformats.org/officeDocument/2006/relationships/hyperlink" Target="https://arcprize.org/play?task=c909285e" TargetMode="External"/><Relationship Id="rId974" Type="http://schemas.openxmlformats.org/officeDocument/2006/relationships/hyperlink" Target="https://arcprize.org/play?task=42a50994" TargetMode="External"/><Relationship Id="rId973" Type="http://schemas.openxmlformats.org/officeDocument/2006/relationships/hyperlink" Target="https://arcprize.org/play?task=a1570a43" TargetMode="External"/><Relationship Id="rId979" Type="http://schemas.openxmlformats.org/officeDocument/2006/relationships/hyperlink" Target="https://arcprize.org/play?task=a68b268e" TargetMode="External"/><Relationship Id="rId978" Type="http://schemas.openxmlformats.org/officeDocument/2006/relationships/hyperlink" Target="https://arcprize.org/play?task=444801d8" TargetMode="External"/><Relationship Id="rId977" Type="http://schemas.openxmlformats.org/officeDocument/2006/relationships/hyperlink" Target="https://arcprize.org/play?task=a2fd1cf0" TargetMode="External"/><Relationship Id="rId1560" Type="http://schemas.openxmlformats.org/officeDocument/2006/relationships/hyperlink" Target="https://arcprize.org/play?task=5bd6f4ac" TargetMode="External"/><Relationship Id="rId972" Type="http://schemas.openxmlformats.org/officeDocument/2006/relationships/hyperlink" Target="https://arcprize.org/play?task=137eaa0f" TargetMode="External"/><Relationship Id="rId1561" Type="http://schemas.openxmlformats.org/officeDocument/2006/relationships/hyperlink" Target="https://arcprize.org/play?task=f8c80d96" TargetMode="External"/><Relationship Id="rId971" Type="http://schemas.openxmlformats.org/officeDocument/2006/relationships/hyperlink" Target="https://arcprize.org/play?task=bb43febb" TargetMode="External"/><Relationship Id="rId1562" Type="http://schemas.openxmlformats.org/officeDocument/2006/relationships/hyperlink" Target="https://arcprize.org/play?task=36d67576" TargetMode="External"/><Relationship Id="rId970" Type="http://schemas.openxmlformats.org/officeDocument/2006/relationships/hyperlink" Target="https://arcprize.org/play?task=1caeab9d" TargetMode="External"/><Relationship Id="rId1563" Type="http://schemas.openxmlformats.org/officeDocument/2006/relationships/hyperlink" Target="https://arcprize.org/play?task=496994bd" TargetMode="External"/><Relationship Id="rId1564" Type="http://schemas.openxmlformats.org/officeDocument/2006/relationships/hyperlink" Target="https://arcprize.org/play?task=44f52bb0" TargetMode="External"/><Relationship Id="rId1114" Type="http://schemas.openxmlformats.org/officeDocument/2006/relationships/hyperlink" Target="https://arcprize.org/play?task=1c786137" TargetMode="External"/><Relationship Id="rId1115" Type="http://schemas.openxmlformats.org/officeDocument/2006/relationships/hyperlink" Target="https://arcprize.org/play?task=5614dbcf" TargetMode="External"/><Relationship Id="rId1116" Type="http://schemas.openxmlformats.org/officeDocument/2006/relationships/hyperlink" Target="https://arcprize.org/play?task=d13f3404" TargetMode="External"/><Relationship Id="rId1117" Type="http://schemas.openxmlformats.org/officeDocument/2006/relationships/hyperlink" Target="https://arcprize.org/play?task=b548a754" TargetMode="External"/><Relationship Id="rId1118" Type="http://schemas.openxmlformats.org/officeDocument/2006/relationships/hyperlink" Target="https://arcprize.org/play?task=5daaa586" TargetMode="External"/><Relationship Id="rId1119" Type="http://schemas.openxmlformats.org/officeDocument/2006/relationships/hyperlink" Target="https://arcprize.org/play?task=6d75e8bb" TargetMode="External"/><Relationship Id="rId525" Type="http://schemas.openxmlformats.org/officeDocument/2006/relationships/hyperlink" Target="https://arcprize.org/play?task=57aa92db" TargetMode="External"/><Relationship Id="rId524" Type="http://schemas.openxmlformats.org/officeDocument/2006/relationships/hyperlink" Target="https://arcprize.org/play?task=b190f7f5" TargetMode="External"/><Relationship Id="rId523" Type="http://schemas.openxmlformats.org/officeDocument/2006/relationships/hyperlink" Target="https://arcprize.org/play?task=9af7a82c" TargetMode="External"/><Relationship Id="rId522" Type="http://schemas.openxmlformats.org/officeDocument/2006/relationships/hyperlink" Target="https://arcprize.org/play?task=ac0a08a4" TargetMode="External"/><Relationship Id="rId529" Type="http://schemas.openxmlformats.org/officeDocument/2006/relationships/hyperlink" Target="https://arcprize.org/play?task=5ad4f10b" TargetMode="External"/><Relationship Id="rId528" Type="http://schemas.openxmlformats.org/officeDocument/2006/relationships/hyperlink" Target="https://arcprize.org/play?task=941d9a10" TargetMode="External"/><Relationship Id="rId527" Type="http://schemas.openxmlformats.org/officeDocument/2006/relationships/hyperlink" Target="https://arcprize.org/play?task=4093f84a" TargetMode="External"/><Relationship Id="rId526" Type="http://schemas.openxmlformats.org/officeDocument/2006/relationships/hyperlink" Target="https://arcprize.org/play?task=b91ae062" TargetMode="External"/><Relationship Id="rId1590" Type="http://schemas.openxmlformats.org/officeDocument/2006/relationships/hyperlink" Target="https://arcprize.org/play?task=4290ef0e" TargetMode="External"/><Relationship Id="rId1591" Type="http://schemas.openxmlformats.org/officeDocument/2006/relationships/hyperlink" Target="https://arcprize.org/play?task=8be77c9e" TargetMode="External"/><Relationship Id="rId1592" Type="http://schemas.openxmlformats.org/officeDocument/2006/relationships/hyperlink" Target="https://arcprize.org/play?task=2dee498d" TargetMode="External"/><Relationship Id="rId1593" Type="http://schemas.openxmlformats.org/officeDocument/2006/relationships/hyperlink" Target="https://arcprize.org/play?task=ff805c23" TargetMode="External"/><Relationship Id="rId521" Type="http://schemas.openxmlformats.org/officeDocument/2006/relationships/hyperlink" Target="https://arcprize.org/play?task=56ff96f3" TargetMode="External"/><Relationship Id="rId1110" Type="http://schemas.openxmlformats.org/officeDocument/2006/relationships/hyperlink" Target="https://arcprize.org/play?task=10fcaaa3" TargetMode="External"/><Relationship Id="rId1594" Type="http://schemas.openxmlformats.org/officeDocument/2006/relationships/hyperlink" Target="https://arcprize.org/play?task=e6721834" TargetMode="External"/><Relationship Id="rId520" Type="http://schemas.openxmlformats.org/officeDocument/2006/relationships/hyperlink" Target="https://arcprize.org/play?task=1a07d186" TargetMode="External"/><Relationship Id="rId1111" Type="http://schemas.openxmlformats.org/officeDocument/2006/relationships/hyperlink" Target="https://arcprize.org/play?task=ff28f65a" TargetMode="External"/><Relationship Id="rId1595" Type="http://schemas.openxmlformats.org/officeDocument/2006/relationships/hyperlink" Target="https://arcprize.org/play?task=68b16354" TargetMode="External"/><Relationship Id="rId1112" Type="http://schemas.openxmlformats.org/officeDocument/2006/relationships/hyperlink" Target="https://arcprize.org/play?task=4258a5f9" TargetMode="External"/><Relationship Id="rId1596" Type="http://schemas.openxmlformats.org/officeDocument/2006/relationships/hyperlink" Target="https://arcprize.org/play?task=007bbfb7" TargetMode="External"/><Relationship Id="rId1113" Type="http://schemas.openxmlformats.org/officeDocument/2006/relationships/hyperlink" Target="https://arcprize.org/play?task=b527c5c6" TargetMode="External"/><Relationship Id="rId1597" Type="http://schemas.openxmlformats.org/officeDocument/2006/relationships/drawing" Target="../drawings/drawing4.xml"/><Relationship Id="rId1103" Type="http://schemas.openxmlformats.org/officeDocument/2006/relationships/hyperlink" Target="https://arcprize.org/play?task=c1d99e64" TargetMode="External"/><Relationship Id="rId1587" Type="http://schemas.openxmlformats.org/officeDocument/2006/relationships/hyperlink" Target="https://arcprize.org/play?task=6fa7a44f" TargetMode="External"/><Relationship Id="rId1104" Type="http://schemas.openxmlformats.org/officeDocument/2006/relationships/hyperlink" Target="https://arcprize.org/play?task=9565186b" TargetMode="External"/><Relationship Id="rId1588" Type="http://schemas.openxmlformats.org/officeDocument/2006/relationships/hyperlink" Target="https://arcprize.org/play?task=3af2c5a8" TargetMode="External"/><Relationship Id="rId1105" Type="http://schemas.openxmlformats.org/officeDocument/2006/relationships/hyperlink" Target="https://arcprize.org/play?task=b27ca6d3" TargetMode="External"/><Relationship Id="rId1589" Type="http://schemas.openxmlformats.org/officeDocument/2006/relationships/hyperlink" Target="https://arcprize.org/play?task=ff28f65a" TargetMode="External"/><Relationship Id="rId1106" Type="http://schemas.openxmlformats.org/officeDocument/2006/relationships/hyperlink" Target="https://arcprize.org/play?task=e9614598" TargetMode="External"/><Relationship Id="rId1107" Type="http://schemas.openxmlformats.org/officeDocument/2006/relationships/hyperlink" Target="https://arcprize.org/play?task=d5d6de2d" TargetMode="External"/><Relationship Id="rId1108" Type="http://schemas.openxmlformats.org/officeDocument/2006/relationships/hyperlink" Target="https://arcprize.org/play?task=1e32b0e9" TargetMode="External"/><Relationship Id="rId1109" Type="http://schemas.openxmlformats.org/officeDocument/2006/relationships/hyperlink" Target="https://arcprize.org/play?task=b2862040" TargetMode="External"/><Relationship Id="rId519" Type="http://schemas.openxmlformats.org/officeDocument/2006/relationships/hyperlink" Target="https://arcprize.org/play?task=7e0986d6" TargetMode="External"/><Relationship Id="rId514" Type="http://schemas.openxmlformats.org/officeDocument/2006/relationships/hyperlink" Target="https://arcprize.org/play?task=1bfc4729" TargetMode="External"/><Relationship Id="rId998" Type="http://schemas.openxmlformats.org/officeDocument/2006/relationships/hyperlink" Target="https://arcprize.org/play?task=5c0a986e" TargetMode="External"/><Relationship Id="rId513" Type="http://schemas.openxmlformats.org/officeDocument/2006/relationships/hyperlink" Target="https://arcprize.org/play?task=5614dbcf" TargetMode="External"/><Relationship Id="rId997" Type="http://schemas.openxmlformats.org/officeDocument/2006/relationships/hyperlink" Target="https://arcprize.org/play?task=a5313dff" TargetMode="External"/><Relationship Id="rId512" Type="http://schemas.openxmlformats.org/officeDocument/2006/relationships/hyperlink" Target="https://arcprize.org/play?task=321b1fc6" TargetMode="External"/><Relationship Id="rId996" Type="http://schemas.openxmlformats.org/officeDocument/2006/relationships/hyperlink" Target="https://arcprize.org/play?task=6e02f1e3" TargetMode="External"/><Relationship Id="rId511" Type="http://schemas.openxmlformats.org/officeDocument/2006/relationships/hyperlink" Target="https://arcprize.org/play?task=d06dbe63" TargetMode="External"/><Relationship Id="rId995" Type="http://schemas.openxmlformats.org/officeDocument/2006/relationships/hyperlink" Target="https://arcprize.org/play?task=e48d4e1a" TargetMode="External"/><Relationship Id="rId518" Type="http://schemas.openxmlformats.org/officeDocument/2006/relationships/hyperlink" Target="https://arcprize.org/play?task=2204b7a8" TargetMode="External"/><Relationship Id="rId517" Type="http://schemas.openxmlformats.org/officeDocument/2006/relationships/hyperlink" Target="https://arcprize.org/play?task=56dc2b01" TargetMode="External"/><Relationship Id="rId516" Type="http://schemas.openxmlformats.org/officeDocument/2006/relationships/hyperlink" Target="https://arcprize.org/play?task=f8c80d96" TargetMode="External"/><Relationship Id="rId515" Type="http://schemas.openxmlformats.org/officeDocument/2006/relationships/hyperlink" Target="https://arcprize.org/play?task=31aa019c" TargetMode="External"/><Relationship Id="rId999" Type="http://schemas.openxmlformats.org/officeDocument/2006/relationships/hyperlink" Target="https://arcprize.org/play?task=08ed6ac7" TargetMode="External"/><Relationship Id="rId990" Type="http://schemas.openxmlformats.org/officeDocument/2006/relationships/hyperlink" Target="https://arcprize.org/play?task=91714a58" TargetMode="External"/><Relationship Id="rId1580" Type="http://schemas.openxmlformats.org/officeDocument/2006/relationships/hyperlink" Target="https://arcprize.org/play?task=22eb0ac0" TargetMode="External"/><Relationship Id="rId1581" Type="http://schemas.openxmlformats.org/officeDocument/2006/relationships/hyperlink" Target="https://arcprize.org/play?task=fcc82909" TargetMode="External"/><Relationship Id="rId1582" Type="http://schemas.openxmlformats.org/officeDocument/2006/relationships/hyperlink" Target="https://arcprize.org/play?task=57aa92db" TargetMode="External"/><Relationship Id="rId510" Type="http://schemas.openxmlformats.org/officeDocument/2006/relationships/hyperlink" Target="https://arcprize.org/play?task=ff28f65a" TargetMode="External"/><Relationship Id="rId994" Type="http://schemas.openxmlformats.org/officeDocument/2006/relationships/hyperlink" Target="https://arcprize.org/play?task=a65b410d" TargetMode="External"/><Relationship Id="rId1583" Type="http://schemas.openxmlformats.org/officeDocument/2006/relationships/hyperlink" Target="https://arcprize.org/play?task=4c4377d9" TargetMode="External"/><Relationship Id="rId993" Type="http://schemas.openxmlformats.org/officeDocument/2006/relationships/hyperlink" Target="https://arcprize.org/play?task=a48eeaf7" TargetMode="External"/><Relationship Id="rId1100" Type="http://schemas.openxmlformats.org/officeDocument/2006/relationships/hyperlink" Target="https://arcprize.org/play?task=025d127b" TargetMode="External"/><Relationship Id="rId1584" Type="http://schemas.openxmlformats.org/officeDocument/2006/relationships/hyperlink" Target="https://arcprize.org/play?task=0d3d703e" TargetMode="External"/><Relationship Id="rId992" Type="http://schemas.openxmlformats.org/officeDocument/2006/relationships/hyperlink" Target="https://arcprize.org/play?task=cdecee7f" TargetMode="External"/><Relationship Id="rId1101" Type="http://schemas.openxmlformats.org/officeDocument/2006/relationships/hyperlink" Target="https://arcprize.org/play?task=b230c067" TargetMode="External"/><Relationship Id="rId1585" Type="http://schemas.openxmlformats.org/officeDocument/2006/relationships/hyperlink" Target="https://arcprize.org/play?task=feca6190" TargetMode="External"/><Relationship Id="rId991" Type="http://schemas.openxmlformats.org/officeDocument/2006/relationships/hyperlink" Target="https://arcprize.org/play?task=d13f3404" TargetMode="External"/><Relationship Id="rId1102" Type="http://schemas.openxmlformats.org/officeDocument/2006/relationships/hyperlink" Target="https://arcprize.org/play?task=508bd3b6" TargetMode="External"/><Relationship Id="rId1586" Type="http://schemas.openxmlformats.org/officeDocument/2006/relationships/hyperlink" Target="https://arcprize.org/play?task=0e206a2e" TargetMode="External"/><Relationship Id="rId1532" Type="http://schemas.openxmlformats.org/officeDocument/2006/relationships/hyperlink" Target="https://arcprize.org/play?task=3ac3eb23" TargetMode="External"/><Relationship Id="rId1533" Type="http://schemas.openxmlformats.org/officeDocument/2006/relationships/hyperlink" Target="https://arcprize.org/play?task=f25ffba3" TargetMode="External"/><Relationship Id="rId1534" Type="http://schemas.openxmlformats.org/officeDocument/2006/relationships/hyperlink" Target="https://arcprize.org/play?task=b775ac94" TargetMode="External"/><Relationship Id="rId1535" Type="http://schemas.openxmlformats.org/officeDocument/2006/relationships/hyperlink" Target="https://arcprize.org/play?task=beb8660c" TargetMode="External"/><Relationship Id="rId1536" Type="http://schemas.openxmlformats.org/officeDocument/2006/relationships/hyperlink" Target="https://arcprize.org/play?task=29c11459" TargetMode="External"/><Relationship Id="rId1537" Type="http://schemas.openxmlformats.org/officeDocument/2006/relationships/hyperlink" Target="https://arcprize.org/play?task=f2829549" TargetMode="External"/><Relationship Id="rId1538" Type="http://schemas.openxmlformats.org/officeDocument/2006/relationships/hyperlink" Target="https://arcprize.org/play?task=39e1d7f9" TargetMode="External"/><Relationship Id="rId1539" Type="http://schemas.openxmlformats.org/officeDocument/2006/relationships/hyperlink" Target="https://arcprize.org/play?task=67a3c6ac" TargetMode="External"/><Relationship Id="rId949" Type="http://schemas.openxmlformats.org/officeDocument/2006/relationships/hyperlink" Target="https://arcprize.org/play?task=9af7a82c" TargetMode="External"/><Relationship Id="rId948" Type="http://schemas.openxmlformats.org/officeDocument/2006/relationships/hyperlink" Target="https://arcprize.org/play?task=10fcaaa3" TargetMode="External"/><Relationship Id="rId943" Type="http://schemas.openxmlformats.org/officeDocument/2006/relationships/hyperlink" Target="https://arcprize.org/play?task=539a4f51" TargetMode="External"/><Relationship Id="rId942" Type="http://schemas.openxmlformats.org/officeDocument/2006/relationships/hyperlink" Target="https://arcprize.org/play?task=780d0b14" TargetMode="External"/><Relationship Id="rId941" Type="http://schemas.openxmlformats.org/officeDocument/2006/relationships/hyperlink" Target="https://arcprize.org/play?task=99fa7670" TargetMode="External"/><Relationship Id="rId940" Type="http://schemas.openxmlformats.org/officeDocument/2006/relationships/hyperlink" Target="https://arcprize.org/play?task=b8825c91" TargetMode="External"/><Relationship Id="rId947" Type="http://schemas.openxmlformats.org/officeDocument/2006/relationships/hyperlink" Target="https://arcprize.org/play?task=7f4411dc" TargetMode="External"/><Relationship Id="rId946" Type="http://schemas.openxmlformats.org/officeDocument/2006/relationships/hyperlink" Target="https://arcprize.org/play?task=239be575" TargetMode="External"/><Relationship Id="rId945" Type="http://schemas.openxmlformats.org/officeDocument/2006/relationships/hyperlink" Target="https://arcprize.org/play?task=9aec4887" TargetMode="External"/><Relationship Id="rId944" Type="http://schemas.openxmlformats.org/officeDocument/2006/relationships/hyperlink" Target="https://arcprize.org/play?task=0a938d79" TargetMode="External"/><Relationship Id="rId1530" Type="http://schemas.openxmlformats.org/officeDocument/2006/relationships/hyperlink" Target="https://arcprize.org/play?task=50846271" TargetMode="External"/><Relationship Id="rId1531" Type="http://schemas.openxmlformats.org/officeDocument/2006/relationships/hyperlink" Target="https://arcprize.org/play?task=c9e6f938" TargetMode="External"/><Relationship Id="rId1521" Type="http://schemas.openxmlformats.org/officeDocument/2006/relationships/hyperlink" Target="https://arcprize.org/play?task=f15e1fac" TargetMode="External"/><Relationship Id="rId1522" Type="http://schemas.openxmlformats.org/officeDocument/2006/relationships/hyperlink" Target="https://arcprize.org/play?task=d07ae81c" TargetMode="External"/><Relationship Id="rId1523" Type="http://schemas.openxmlformats.org/officeDocument/2006/relationships/hyperlink" Target="https://arcprize.org/play?task=5bd6f4ac" TargetMode="External"/><Relationship Id="rId1524" Type="http://schemas.openxmlformats.org/officeDocument/2006/relationships/hyperlink" Target="https://arcprize.org/play?task=017c7c7b" TargetMode="External"/><Relationship Id="rId1525" Type="http://schemas.openxmlformats.org/officeDocument/2006/relationships/hyperlink" Target="https://arcprize.org/play?task=f1cefba8" TargetMode="External"/><Relationship Id="rId1526" Type="http://schemas.openxmlformats.org/officeDocument/2006/relationships/hyperlink" Target="https://arcprize.org/play?task=7df24a62" TargetMode="External"/><Relationship Id="rId1527" Type="http://schemas.openxmlformats.org/officeDocument/2006/relationships/hyperlink" Target="https://arcprize.org/play?task=6d0aefbc" TargetMode="External"/><Relationship Id="rId1528" Type="http://schemas.openxmlformats.org/officeDocument/2006/relationships/hyperlink" Target="https://arcprize.org/play?task=6430c8c4" TargetMode="External"/><Relationship Id="rId1529" Type="http://schemas.openxmlformats.org/officeDocument/2006/relationships/hyperlink" Target="https://arcprize.org/play?task=f25fbde4" TargetMode="External"/><Relationship Id="rId939" Type="http://schemas.openxmlformats.org/officeDocument/2006/relationships/hyperlink" Target="https://arcprize.org/play?task=1e32b0e9" TargetMode="External"/><Relationship Id="rId938" Type="http://schemas.openxmlformats.org/officeDocument/2006/relationships/hyperlink" Target="https://arcprize.org/play?task=4938f0c2" TargetMode="External"/><Relationship Id="rId937" Type="http://schemas.openxmlformats.org/officeDocument/2006/relationships/hyperlink" Target="https://arcprize.org/play?task=99b1bc43" TargetMode="External"/><Relationship Id="rId932" Type="http://schemas.openxmlformats.org/officeDocument/2006/relationships/hyperlink" Target="https://arcprize.org/play?task=3f7978a0" TargetMode="External"/><Relationship Id="rId931" Type="http://schemas.openxmlformats.org/officeDocument/2006/relationships/hyperlink" Target="https://arcprize.org/play?task=b6afb2da" TargetMode="External"/><Relationship Id="rId930" Type="http://schemas.openxmlformats.org/officeDocument/2006/relationships/hyperlink" Target="https://arcprize.org/play?task=e21d9049" TargetMode="External"/><Relationship Id="rId936" Type="http://schemas.openxmlformats.org/officeDocument/2006/relationships/hyperlink" Target="https://arcprize.org/play?task=8e5a5113" TargetMode="External"/><Relationship Id="rId935" Type="http://schemas.openxmlformats.org/officeDocument/2006/relationships/hyperlink" Target="https://arcprize.org/play?task=feca6190" TargetMode="External"/><Relationship Id="rId934" Type="http://schemas.openxmlformats.org/officeDocument/2006/relationships/hyperlink" Target="https://arcprize.org/play?task=137eaa0f" TargetMode="External"/><Relationship Id="rId933" Type="http://schemas.openxmlformats.org/officeDocument/2006/relationships/hyperlink" Target="https://arcprize.org/play?task=995c5fa3" TargetMode="External"/><Relationship Id="rId1520" Type="http://schemas.openxmlformats.org/officeDocument/2006/relationships/hyperlink" Target="https://arcprize.org/play?task=68b16354" TargetMode="External"/><Relationship Id="rId1554" Type="http://schemas.openxmlformats.org/officeDocument/2006/relationships/hyperlink" Target="https://arcprize.org/play?task=90f3ed37" TargetMode="External"/><Relationship Id="rId1555" Type="http://schemas.openxmlformats.org/officeDocument/2006/relationships/hyperlink" Target="https://arcprize.org/play?task=ed36ccf7" TargetMode="External"/><Relationship Id="rId1556" Type="http://schemas.openxmlformats.org/officeDocument/2006/relationships/hyperlink" Target="https://arcprize.org/play?task=3c9b0459" TargetMode="External"/><Relationship Id="rId1557" Type="http://schemas.openxmlformats.org/officeDocument/2006/relationships/hyperlink" Target="https://arcprize.org/play?task=f8b3ba0a" TargetMode="External"/><Relationship Id="rId1558" Type="http://schemas.openxmlformats.org/officeDocument/2006/relationships/hyperlink" Target="https://arcprize.org/play?task=8a004b2b" TargetMode="External"/><Relationship Id="rId1559" Type="http://schemas.openxmlformats.org/officeDocument/2006/relationships/hyperlink" Target="https://arcprize.org/play?task=a416b8f3" TargetMode="External"/><Relationship Id="rId965" Type="http://schemas.openxmlformats.org/officeDocument/2006/relationships/hyperlink" Target="https://arcprize.org/play?task=9edfc990" TargetMode="External"/><Relationship Id="rId964" Type="http://schemas.openxmlformats.org/officeDocument/2006/relationships/hyperlink" Target="https://arcprize.org/play?task=623ea044" TargetMode="External"/><Relationship Id="rId963" Type="http://schemas.openxmlformats.org/officeDocument/2006/relationships/hyperlink" Target="https://arcprize.org/play?task=5168d44c" TargetMode="External"/><Relationship Id="rId962" Type="http://schemas.openxmlformats.org/officeDocument/2006/relationships/hyperlink" Target="https://arcprize.org/play?task=ddf7fa4f" TargetMode="External"/><Relationship Id="rId969" Type="http://schemas.openxmlformats.org/officeDocument/2006/relationships/hyperlink" Target="https://arcprize.org/play?task=9f236235" TargetMode="External"/><Relationship Id="rId968" Type="http://schemas.openxmlformats.org/officeDocument/2006/relationships/hyperlink" Target="https://arcprize.org/play?task=c3e719e8" TargetMode="External"/><Relationship Id="rId967" Type="http://schemas.openxmlformats.org/officeDocument/2006/relationships/hyperlink" Target="https://arcprize.org/play?task=6e02f1e3" TargetMode="External"/><Relationship Id="rId966" Type="http://schemas.openxmlformats.org/officeDocument/2006/relationships/hyperlink" Target="https://arcprize.org/play?task=ded97339" TargetMode="External"/><Relationship Id="rId961" Type="http://schemas.openxmlformats.org/officeDocument/2006/relationships/hyperlink" Target="https://arcprize.org/play?task=9ecd008a" TargetMode="External"/><Relationship Id="rId1550" Type="http://schemas.openxmlformats.org/officeDocument/2006/relationships/hyperlink" Target="https://arcprize.org/play?task=6a1e5592" TargetMode="External"/><Relationship Id="rId960" Type="http://schemas.openxmlformats.org/officeDocument/2006/relationships/hyperlink" Target="https://arcprize.org/play?task=06df4c85" TargetMode="External"/><Relationship Id="rId1551" Type="http://schemas.openxmlformats.org/officeDocument/2006/relationships/hyperlink" Target="https://arcprize.org/play?task=44f52bb0" TargetMode="External"/><Relationship Id="rId1552" Type="http://schemas.openxmlformats.org/officeDocument/2006/relationships/hyperlink" Target="https://arcprize.org/play?task=1e0a9b12" TargetMode="External"/><Relationship Id="rId1553" Type="http://schemas.openxmlformats.org/officeDocument/2006/relationships/hyperlink" Target="https://arcprize.org/play?task=f8a8fe49" TargetMode="External"/><Relationship Id="rId1543" Type="http://schemas.openxmlformats.org/officeDocument/2006/relationships/hyperlink" Target="https://arcprize.org/play?task=d10ecb37" TargetMode="External"/><Relationship Id="rId1544" Type="http://schemas.openxmlformats.org/officeDocument/2006/relationships/hyperlink" Target="https://arcprize.org/play?task=25d8a9c8" TargetMode="External"/><Relationship Id="rId1545" Type="http://schemas.openxmlformats.org/officeDocument/2006/relationships/hyperlink" Target="https://arcprize.org/play?task=f5b8619d" TargetMode="External"/><Relationship Id="rId1546" Type="http://schemas.openxmlformats.org/officeDocument/2006/relationships/hyperlink" Target="https://arcprize.org/play?task=2dd70a9a" TargetMode="External"/><Relationship Id="rId1547" Type="http://schemas.openxmlformats.org/officeDocument/2006/relationships/hyperlink" Target="https://arcprize.org/play?task=eb281b96" TargetMode="External"/><Relationship Id="rId1548" Type="http://schemas.openxmlformats.org/officeDocument/2006/relationships/hyperlink" Target="https://arcprize.org/play?task=62c24649" TargetMode="External"/><Relationship Id="rId1549" Type="http://schemas.openxmlformats.org/officeDocument/2006/relationships/hyperlink" Target="https://arcprize.org/play?task=f76d97a5" TargetMode="External"/><Relationship Id="rId959" Type="http://schemas.openxmlformats.org/officeDocument/2006/relationships/hyperlink" Target="https://arcprize.org/play?task=4258a5f9" TargetMode="External"/><Relationship Id="rId954" Type="http://schemas.openxmlformats.org/officeDocument/2006/relationships/hyperlink" Target="https://arcprize.org/play?task=a3325580" TargetMode="External"/><Relationship Id="rId953" Type="http://schemas.openxmlformats.org/officeDocument/2006/relationships/hyperlink" Target="https://arcprize.org/play?task=9d9215db" TargetMode="External"/><Relationship Id="rId952" Type="http://schemas.openxmlformats.org/officeDocument/2006/relationships/hyperlink" Target="https://arcprize.org/play?task=67a423a3" TargetMode="External"/><Relationship Id="rId951" Type="http://schemas.openxmlformats.org/officeDocument/2006/relationships/hyperlink" Target="https://arcprize.org/play?task=aedd82e4" TargetMode="External"/><Relationship Id="rId958" Type="http://schemas.openxmlformats.org/officeDocument/2006/relationships/hyperlink" Target="https://arcprize.org/play?task=c3e719e8" TargetMode="External"/><Relationship Id="rId957" Type="http://schemas.openxmlformats.org/officeDocument/2006/relationships/hyperlink" Target="https://arcprize.org/play?task=9dfd6313" TargetMode="External"/><Relationship Id="rId956" Type="http://schemas.openxmlformats.org/officeDocument/2006/relationships/hyperlink" Target="https://arcprize.org/play?task=6cf79266" TargetMode="External"/><Relationship Id="rId955" Type="http://schemas.openxmlformats.org/officeDocument/2006/relationships/hyperlink" Target="https://arcprize.org/play?task=cdecee7f" TargetMode="External"/><Relationship Id="rId950" Type="http://schemas.openxmlformats.org/officeDocument/2006/relationships/hyperlink" Target="https://arcprize.org/play?task=623ea044" TargetMode="External"/><Relationship Id="rId1540" Type="http://schemas.openxmlformats.org/officeDocument/2006/relationships/hyperlink" Target="https://arcprize.org/play?task=1cf80156" TargetMode="External"/><Relationship Id="rId1541" Type="http://schemas.openxmlformats.org/officeDocument/2006/relationships/hyperlink" Target="https://arcprize.org/play?task=f35d900a" TargetMode="External"/><Relationship Id="rId1542" Type="http://schemas.openxmlformats.org/officeDocument/2006/relationships/hyperlink" Target="https://arcprize.org/play?task=3e980e27" TargetMode="External"/><Relationship Id="rId590" Type="http://schemas.openxmlformats.org/officeDocument/2006/relationships/hyperlink" Target="https://arcprize.org/play?task=dc0a314f" TargetMode="External"/><Relationship Id="rId107" Type="http://schemas.openxmlformats.org/officeDocument/2006/relationships/hyperlink" Target="https://arcprize.org/play?task=aba27056" TargetMode="External"/><Relationship Id="rId106" Type="http://schemas.openxmlformats.org/officeDocument/2006/relationships/hyperlink" Target="https://arcprize.org/play?task=27a28665" TargetMode="External"/><Relationship Id="rId105" Type="http://schemas.openxmlformats.org/officeDocument/2006/relationships/hyperlink" Target="https://arcprize.org/play?task=1bfc4729" TargetMode="External"/><Relationship Id="rId589" Type="http://schemas.openxmlformats.org/officeDocument/2006/relationships/hyperlink" Target="https://arcprize.org/play?task=6773b310" TargetMode="External"/><Relationship Id="rId104" Type="http://schemas.openxmlformats.org/officeDocument/2006/relationships/hyperlink" Target="https://arcprize.org/play?task=f1cefba8" TargetMode="External"/><Relationship Id="rId588" Type="http://schemas.openxmlformats.org/officeDocument/2006/relationships/hyperlink" Target="https://arcprize.org/play?task=d4f3cd78" TargetMode="External"/><Relationship Id="rId109" Type="http://schemas.openxmlformats.org/officeDocument/2006/relationships/hyperlink" Target="https://arcprize.org/play?task=1c786137" TargetMode="External"/><Relationship Id="rId1170" Type="http://schemas.openxmlformats.org/officeDocument/2006/relationships/hyperlink" Target="https://arcprize.org/play?task=a87f7484" TargetMode="External"/><Relationship Id="rId108" Type="http://schemas.openxmlformats.org/officeDocument/2006/relationships/hyperlink" Target="https://arcprize.org/play?task=681b3aeb" TargetMode="External"/><Relationship Id="rId1171" Type="http://schemas.openxmlformats.org/officeDocument/2006/relationships/hyperlink" Target="https://arcprize.org/play?task=b9b7f026" TargetMode="External"/><Relationship Id="rId583" Type="http://schemas.openxmlformats.org/officeDocument/2006/relationships/hyperlink" Target="https://arcprize.org/play?task=a48eeaf7" TargetMode="External"/><Relationship Id="rId1172" Type="http://schemas.openxmlformats.org/officeDocument/2006/relationships/hyperlink" Target="https://arcprize.org/play?task=a5f85a15" TargetMode="External"/><Relationship Id="rId582" Type="http://schemas.openxmlformats.org/officeDocument/2006/relationships/hyperlink" Target="https://arcprize.org/play?task=08ed6ac7" TargetMode="External"/><Relationship Id="rId1173" Type="http://schemas.openxmlformats.org/officeDocument/2006/relationships/hyperlink" Target="https://arcprize.org/play?task=bbc9ae5d" TargetMode="External"/><Relationship Id="rId581" Type="http://schemas.openxmlformats.org/officeDocument/2006/relationships/hyperlink" Target="https://arcprize.org/play?task=67385a82" TargetMode="External"/><Relationship Id="rId1174" Type="http://schemas.openxmlformats.org/officeDocument/2006/relationships/hyperlink" Target="https://arcprize.org/play?task=b2862040" TargetMode="External"/><Relationship Id="rId580" Type="http://schemas.openxmlformats.org/officeDocument/2006/relationships/hyperlink" Target="https://arcprize.org/play?task=db3e9e38" TargetMode="External"/><Relationship Id="rId1175" Type="http://schemas.openxmlformats.org/officeDocument/2006/relationships/hyperlink" Target="https://arcprize.org/play?task=ba97ae07" TargetMode="External"/><Relationship Id="rId103" Type="http://schemas.openxmlformats.org/officeDocument/2006/relationships/hyperlink" Target="https://arcprize.org/play?task=f35d900a" TargetMode="External"/><Relationship Id="rId587" Type="http://schemas.openxmlformats.org/officeDocument/2006/relationships/hyperlink" Target="https://arcprize.org/play?task=de1cd16c" TargetMode="External"/><Relationship Id="rId1176" Type="http://schemas.openxmlformats.org/officeDocument/2006/relationships/hyperlink" Target="https://arcprize.org/play?task=fafffa47" TargetMode="External"/><Relationship Id="rId102" Type="http://schemas.openxmlformats.org/officeDocument/2006/relationships/hyperlink" Target="https://arcprize.org/play?task=1e0a9b12" TargetMode="External"/><Relationship Id="rId586" Type="http://schemas.openxmlformats.org/officeDocument/2006/relationships/hyperlink" Target="https://arcprize.org/play?task=99fa7670" TargetMode="External"/><Relationship Id="rId1177" Type="http://schemas.openxmlformats.org/officeDocument/2006/relationships/hyperlink" Target="https://arcprize.org/play?task=bc1d5164" TargetMode="External"/><Relationship Id="rId101" Type="http://schemas.openxmlformats.org/officeDocument/2006/relationships/hyperlink" Target="https://arcprize.org/play?task=1b60fb0c" TargetMode="External"/><Relationship Id="rId585" Type="http://schemas.openxmlformats.org/officeDocument/2006/relationships/hyperlink" Target="https://arcprize.org/play?task=673ef223" TargetMode="External"/><Relationship Id="rId1178" Type="http://schemas.openxmlformats.org/officeDocument/2006/relationships/hyperlink" Target="https://arcprize.org/play?task=d89b689b" TargetMode="External"/><Relationship Id="rId100" Type="http://schemas.openxmlformats.org/officeDocument/2006/relationships/hyperlink" Target="https://arcprize.org/play?task=f15e1fac" TargetMode="External"/><Relationship Id="rId584" Type="http://schemas.openxmlformats.org/officeDocument/2006/relationships/hyperlink" Target="https://arcprize.org/play?task=8e1813be" TargetMode="External"/><Relationship Id="rId1179" Type="http://schemas.openxmlformats.org/officeDocument/2006/relationships/hyperlink" Target="https://arcprize.org/play?task=007bbfb7" TargetMode="External"/><Relationship Id="rId1169" Type="http://schemas.openxmlformats.org/officeDocument/2006/relationships/hyperlink" Target="https://arcprize.org/play?task=bb43febb" TargetMode="External"/><Relationship Id="rId579" Type="http://schemas.openxmlformats.org/officeDocument/2006/relationships/hyperlink" Target="https://arcprize.org/play?task=95990924" TargetMode="External"/><Relationship Id="rId578" Type="http://schemas.openxmlformats.org/officeDocument/2006/relationships/hyperlink" Target="https://arcprize.org/play?task=d4469b4b" TargetMode="External"/><Relationship Id="rId577" Type="http://schemas.openxmlformats.org/officeDocument/2006/relationships/hyperlink" Target="https://arcprize.org/play?task=662c240a" TargetMode="External"/><Relationship Id="rId1160" Type="http://schemas.openxmlformats.org/officeDocument/2006/relationships/hyperlink" Target="https://arcprize.org/play?task=bc1d5164" TargetMode="External"/><Relationship Id="rId572" Type="http://schemas.openxmlformats.org/officeDocument/2006/relationships/hyperlink" Target="https://arcprize.org/play?task=4938f0c2" TargetMode="External"/><Relationship Id="rId1161" Type="http://schemas.openxmlformats.org/officeDocument/2006/relationships/hyperlink" Target="https://arcprize.org/play?task=ba26e723" TargetMode="External"/><Relationship Id="rId571" Type="http://schemas.openxmlformats.org/officeDocument/2006/relationships/hyperlink" Target="https://arcprize.org/play?task=7c008303" TargetMode="External"/><Relationship Id="rId1162" Type="http://schemas.openxmlformats.org/officeDocument/2006/relationships/hyperlink" Target="https://arcprize.org/play?task=d4a91cb9" TargetMode="External"/><Relationship Id="rId570" Type="http://schemas.openxmlformats.org/officeDocument/2006/relationships/hyperlink" Target="https://arcprize.org/play?task=b94a9452" TargetMode="External"/><Relationship Id="rId1163" Type="http://schemas.openxmlformats.org/officeDocument/2006/relationships/hyperlink" Target="https://arcprize.org/play?task=794b24be" TargetMode="External"/><Relationship Id="rId1164" Type="http://schemas.openxmlformats.org/officeDocument/2006/relationships/hyperlink" Target="https://arcprize.org/play?task=99b1bc43" TargetMode="External"/><Relationship Id="rId576" Type="http://schemas.openxmlformats.org/officeDocument/2006/relationships/hyperlink" Target="https://arcprize.org/play?task=780d0b14" TargetMode="External"/><Relationship Id="rId1165" Type="http://schemas.openxmlformats.org/officeDocument/2006/relationships/hyperlink" Target="https://arcprize.org/play?task=ba97ae07" TargetMode="External"/><Relationship Id="rId575" Type="http://schemas.openxmlformats.org/officeDocument/2006/relationships/hyperlink" Target="https://arcprize.org/play?task=8f2ea7aa" TargetMode="External"/><Relationship Id="rId1166" Type="http://schemas.openxmlformats.org/officeDocument/2006/relationships/hyperlink" Target="https://arcprize.org/play?task=98cf29f8" TargetMode="External"/><Relationship Id="rId574" Type="http://schemas.openxmlformats.org/officeDocument/2006/relationships/hyperlink" Target="https://arcprize.org/play?task=ce9e57f2" TargetMode="External"/><Relationship Id="rId1167" Type="http://schemas.openxmlformats.org/officeDocument/2006/relationships/hyperlink" Target="https://arcprize.org/play?task=3906de3d" TargetMode="External"/><Relationship Id="rId573" Type="http://schemas.openxmlformats.org/officeDocument/2006/relationships/hyperlink" Target="https://arcprize.org/play?task=6455b5f5" TargetMode="External"/><Relationship Id="rId1168" Type="http://schemas.openxmlformats.org/officeDocument/2006/relationships/hyperlink" Target="https://arcprize.org/play?task=bda2d7a6" TargetMode="External"/><Relationship Id="rId129" Type="http://schemas.openxmlformats.org/officeDocument/2006/relationships/hyperlink" Target="https://arcprize.org/play?task=1f0c79e5" TargetMode="External"/><Relationship Id="rId128" Type="http://schemas.openxmlformats.org/officeDocument/2006/relationships/hyperlink" Target="https://arcprize.org/play?task=a48eeaf7" TargetMode="External"/><Relationship Id="rId127" Type="http://schemas.openxmlformats.org/officeDocument/2006/relationships/hyperlink" Target="https://arcprize.org/play?task=e5062a87" TargetMode="External"/><Relationship Id="rId126" Type="http://schemas.openxmlformats.org/officeDocument/2006/relationships/hyperlink" Target="https://arcprize.org/play?task=62c24649" TargetMode="External"/><Relationship Id="rId1190" Type="http://schemas.openxmlformats.org/officeDocument/2006/relationships/hyperlink" Target="https://arcprize.org/play?task=6e82a1ae" TargetMode="External"/><Relationship Id="rId1191" Type="http://schemas.openxmlformats.org/officeDocument/2006/relationships/hyperlink" Target="https://arcprize.org/play?task=d406998b" TargetMode="External"/><Relationship Id="rId1192" Type="http://schemas.openxmlformats.org/officeDocument/2006/relationships/hyperlink" Target="https://arcprize.org/play?task=c1d99e64" TargetMode="External"/><Relationship Id="rId1193" Type="http://schemas.openxmlformats.org/officeDocument/2006/relationships/hyperlink" Target="https://arcprize.org/play?task=be94b721" TargetMode="External"/><Relationship Id="rId121" Type="http://schemas.openxmlformats.org/officeDocument/2006/relationships/hyperlink" Target="https://arcprize.org/play?task=1e0a9b12" TargetMode="External"/><Relationship Id="rId1194" Type="http://schemas.openxmlformats.org/officeDocument/2006/relationships/hyperlink" Target="https://arcprize.org/play?task=d6ad076f" TargetMode="External"/><Relationship Id="rId120" Type="http://schemas.openxmlformats.org/officeDocument/2006/relationships/hyperlink" Target="https://arcprize.org/play?task=b2862040" TargetMode="External"/><Relationship Id="rId1195" Type="http://schemas.openxmlformats.org/officeDocument/2006/relationships/hyperlink" Target="https://arcprize.org/play?task=0b148d64" TargetMode="External"/><Relationship Id="rId1196" Type="http://schemas.openxmlformats.org/officeDocument/2006/relationships/hyperlink" Target="https://arcprize.org/play?task=ff28f65a" TargetMode="External"/><Relationship Id="rId1197" Type="http://schemas.openxmlformats.org/officeDocument/2006/relationships/hyperlink" Target="https://arcprize.org/play?task=beb8660c" TargetMode="External"/><Relationship Id="rId125" Type="http://schemas.openxmlformats.org/officeDocument/2006/relationships/hyperlink" Target="https://arcprize.org/play?task=1e32b0e9" TargetMode="External"/><Relationship Id="rId1198" Type="http://schemas.openxmlformats.org/officeDocument/2006/relationships/hyperlink" Target="https://arcprize.org/play?task=e8593010" TargetMode="External"/><Relationship Id="rId124" Type="http://schemas.openxmlformats.org/officeDocument/2006/relationships/hyperlink" Target="https://arcprize.org/play?task=a8d7556c" TargetMode="External"/><Relationship Id="rId1199" Type="http://schemas.openxmlformats.org/officeDocument/2006/relationships/hyperlink" Target="https://arcprize.org/play?task=54d9e175" TargetMode="External"/><Relationship Id="rId123" Type="http://schemas.openxmlformats.org/officeDocument/2006/relationships/hyperlink" Target="https://arcprize.org/play?task=a8c38be5" TargetMode="External"/><Relationship Id="rId122" Type="http://schemas.openxmlformats.org/officeDocument/2006/relationships/hyperlink" Target="https://arcprize.org/play?task=3af2c5a8" TargetMode="External"/><Relationship Id="rId118" Type="http://schemas.openxmlformats.org/officeDocument/2006/relationships/hyperlink" Target="https://arcprize.org/play?task=25d8a9c8" TargetMode="External"/><Relationship Id="rId117" Type="http://schemas.openxmlformats.org/officeDocument/2006/relationships/hyperlink" Target="https://arcprize.org/play?task=1cf80156" TargetMode="External"/><Relationship Id="rId116" Type="http://schemas.openxmlformats.org/officeDocument/2006/relationships/hyperlink" Target="https://arcprize.org/play?task=7837ac64" TargetMode="External"/><Relationship Id="rId115" Type="http://schemas.openxmlformats.org/officeDocument/2006/relationships/hyperlink" Target="https://arcprize.org/play?task=e40b9e2f" TargetMode="External"/><Relationship Id="rId599" Type="http://schemas.openxmlformats.org/officeDocument/2006/relationships/hyperlink" Target="https://arcprize.org/play?task=1caeab9d" TargetMode="External"/><Relationship Id="rId1180" Type="http://schemas.openxmlformats.org/officeDocument/2006/relationships/hyperlink" Target="https://arcprize.org/play?task=ce22a75a" TargetMode="External"/><Relationship Id="rId1181" Type="http://schemas.openxmlformats.org/officeDocument/2006/relationships/hyperlink" Target="https://arcprize.org/play?task=bd4472b8" TargetMode="External"/><Relationship Id="rId119" Type="http://schemas.openxmlformats.org/officeDocument/2006/relationships/hyperlink" Target="https://arcprize.org/play?task=150deff5" TargetMode="External"/><Relationship Id="rId1182" Type="http://schemas.openxmlformats.org/officeDocument/2006/relationships/hyperlink" Target="https://arcprize.org/play?task=7837ac64" TargetMode="External"/><Relationship Id="rId110" Type="http://schemas.openxmlformats.org/officeDocument/2006/relationships/hyperlink" Target="https://arcprize.org/play?task=67e8384a" TargetMode="External"/><Relationship Id="rId594" Type="http://schemas.openxmlformats.org/officeDocument/2006/relationships/hyperlink" Target="https://arcprize.org/play?task=ff805c23" TargetMode="External"/><Relationship Id="rId1183" Type="http://schemas.openxmlformats.org/officeDocument/2006/relationships/hyperlink" Target="https://arcprize.org/play?task=017c7c7b" TargetMode="External"/><Relationship Id="rId593" Type="http://schemas.openxmlformats.org/officeDocument/2006/relationships/hyperlink" Target="https://arcprize.org/play?task=67a3c6ac" TargetMode="External"/><Relationship Id="rId1184" Type="http://schemas.openxmlformats.org/officeDocument/2006/relationships/hyperlink" Target="https://arcprize.org/play?task=cce03e0d" TargetMode="External"/><Relationship Id="rId592" Type="http://schemas.openxmlformats.org/officeDocument/2006/relationships/hyperlink" Target="https://arcprize.org/play?task=28e73c20" TargetMode="External"/><Relationship Id="rId1185" Type="http://schemas.openxmlformats.org/officeDocument/2006/relationships/hyperlink" Target="https://arcprize.org/play?task=bda2d7a6" TargetMode="External"/><Relationship Id="rId591" Type="http://schemas.openxmlformats.org/officeDocument/2006/relationships/hyperlink" Target="https://arcprize.org/play?task=5c0a986e" TargetMode="External"/><Relationship Id="rId1186" Type="http://schemas.openxmlformats.org/officeDocument/2006/relationships/hyperlink" Target="https://arcprize.org/play?task=83302e8f" TargetMode="External"/><Relationship Id="rId114" Type="http://schemas.openxmlformats.org/officeDocument/2006/relationships/hyperlink" Target="https://arcprize.org/play?task=a85d4709" TargetMode="External"/><Relationship Id="rId598" Type="http://schemas.openxmlformats.org/officeDocument/2006/relationships/hyperlink" Target="https://arcprize.org/play?task=760b3cac" TargetMode="External"/><Relationship Id="rId1187" Type="http://schemas.openxmlformats.org/officeDocument/2006/relationships/hyperlink" Target="https://arcprize.org/play?task=662c240a" TargetMode="External"/><Relationship Id="rId113" Type="http://schemas.openxmlformats.org/officeDocument/2006/relationships/hyperlink" Target="https://arcprize.org/play?task=1caeab9d" TargetMode="External"/><Relationship Id="rId597" Type="http://schemas.openxmlformats.org/officeDocument/2006/relationships/hyperlink" Target="https://arcprize.org/play?task=67a423a3" TargetMode="External"/><Relationship Id="rId1188" Type="http://schemas.openxmlformats.org/officeDocument/2006/relationships/hyperlink" Target="https://arcprize.org/play?task=f8b3ba0a" TargetMode="External"/><Relationship Id="rId112" Type="http://schemas.openxmlformats.org/officeDocument/2006/relationships/hyperlink" Target="https://arcprize.org/play?task=4c5c2cf0" TargetMode="External"/><Relationship Id="rId596" Type="http://schemas.openxmlformats.org/officeDocument/2006/relationships/hyperlink" Target="https://arcprize.org/play?task=a5313dff" TargetMode="External"/><Relationship Id="rId1189" Type="http://schemas.openxmlformats.org/officeDocument/2006/relationships/hyperlink" Target="https://arcprize.org/play?task=bdad9b1f" TargetMode="External"/><Relationship Id="rId111" Type="http://schemas.openxmlformats.org/officeDocument/2006/relationships/hyperlink" Target="https://arcprize.org/play?task=846bdb03" TargetMode="External"/><Relationship Id="rId595" Type="http://schemas.openxmlformats.org/officeDocument/2006/relationships/hyperlink" Target="https://arcprize.org/play?task=80af3007" TargetMode="External"/><Relationship Id="rId1136" Type="http://schemas.openxmlformats.org/officeDocument/2006/relationships/hyperlink" Target="https://arcprize.org/play?task=f8ff0b80" TargetMode="External"/><Relationship Id="rId1137" Type="http://schemas.openxmlformats.org/officeDocument/2006/relationships/hyperlink" Target="https://arcprize.org/play?task=b782dc8a" TargetMode="External"/><Relationship Id="rId1138" Type="http://schemas.openxmlformats.org/officeDocument/2006/relationships/hyperlink" Target="https://arcprize.org/play?task=a2fd1cf0" TargetMode="External"/><Relationship Id="rId1139" Type="http://schemas.openxmlformats.org/officeDocument/2006/relationships/hyperlink" Target="https://arcprize.org/play?task=a699fb00" TargetMode="External"/><Relationship Id="rId547" Type="http://schemas.openxmlformats.org/officeDocument/2006/relationships/hyperlink" Target="https://arcprize.org/play?task=41e4d17e" TargetMode="External"/><Relationship Id="rId546" Type="http://schemas.openxmlformats.org/officeDocument/2006/relationships/hyperlink" Target="https://arcprize.org/play?task=f8ff0b80" TargetMode="External"/><Relationship Id="rId545" Type="http://schemas.openxmlformats.org/officeDocument/2006/relationships/hyperlink" Target="https://arcprize.org/play?task=5daaa586" TargetMode="External"/><Relationship Id="rId544" Type="http://schemas.openxmlformats.org/officeDocument/2006/relationships/hyperlink" Target="https://arcprize.org/play?task=810b9b61" TargetMode="External"/><Relationship Id="rId549" Type="http://schemas.openxmlformats.org/officeDocument/2006/relationships/hyperlink" Target="https://arcprize.org/play?task=60b61512" TargetMode="External"/><Relationship Id="rId548" Type="http://schemas.openxmlformats.org/officeDocument/2006/relationships/hyperlink" Target="https://arcprize.org/play?task=b27ca6d3" TargetMode="External"/><Relationship Id="rId1130" Type="http://schemas.openxmlformats.org/officeDocument/2006/relationships/hyperlink" Target="https://arcprize.org/play?task=b548a754" TargetMode="External"/><Relationship Id="rId1131" Type="http://schemas.openxmlformats.org/officeDocument/2006/relationships/hyperlink" Target="https://arcprize.org/play?task=995c5fa3" TargetMode="External"/><Relationship Id="rId543" Type="http://schemas.openxmlformats.org/officeDocument/2006/relationships/hyperlink" Target="https://arcprize.org/play?task=1b60fb0c" TargetMode="External"/><Relationship Id="rId1132" Type="http://schemas.openxmlformats.org/officeDocument/2006/relationships/hyperlink" Target="https://arcprize.org/play?task=ac0a08a4" TargetMode="External"/><Relationship Id="rId542" Type="http://schemas.openxmlformats.org/officeDocument/2006/relationships/hyperlink" Target="https://arcprize.org/play?task=f8b3ba0a" TargetMode="External"/><Relationship Id="rId1133" Type="http://schemas.openxmlformats.org/officeDocument/2006/relationships/hyperlink" Target="https://arcprize.org/play?task=b775ac94" TargetMode="External"/><Relationship Id="rId541" Type="http://schemas.openxmlformats.org/officeDocument/2006/relationships/hyperlink" Target="https://arcprize.org/play?task=5c2c9af4" TargetMode="External"/><Relationship Id="rId1134" Type="http://schemas.openxmlformats.org/officeDocument/2006/relationships/hyperlink" Target="https://arcprize.org/play?task=ea32f347" TargetMode="External"/><Relationship Id="rId540" Type="http://schemas.openxmlformats.org/officeDocument/2006/relationships/hyperlink" Target="https://arcprize.org/play?task=a87f7484" TargetMode="External"/><Relationship Id="rId1135" Type="http://schemas.openxmlformats.org/officeDocument/2006/relationships/hyperlink" Target="https://arcprize.org/play?task=9f236235" TargetMode="External"/><Relationship Id="rId1125" Type="http://schemas.openxmlformats.org/officeDocument/2006/relationships/hyperlink" Target="https://arcprize.org/play?task=b6afb2da" TargetMode="External"/><Relationship Id="rId1126" Type="http://schemas.openxmlformats.org/officeDocument/2006/relationships/hyperlink" Target="https://arcprize.org/play?task=7ddcd7ec" TargetMode="External"/><Relationship Id="rId1127" Type="http://schemas.openxmlformats.org/officeDocument/2006/relationships/hyperlink" Target="https://arcprize.org/play?task=8e5a5113" TargetMode="External"/><Relationship Id="rId1128" Type="http://schemas.openxmlformats.org/officeDocument/2006/relationships/hyperlink" Target="https://arcprize.org/play?task=49d1d64f" TargetMode="External"/><Relationship Id="rId1129" Type="http://schemas.openxmlformats.org/officeDocument/2006/relationships/hyperlink" Target="https://arcprize.org/play?task=b7249182" TargetMode="External"/><Relationship Id="rId536" Type="http://schemas.openxmlformats.org/officeDocument/2006/relationships/hyperlink" Target="https://arcprize.org/play?task=e8593010" TargetMode="External"/><Relationship Id="rId535" Type="http://schemas.openxmlformats.org/officeDocument/2006/relationships/hyperlink" Target="https://arcprize.org/play?task=a1570a43" TargetMode="External"/><Relationship Id="rId534" Type="http://schemas.openxmlformats.org/officeDocument/2006/relationships/hyperlink" Target="https://arcprize.org/play?task=cce03e0d" TargetMode="External"/><Relationship Id="rId533" Type="http://schemas.openxmlformats.org/officeDocument/2006/relationships/hyperlink" Target="https://arcprize.org/play?task=5bd6f4ac" TargetMode="External"/><Relationship Id="rId539" Type="http://schemas.openxmlformats.org/officeDocument/2006/relationships/hyperlink" Target="https://arcprize.org/play?task=f8a8fe49" TargetMode="External"/><Relationship Id="rId538" Type="http://schemas.openxmlformats.org/officeDocument/2006/relationships/hyperlink" Target="https://arcprize.org/play?task=d8c310e9" TargetMode="External"/><Relationship Id="rId537" Type="http://schemas.openxmlformats.org/officeDocument/2006/relationships/hyperlink" Target="https://arcprize.org/play?task=5c0a986e" TargetMode="External"/><Relationship Id="rId1120" Type="http://schemas.openxmlformats.org/officeDocument/2006/relationships/hyperlink" Target="https://arcprize.org/play?task=b94a9452" TargetMode="External"/><Relationship Id="rId532" Type="http://schemas.openxmlformats.org/officeDocument/2006/relationships/hyperlink" Target="https://arcprize.org/play?task=fcc82909" TargetMode="External"/><Relationship Id="rId1121" Type="http://schemas.openxmlformats.org/officeDocument/2006/relationships/hyperlink" Target="https://arcprize.org/play?task=b60334d2" TargetMode="External"/><Relationship Id="rId531" Type="http://schemas.openxmlformats.org/officeDocument/2006/relationships/hyperlink" Target="https://arcprize.org/play?task=855e0971" TargetMode="External"/><Relationship Id="rId1122" Type="http://schemas.openxmlformats.org/officeDocument/2006/relationships/hyperlink" Target="https://arcprize.org/play?task=6b9890af" TargetMode="External"/><Relationship Id="rId530" Type="http://schemas.openxmlformats.org/officeDocument/2006/relationships/hyperlink" Target="https://arcprize.org/play?task=c444b776" TargetMode="External"/><Relationship Id="rId1123" Type="http://schemas.openxmlformats.org/officeDocument/2006/relationships/hyperlink" Target="https://arcprize.org/play?task=7447852a" TargetMode="External"/><Relationship Id="rId1124" Type="http://schemas.openxmlformats.org/officeDocument/2006/relationships/hyperlink" Target="https://arcprize.org/play?task=d4469b4b" TargetMode="External"/><Relationship Id="rId1158" Type="http://schemas.openxmlformats.org/officeDocument/2006/relationships/hyperlink" Target="https://arcprize.org/play?task=810b9b61" TargetMode="External"/><Relationship Id="rId1159" Type="http://schemas.openxmlformats.org/officeDocument/2006/relationships/hyperlink" Target="https://arcprize.org/play?task=48d8fb45" TargetMode="External"/><Relationship Id="rId569" Type="http://schemas.openxmlformats.org/officeDocument/2006/relationships/hyperlink" Target="https://arcprize.org/play?task=6430c8c4" TargetMode="External"/><Relationship Id="rId568" Type="http://schemas.openxmlformats.org/officeDocument/2006/relationships/hyperlink" Target="https://arcprize.org/play?task=239be575" TargetMode="External"/><Relationship Id="rId567" Type="http://schemas.openxmlformats.org/officeDocument/2006/relationships/hyperlink" Target="https://arcprize.org/play?task=53b68214" TargetMode="External"/><Relationship Id="rId566" Type="http://schemas.openxmlformats.org/officeDocument/2006/relationships/hyperlink" Target="https://arcprize.org/play?task=b0c4d837" TargetMode="External"/><Relationship Id="rId561" Type="http://schemas.openxmlformats.org/officeDocument/2006/relationships/hyperlink" Target="https://arcprize.org/play?task=62c24649" TargetMode="External"/><Relationship Id="rId1150" Type="http://schemas.openxmlformats.org/officeDocument/2006/relationships/hyperlink" Target="https://arcprize.org/play?task=b782dc8a" TargetMode="External"/><Relationship Id="rId560" Type="http://schemas.openxmlformats.org/officeDocument/2006/relationships/hyperlink" Target="https://arcprize.org/play?task=1f876c06" TargetMode="External"/><Relationship Id="rId1151" Type="http://schemas.openxmlformats.org/officeDocument/2006/relationships/hyperlink" Target="https://arcprize.org/play?task=f5b8619d" TargetMode="External"/><Relationship Id="rId1152" Type="http://schemas.openxmlformats.org/officeDocument/2006/relationships/hyperlink" Target="https://arcprize.org/play?task=54d9e175" TargetMode="External"/><Relationship Id="rId1153" Type="http://schemas.openxmlformats.org/officeDocument/2006/relationships/hyperlink" Target="https://arcprize.org/play?task=b94a9452" TargetMode="External"/><Relationship Id="rId565" Type="http://schemas.openxmlformats.org/officeDocument/2006/relationships/hyperlink" Target="https://arcprize.org/play?task=63613498" TargetMode="External"/><Relationship Id="rId1154" Type="http://schemas.openxmlformats.org/officeDocument/2006/relationships/hyperlink" Target="https://arcprize.org/play?task=39a8645d" TargetMode="External"/><Relationship Id="rId564" Type="http://schemas.openxmlformats.org/officeDocument/2006/relationships/hyperlink" Target="https://arcprize.org/play?task=d06dbe63" TargetMode="External"/><Relationship Id="rId1155" Type="http://schemas.openxmlformats.org/officeDocument/2006/relationships/hyperlink" Target="https://arcprize.org/play?task=2013d3e2" TargetMode="External"/><Relationship Id="rId563" Type="http://schemas.openxmlformats.org/officeDocument/2006/relationships/hyperlink" Target="https://arcprize.org/play?task=3de23699" TargetMode="External"/><Relationship Id="rId1156" Type="http://schemas.openxmlformats.org/officeDocument/2006/relationships/hyperlink" Target="https://arcprize.org/play?task=46442a0e" TargetMode="External"/><Relationship Id="rId562" Type="http://schemas.openxmlformats.org/officeDocument/2006/relationships/hyperlink" Target="https://arcprize.org/play?task=e26a3af2" TargetMode="External"/><Relationship Id="rId1157" Type="http://schemas.openxmlformats.org/officeDocument/2006/relationships/hyperlink" Target="https://arcprize.org/play?task=b9b7f026" TargetMode="External"/><Relationship Id="rId1147" Type="http://schemas.openxmlformats.org/officeDocument/2006/relationships/hyperlink" Target="https://arcprize.org/play?task=f25fbde4" TargetMode="External"/><Relationship Id="rId1148" Type="http://schemas.openxmlformats.org/officeDocument/2006/relationships/hyperlink" Target="https://arcprize.org/play?task=b9b7f026" TargetMode="External"/><Relationship Id="rId1149" Type="http://schemas.openxmlformats.org/officeDocument/2006/relationships/hyperlink" Target="https://arcprize.org/play?task=b91ae062" TargetMode="External"/><Relationship Id="rId558" Type="http://schemas.openxmlformats.org/officeDocument/2006/relationships/hyperlink" Target="https://arcprize.org/play?task=85c4e7cd" TargetMode="External"/><Relationship Id="rId557" Type="http://schemas.openxmlformats.org/officeDocument/2006/relationships/hyperlink" Target="https://arcprize.org/play?task=623ea044" TargetMode="External"/><Relationship Id="rId556" Type="http://schemas.openxmlformats.org/officeDocument/2006/relationships/hyperlink" Target="https://arcprize.org/play?task=7ddcd7ec" TargetMode="External"/><Relationship Id="rId555" Type="http://schemas.openxmlformats.org/officeDocument/2006/relationships/hyperlink" Target="https://arcprize.org/play?task=6cf79266" TargetMode="External"/><Relationship Id="rId559" Type="http://schemas.openxmlformats.org/officeDocument/2006/relationships/hyperlink" Target="https://arcprize.org/play?task=06df4c85" TargetMode="External"/><Relationship Id="rId550" Type="http://schemas.openxmlformats.org/officeDocument/2006/relationships/hyperlink" Target="https://arcprize.org/play?task=4347f46a" TargetMode="External"/><Relationship Id="rId1140" Type="http://schemas.openxmlformats.org/officeDocument/2006/relationships/hyperlink" Target="https://arcprize.org/play?task=29ec7d0e" TargetMode="External"/><Relationship Id="rId1141" Type="http://schemas.openxmlformats.org/officeDocument/2006/relationships/hyperlink" Target="https://arcprize.org/play?task=b8825c91" TargetMode="External"/><Relationship Id="rId1142" Type="http://schemas.openxmlformats.org/officeDocument/2006/relationships/hyperlink" Target="https://arcprize.org/play?task=a8d7556c" TargetMode="External"/><Relationship Id="rId554" Type="http://schemas.openxmlformats.org/officeDocument/2006/relationships/hyperlink" Target="https://arcprize.org/play?task=49d1d64f" TargetMode="External"/><Relationship Id="rId1143" Type="http://schemas.openxmlformats.org/officeDocument/2006/relationships/hyperlink" Target="https://arcprize.org/play?task=caa06a1f" TargetMode="External"/><Relationship Id="rId553" Type="http://schemas.openxmlformats.org/officeDocument/2006/relationships/hyperlink" Target="https://arcprize.org/play?task=6150a2bd" TargetMode="External"/><Relationship Id="rId1144" Type="http://schemas.openxmlformats.org/officeDocument/2006/relationships/hyperlink" Target="https://arcprize.org/play?task=6d75e8bb" TargetMode="External"/><Relationship Id="rId552" Type="http://schemas.openxmlformats.org/officeDocument/2006/relationships/hyperlink" Target="https://arcprize.org/play?task=1c786137" TargetMode="External"/><Relationship Id="rId1145" Type="http://schemas.openxmlformats.org/officeDocument/2006/relationships/hyperlink" Target="https://arcprize.org/play?task=b8cdaf2b" TargetMode="External"/><Relationship Id="rId551" Type="http://schemas.openxmlformats.org/officeDocument/2006/relationships/hyperlink" Target="https://arcprize.org/play?task=6855a6e4" TargetMode="External"/><Relationship Id="rId1146" Type="http://schemas.openxmlformats.org/officeDocument/2006/relationships/hyperlink" Target="https://arcprize.org/play?task=b27ca6d3" TargetMode="External"/><Relationship Id="rId495" Type="http://schemas.openxmlformats.org/officeDocument/2006/relationships/hyperlink" Target="https://arcprize.org/play?task=1f876c06" TargetMode="External"/><Relationship Id="rId494" Type="http://schemas.openxmlformats.org/officeDocument/2006/relationships/hyperlink" Target="https://arcprize.org/play?task=3bd67248" TargetMode="External"/><Relationship Id="rId493" Type="http://schemas.openxmlformats.org/officeDocument/2006/relationships/hyperlink" Target="https://arcprize.org/play?task=543a7ed5" TargetMode="External"/><Relationship Id="rId492" Type="http://schemas.openxmlformats.org/officeDocument/2006/relationships/hyperlink" Target="https://arcprize.org/play?task=d43fd935" TargetMode="External"/><Relationship Id="rId499" Type="http://schemas.openxmlformats.org/officeDocument/2006/relationships/hyperlink" Target="https://arcprize.org/play?task=3345333e" TargetMode="External"/><Relationship Id="rId498" Type="http://schemas.openxmlformats.org/officeDocument/2006/relationships/hyperlink" Target="https://arcprize.org/play?task=3f7978a0" TargetMode="External"/><Relationship Id="rId497" Type="http://schemas.openxmlformats.org/officeDocument/2006/relationships/hyperlink" Target="https://arcprize.org/play?task=54d82841" TargetMode="External"/><Relationship Id="rId496" Type="http://schemas.openxmlformats.org/officeDocument/2006/relationships/hyperlink" Target="https://arcprize.org/play?task=cbded52d" TargetMode="External"/><Relationship Id="rId907" Type="http://schemas.openxmlformats.org/officeDocument/2006/relationships/hyperlink" Target="https://arcprize.org/play?task=88a62173" TargetMode="External"/><Relationship Id="rId906" Type="http://schemas.openxmlformats.org/officeDocument/2006/relationships/hyperlink" Target="https://arcprize.org/play?task=72ca375d" TargetMode="External"/><Relationship Id="rId905" Type="http://schemas.openxmlformats.org/officeDocument/2006/relationships/hyperlink" Target="https://arcprize.org/play?task=952a094c" TargetMode="External"/><Relationship Id="rId904" Type="http://schemas.openxmlformats.org/officeDocument/2006/relationships/hyperlink" Target="https://arcprize.org/play?task=b60334d2" TargetMode="External"/><Relationship Id="rId909" Type="http://schemas.openxmlformats.org/officeDocument/2006/relationships/hyperlink" Target="https://arcprize.org/play?task=9565186b" TargetMode="External"/><Relationship Id="rId908" Type="http://schemas.openxmlformats.org/officeDocument/2006/relationships/hyperlink" Target="https://arcprize.org/play?task=feca6190" TargetMode="External"/><Relationship Id="rId903" Type="http://schemas.openxmlformats.org/officeDocument/2006/relationships/hyperlink" Target="https://arcprize.org/play?task=75b8110e" TargetMode="External"/><Relationship Id="rId902" Type="http://schemas.openxmlformats.org/officeDocument/2006/relationships/hyperlink" Target="https://arcprize.org/play?task=db3e9e38" TargetMode="External"/><Relationship Id="rId901" Type="http://schemas.openxmlformats.org/officeDocument/2006/relationships/hyperlink" Target="https://arcprize.org/play?task=94f9d214" TargetMode="External"/><Relationship Id="rId900" Type="http://schemas.openxmlformats.org/officeDocument/2006/relationships/hyperlink" Target="https://arcprize.org/play?task=88a62173" TargetMode="External"/><Relationship Id="rId929" Type="http://schemas.openxmlformats.org/officeDocument/2006/relationships/hyperlink" Target="https://arcprize.org/play?task=98cf29f8" TargetMode="External"/><Relationship Id="rId928" Type="http://schemas.openxmlformats.org/officeDocument/2006/relationships/hyperlink" Target="https://arcprize.org/play?task=b91ae062" TargetMode="External"/><Relationship Id="rId927" Type="http://schemas.openxmlformats.org/officeDocument/2006/relationships/hyperlink" Target="https://arcprize.org/play?task=67385a82" TargetMode="External"/><Relationship Id="rId926" Type="http://schemas.openxmlformats.org/officeDocument/2006/relationships/hyperlink" Target="https://arcprize.org/play?task=0dfd9992" TargetMode="External"/><Relationship Id="rId921" Type="http://schemas.openxmlformats.org/officeDocument/2006/relationships/hyperlink" Target="https://arcprize.org/play?task=97999447" TargetMode="External"/><Relationship Id="rId920" Type="http://schemas.openxmlformats.org/officeDocument/2006/relationships/hyperlink" Target="https://arcprize.org/play?task=ce9e57f2" TargetMode="External"/><Relationship Id="rId925" Type="http://schemas.openxmlformats.org/officeDocument/2006/relationships/hyperlink" Target="https://arcprize.org/play?task=97a05b5b" TargetMode="External"/><Relationship Id="rId924" Type="http://schemas.openxmlformats.org/officeDocument/2006/relationships/hyperlink" Target="https://arcprize.org/play?task=4347f46a" TargetMode="External"/><Relationship Id="rId923" Type="http://schemas.openxmlformats.org/officeDocument/2006/relationships/hyperlink" Target="https://arcprize.org/play?task=9565186b" TargetMode="External"/><Relationship Id="rId922" Type="http://schemas.openxmlformats.org/officeDocument/2006/relationships/hyperlink" Target="https://arcprize.org/play?task=dbc1a6ce" TargetMode="External"/><Relationship Id="rId918" Type="http://schemas.openxmlformats.org/officeDocument/2006/relationships/hyperlink" Target="https://arcprize.org/play?task=d9f24cd1" TargetMode="External"/><Relationship Id="rId917" Type="http://schemas.openxmlformats.org/officeDocument/2006/relationships/hyperlink" Target="https://arcprize.org/play?task=963e52fc" TargetMode="External"/><Relationship Id="rId916" Type="http://schemas.openxmlformats.org/officeDocument/2006/relationships/hyperlink" Target="https://arcprize.org/play?task=dc0a314f" TargetMode="External"/><Relationship Id="rId915" Type="http://schemas.openxmlformats.org/officeDocument/2006/relationships/hyperlink" Target="https://arcprize.org/play?task=d90796e8" TargetMode="External"/><Relationship Id="rId919" Type="http://schemas.openxmlformats.org/officeDocument/2006/relationships/hyperlink" Target="https://arcprize.org/play?task=025d127b" TargetMode="External"/><Relationship Id="rId910" Type="http://schemas.openxmlformats.org/officeDocument/2006/relationships/hyperlink" Target="https://arcprize.org/play?task=9d9215db" TargetMode="External"/><Relationship Id="rId914" Type="http://schemas.openxmlformats.org/officeDocument/2006/relationships/hyperlink" Target="https://arcprize.org/play?task=c0f76784" TargetMode="External"/><Relationship Id="rId913" Type="http://schemas.openxmlformats.org/officeDocument/2006/relationships/hyperlink" Target="https://arcprize.org/play?task=95990924" TargetMode="External"/><Relationship Id="rId912" Type="http://schemas.openxmlformats.org/officeDocument/2006/relationships/hyperlink" Target="https://arcprize.org/play?task=aedd82e4" TargetMode="External"/><Relationship Id="rId911" Type="http://schemas.openxmlformats.org/officeDocument/2006/relationships/hyperlink" Target="https://arcprize.org/play?task=b60334d2" TargetMode="External"/><Relationship Id="rId1213" Type="http://schemas.openxmlformats.org/officeDocument/2006/relationships/hyperlink" Target="https://arcprize.org/play?task=c3f564a4" TargetMode="External"/><Relationship Id="rId1214" Type="http://schemas.openxmlformats.org/officeDocument/2006/relationships/hyperlink" Target="https://arcprize.org/play?task=d2abd087" TargetMode="External"/><Relationship Id="rId1215" Type="http://schemas.openxmlformats.org/officeDocument/2006/relationships/hyperlink" Target="https://arcprize.org/play?task=2281f1f4" TargetMode="External"/><Relationship Id="rId1216" Type="http://schemas.openxmlformats.org/officeDocument/2006/relationships/hyperlink" Target="https://arcprize.org/play?task=662c240a" TargetMode="External"/><Relationship Id="rId1217" Type="http://schemas.openxmlformats.org/officeDocument/2006/relationships/hyperlink" Target="https://arcprize.org/play?task=c444b776" TargetMode="External"/><Relationship Id="rId1218" Type="http://schemas.openxmlformats.org/officeDocument/2006/relationships/hyperlink" Target="https://arcprize.org/play?task=fcc82909" TargetMode="External"/><Relationship Id="rId1219" Type="http://schemas.openxmlformats.org/officeDocument/2006/relationships/hyperlink" Target="https://arcprize.org/play?task=90c28cc7" TargetMode="External"/><Relationship Id="rId866" Type="http://schemas.openxmlformats.org/officeDocument/2006/relationships/hyperlink" Target="https://arcprize.org/play?task=56ff96f3" TargetMode="External"/><Relationship Id="rId865" Type="http://schemas.openxmlformats.org/officeDocument/2006/relationships/hyperlink" Target="https://arcprize.org/play?task=90c28cc7" TargetMode="External"/><Relationship Id="rId864" Type="http://schemas.openxmlformats.org/officeDocument/2006/relationships/hyperlink" Target="https://arcprize.org/play?task=8403a5d5" TargetMode="External"/><Relationship Id="rId863" Type="http://schemas.openxmlformats.org/officeDocument/2006/relationships/hyperlink" Target="https://arcprize.org/play?task=272f95fa" TargetMode="External"/><Relationship Id="rId869" Type="http://schemas.openxmlformats.org/officeDocument/2006/relationships/hyperlink" Target="https://arcprize.org/play?task=90f3ed37" TargetMode="External"/><Relationship Id="rId868" Type="http://schemas.openxmlformats.org/officeDocument/2006/relationships/hyperlink" Target="https://arcprize.org/play?task=253bf280" TargetMode="External"/><Relationship Id="rId867" Type="http://schemas.openxmlformats.org/officeDocument/2006/relationships/hyperlink" Target="https://arcprize.org/play?task=3631a71a" TargetMode="External"/><Relationship Id="rId862" Type="http://schemas.openxmlformats.org/officeDocument/2006/relationships/hyperlink" Target="https://arcprize.org/play?task=40853293" TargetMode="External"/><Relationship Id="rId861" Type="http://schemas.openxmlformats.org/officeDocument/2006/relationships/hyperlink" Target="https://arcprize.org/play?task=8f2ea7aa" TargetMode="External"/><Relationship Id="rId1210" Type="http://schemas.openxmlformats.org/officeDocument/2006/relationships/hyperlink" Target="https://arcprize.org/play?task=6e19193c" TargetMode="External"/><Relationship Id="rId860" Type="http://schemas.openxmlformats.org/officeDocument/2006/relationships/hyperlink" Target="https://arcprize.org/play?task=4522001f" TargetMode="External"/><Relationship Id="rId1211" Type="http://schemas.openxmlformats.org/officeDocument/2006/relationships/hyperlink" Target="https://arcprize.org/play?task=f76d97a5" TargetMode="External"/><Relationship Id="rId1212" Type="http://schemas.openxmlformats.org/officeDocument/2006/relationships/hyperlink" Target="https://arcprize.org/play?task=48d8fb45" TargetMode="External"/><Relationship Id="rId1202" Type="http://schemas.openxmlformats.org/officeDocument/2006/relationships/hyperlink" Target="https://arcprize.org/play?task=36fdfd69" TargetMode="External"/><Relationship Id="rId1203" Type="http://schemas.openxmlformats.org/officeDocument/2006/relationships/hyperlink" Target="https://arcprize.org/play?task=5521c0d9" TargetMode="External"/><Relationship Id="rId1204" Type="http://schemas.openxmlformats.org/officeDocument/2006/relationships/hyperlink" Target="https://arcprize.org/play?task=f5b8619d" TargetMode="External"/><Relationship Id="rId1205" Type="http://schemas.openxmlformats.org/officeDocument/2006/relationships/hyperlink" Target="https://arcprize.org/play?task=c1d99e64" TargetMode="External"/><Relationship Id="rId1206" Type="http://schemas.openxmlformats.org/officeDocument/2006/relationships/hyperlink" Target="https://arcprize.org/play?task=543a7ed5" TargetMode="External"/><Relationship Id="rId1207" Type="http://schemas.openxmlformats.org/officeDocument/2006/relationships/hyperlink" Target="https://arcprize.org/play?task=97999447" TargetMode="External"/><Relationship Id="rId1208" Type="http://schemas.openxmlformats.org/officeDocument/2006/relationships/hyperlink" Target="https://arcprize.org/play?task=2013d3e2" TargetMode="External"/><Relationship Id="rId1209" Type="http://schemas.openxmlformats.org/officeDocument/2006/relationships/hyperlink" Target="https://arcprize.org/play?task=c3e719e8" TargetMode="External"/><Relationship Id="rId855" Type="http://schemas.openxmlformats.org/officeDocument/2006/relationships/hyperlink" Target="https://arcprize.org/play?task=32597951" TargetMode="External"/><Relationship Id="rId854" Type="http://schemas.openxmlformats.org/officeDocument/2006/relationships/hyperlink" Target="https://arcprize.org/play?task=00d62c1b" TargetMode="External"/><Relationship Id="rId853" Type="http://schemas.openxmlformats.org/officeDocument/2006/relationships/hyperlink" Target="https://arcprize.org/play?task=8eb1be9a" TargetMode="External"/><Relationship Id="rId852" Type="http://schemas.openxmlformats.org/officeDocument/2006/relationships/hyperlink" Target="https://arcprize.org/play?task=363442ee" TargetMode="External"/><Relationship Id="rId859" Type="http://schemas.openxmlformats.org/officeDocument/2006/relationships/hyperlink" Target="https://arcprize.org/play?task=50cb2852" TargetMode="External"/><Relationship Id="rId858" Type="http://schemas.openxmlformats.org/officeDocument/2006/relationships/hyperlink" Target="https://arcprize.org/play?task=363442ee" TargetMode="External"/><Relationship Id="rId857" Type="http://schemas.openxmlformats.org/officeDocument/2006/relationships/hyperlink" Target="https://arcprize.org/play?task=8efcae92" TargetMode="External"/><Relationship Id="rId856" Type="http://schemas.openxmlformats.org/officeDocument/2006/relationships/hyperlink" Target="https://arcprize.org/play?task=05f2a901" TargetMode="External"/><Relationship Id="rId851" Type="http://schemas.openxmlformats.org/officeDocument/2006/relationships/hyperlink" Target="https://arcprize.org/play?task=ef135b50" TargetMode="External"/><Relationship Id="rId850" Type="http://schemas.openxmlformats.org/officeDocument/2006/relationships/hyperlink" Target="https://arcprize.org/play?task=f9012d9b" TargetMode="External"/><Relationship Id="rId1200" Type="http://schemas.openxmlformats.org/officeDocument/2006/relationships/hyperlink" Target="https://arcprize.org/play?task=5614dbcf" TargetMode="External"/><Relationship Id="rId1201" Type="http://schemas.openxmlformats.org/officeDocument/2006/relationships/hyperlink" Target="https://arcprize.org/play?task=c0f76784" TargetMode="External"/><Relationship Id="rId1235" Type="http://schemas.openxmlformats.org/officeDocument/2006/relationships/hyperlink" Target="https://arcprize.org/play?task=7fe24cdd" TargetMode="External"/><Relationship Id="rId1236" Type="http://schemas.openxmlformats.org/officeDocument/2006/relationships/hyperlink" Target="https://arcprize.org/play?task=94f9d214" TargetMode="External"/><Relationship Id="rId1237" Type="http://schemas.openxmlformats.org/officeDocument/2006/relationships/hyperlink" Target="https://arcprize.org/play?task=c9e6f938" TargetMode="External"/><Relationship Id="rId1238" Type="http://schemas.openxmlformats.org/officeDocument/2006/relationships/hyperlink" Target="https://arcprize.org/play?task=6d58a25d" TargetMode="External"/><Relationship Id="rId1239" Type="http://schemas.openxmlformats.org/officeDocument/2006/relationships/hyperlink" Target="https://arcprize.org/play?task=bc1d5164" TargetMode="External"/><Relationship Id="rId409" Type="http://schemas.openxmlformats.org/officeDocument/2006/relationships/hyperlink" Target="https://arcprize.org/play?task=4522001f" TargetMode="External"/><Relationship Id="rId404" Type="http://schemas.openxmlformats.org/officeDocument/2006/relationships/hyperlink" Target="https://arcprize.org/play?task=f9012d9b" TargetMode="External"/><Relationship Id="rId888" Type="http://schemas.openxmlformats.org/officeDocument/2006/relationships/hyperlink" Target="https://arcprize.org/play?task=9edfc990" TargetMode="External"/><Relationship Id="rId403" Type="http://schemas.openxmlformats.org/officeDocument/2006/relationships/hyperlink" Target="https://arcprize.org/play?task=d6ad076f" TargetMode="External"/><Relationship Id="rId887" Type="http://schemas.openxmlformats.org/officeDocument/2006/relationships/hyperlink" Target="https://arcprize.org/play?task=af902bf9" TargetMode="External"/><Relationship Id="rId402" Type="http://schemas.openxmlformats.org/officeDocument/2006/relationships/hyperlink" Target="https://arcprize.org/play?task=007bbfb7" TargetMode="External"/><Relationship Id="rId886" Type="http://schemas.openxmlformats.org/officeDocument/2006/relationships/hyperlink" Target="https://arcprize.org/play?task=d4f3cd78" TargetMode="External"/><Relationship Id="rId401" Type="http://schemas.openxmlformats.org/officeDocument/2006/relationships/hyperlink" Target="https://arcprize.org/play?task=44d8ac46" TargetMode="External"/><Relationship Id="rId885" Type="http://schemas.openxmlformats.org/officeDocument/2006/relationships/hyperlink" Target="https://arcprize.org/play?task=9172f3a0" TargetMode="External"/><Relationship Id="rId408" Type="http://schemas.openxmlformats.org/officeDocument/2006/relationships/hyperlink" Target="https://arcprize.org/play?task=af902bf9" TargetMode="External"/><Relationship Id="rId407" Type="http://schemas.openxmlformats.org/officeDocument/2006/relationships/hyperlink" Target="https://arcprize.org/play?task=7837ac64" TargetMode="External"/><Relationship Id="rId406" Type="http://schemas.openxmlformats.org/officeDocument/2006/relationships/hyperlink" Target="https://arcprize.org/play?task=017c7c7b" TargetMode="External"/><Relationship Id="rId405" Type="http://schemas.openxmlformats.org/officeDocument/2006/relationships/hyperlink" Target="https://arcprize.org/play?task=44f52bb0" TargetMode="External"/><Relationship Id="rId889" Type="http://schemas.openxmlformats.org/officeDocument/2006/relationships/hyperlink" Target="https://arcprize.org/play?task=928ad970" TargetMode="External"/><Relationship Id="rId880" Type="http://schemas.openxmlformats.org/officeDocument/2006/relationships/hyperlink" Target="https://arcprize.org/play?task=913fb3ed" TargetMode="External"/><Relationship Id="rId1230" Type="http://schemas.openxmlformats.org/officeDocument/2006/relationships/hyperlink" Target="https://arcprize.org/play?task=d687bc17" TargetMode="External"/><Relationship Id="rId400" Type="http://schemas.openxmlformats.org/officeDocument/2006/relationships/hyperlink" Target="https://arcprize.org/play?task=445eab21" TargetMode="External"/><Relationship Id="rId884" Type="http://schemas.openxmlformats.org/officeDocument/2006/relationships/hyperlink" Target="https://arcprize.org/play?task=32597951" TargetMode="External"/><Relationship Id="rId1231" Type="http://schemas.openxmlformats.org/officeDocument/2006/relationships/hyperlink" Target="https://arcprize.org/play?task=46442a0e" TargetMode="External"/><Relationship Id="rId883" Type="http://schemas.openxmlformats.org/officeDocument/2006/relationships/hyperlink" Target="https://arcprize.org/play?task=9edfc990" TargetMode="External"/><Relationship Id="rId1232" Type="http://schemas.openxmlformats.org/officeDocument/2006/relationships/hyperlink" Target="https://arcprize.org/play?task=9ecd008a" TargetMode="External"/><Relationship Id="rId882" Type="http://schemas.openxmlformats.org/officeDocument/2006/relationships/hyperlink" Target="https://arcprize.org/play?task=b8cdaf2b" TargetMode="External"/><Relationship Id="rId1233" Type="http://schemas.openxmlformats.org/officeDocument/2006/relationships/hyperlink" Target="https://arcprize.org/play?task=c909285e" TargetMode="External"/><Relationship Id="rId881" Type="http://schemas.openxmlformats.org/officeDocument/2006/relationships/hyperlink" Target="https://arcprize.org/play?task=91714a58" TargetMode="External"/><Relationship Id="rId1234" Type="http://schemas.openxmlformats.org/officeDocument/2006/relationships/hyperlink" Target="https://arcprize.org/play?task=e50d258f" TargetMode="External"/><Relationship Id="rId1224" Type="http://schemas.openxmlformats.org/officeDocument/2006/relationships/hyperlink" Target="https://arcprize.org/play?task=97999447" TargetMode="External"/><Relationship Id="rId1225" Type="http://schemas.openxmlformats.org/officeDocument/2006/relationships/hyperlink" Target="https://arcprize.org/play?task=c8cbb738" TargetMode="External"/><Relationship Id="rId1226" Type="http://schemas.openxmlformats.org/officeDocument/2006/relationships/hyperlink" Target="https://arcprize.org/play?task=8efcae92" TargetMode="External"/><Relationship Id="rId1227" Type="http://schemas.openxmlformats.org/officeDocument/2006/relationships/hyperlink" Target="https://arcprize.org/play?task=23581191" TargetMode="External"/><Relationship Id="rId1228" Type="http://schemas.openxmlformats.org/officeDocument/2006/relationships/hyperlink" Target="https://arcprize.org/play?task=f76d97a5" TargetMode="External"/><Relationship Id="rId1229" Type="http://schemas.openxmlformats.org/officeDocument/2006/relationships/hyperlink" Target="https://arcprize.org/play?task=c8f0f002" TargetMode="External"/><Relationship Id="rId877" Type="http://schemas.openxmlformats.org/officeDocument/2006/relationships/hyperlink" Target="https://arcprize.org/play?task=91413438" TargetMode="External"/><Relationship Id="rId876" Type="http://schemas.openxmlformats.org/officeDocument/2006/relationships/hyperlink" Target="https://arcprize.org/play?task=1f642eb9" TargetMode="External"/><Relationship Id="rId875" Type="http://schemas.openxmlformats.org/officeDocument/2006/relationships/hyperlink" Target="https://arcprize.org/play?task=834ec97d" TargetMode="External"/><Relationship Id="rId874" Type="http://schemas.openxmlformats.org/officeDocument/2006/relationships/hyperlink" Target="https://arcprize.org/play?task=91413438" TargetMode="External"/><Relationship Id="rId879" Type="http://schemas.openxmlformats.org/officeDocument/2006/relationships/hyperlink" Target="https://arcprize.org/play?task=1f85a75f" TargetMode="External"/><Relationship Id="rId878" Type="http://schemas.openxmlformats.org/officeDocument/2006/relationships/hyperlink" Target="https://arcprize.org/play?task=ae4f1146" TargetMode="External"/><Relationship Id="rId873" Type="http://schemas.openxmlformats.org/officeDocument/2006/relationships/hyperlink" Target="https://arcprize.org/play?task=913fb3ed" TargetMode="External"/><Relationship Id="rId1220" Type="http://schemas.openxmlformats.org/officeDocument/2006/relationships/hyperlink" Target="https://arcprize.org/play?task=d406998b" TargetMode="External"/><Relationship Id="rId872" Type="http://schemas.openxmlformats.org/officeDocument/2006/relationships/hyperlink" Target="https://arcprize.org/play?task=a740d043" TargetMode="External"/><Relationship Id="rId1221" Type="http://schemas.openxmlformats.org/officeDocument/2006/relationships/hyperlink" Target="https://arcprize.org/play?task=c59eb873" TargetMode="External"/><Relationship Id="rId871" Type="http://schemas.openxmlformats.org/officeDocument/2006/relationships/hyperlink" Target="https://arcprize.org/play?task=47c1f68c" TargetMode="External"/><Relationship Id="rId1222" Type="http://schemas.openxmlformats.org/officeDocument/2006/relationships/hyperlink" Target="https://arcprize.org/play?task=25d487eb" TargetMode="External"/><Relationship Id="rId870" Type="http://schemas.openxmlformats.org/officeDocument/2006/relationships/hyperlink" Target="https://arcprize.org/play?task=8e1813be" TargetMode="External"/><Relationship Id="rId1223" Type="http://schemas.openxmlformats.org/officeDocument/2006/relationships/hyperlink" Target="https://arcprize.org/play?task=c3f564a4" TargetMode="External"/><Relationship Id="rId829" Type="http://schemas.openxmlformats.org/officeDocument/2006/relationships/hyperlink" Target="https://arcprize.org/play?task=8a004b2b" TargetMode="External"/><Relationship Id="rId828" Type="http://schemas.openxmlformats.org/officeDocument/2006/relationships/hyperlink" Target="https://arcprize.org/play?task=42a50994" TargetMode="External"/><Relationship Id="rId827" Type="http://schemas.openxmlformats.org/officeDocument/2006/relationships/hyperlink" Target="https://arcprize.org/play?task=3aa6fb7a" TargetMode="External"/><Relationship Id="rId822" Type="http://schemas.openxmlformats.org/officeDocument/2006/relationships/hyperlink" Target="https://arcprize.org/play?task=05f2a901" TargetMode="External"/><Relationship Id="rId821" Type="http://schemas.openxmlformats.org/officeDocument/2006/relationships/hyperlink" Target="https://arcprize.org/play?task=88a62173" TargetMode="External"/><Relationship Id="rId820" Type="http://schemas.openxmlformats.org/officeDocument/2006/relationships/hyperlink" Target="https://arcprize.org/play?task=3de23699" TargetMode="External"/><Relationship Id="rId826" Type="http://schemas.openxmlformats.org/officeDocument/2006/relationships/hyperlink" Target="https://arcprize.org/play?task=4522001f" TargetMode="External"/><Relationship Id="rId825" Type="http://schemas.openxmlformats.org/officeDocument/2006/relationships/hyperlink" Target="https://arcprize.org/play?task=890034e9" TargetMode="External"/><Relationship Id="rId824" Type="http://schemas.openxmlformats.org/officeDocument/2006/relationships/hyperlink" Target="https://arcprize.org/play?task=8f2ea7aa" TargetMode="External"/><Relationship Id="rId823" Type="http://schemas.openxmlformats.org/officeDocument/2006/relationships/hyperlink" Target="https://arcprize.org/play?task=23b5c85d" TargetMode="External"/><Relationship Id="rId819" Type="http://schemas.openxmlformats.org/officeDocument/2006/relationships/hyperlink" Target="https://arcprize.org/play?task=dc1df850" TargetMode="External"/><Relationship Id="rId818" Type="http://schemas.openxmlformats.org/officeDocument/2006/relationships/hyperlink" Target="https://arcprize.org/play?task=dc433765" TargetMode="External"/><Relationship Id="rId817" Type="http://schemas.openxmlformats.org/officeDocument/2006/relationships/hyperlink" Target="https://arcprize.org/play?task=88a10436" TargetMode="External"/><Relationship Id="rId816" Type="http://schemas.openxmlformats.org/officeDocument/2006/relationships/hyperlink" Target="https://arcprize.org/play?task=9af7a82c" TargetMode="External"/><Relationship Id="rId811" Type="http://schemas.openxmlformats.org/officeDocument/2006/relationships/hyperlink" Target="https://arcprize.org/play?task=cbded52d" TargetMode="External"/><Relationship Id="rId810" Type="http://schemas.openxmlformats.org/officeDocument/2006/relationships/hyperlink" Target="https://arcprize.org/play?task=a740d043" TargetMode="External"/><Relationship Id="rId815" Type="http://schemas.openxmlformats.org/officeDocument/2006/relationships/hyperlink" Target="https://arcprize.org/play?task=d364b489" TargetMode="External"/><Relationship Id="rId814" Type="http://schemas.openxmlformats.org/officeDocument/2006/relationships/hyperlink" Target="https://arcprize.org/play?task=d43fd935" TargetMode="External"/><Relationship Id="rId813" Type="http://schemas.openxmlformats.org/officeDocument/2006/relationships/hyperlink" Target="https://arcprize.org/play?task=8731374e" TargetMode="External"/><Relationship Id="rId812" Type="http://schemas.openxmlformats.org/officeDocument/2006/relationships/hyperlink" Target="https://arcprize.org/play?task=31aa019c" TargetMode="External"/><Relationship Id="rId849" Type="http://schemas.openxmlformats.org/officeDocument/2006/relationships/hyperlink" Target="https://arcprize.org/play?task=8e5a5113" TargetMode="External"/><Relationship Id="rId844" Type="http://schemas.openxmlformats.org/officeDocument/2006/relationships/hyperlink" Target="https://arcprize.org/play?task=d9f24cd1" TargetMode="External"/><Relationship Id="rId843" Type="http://schemas.openxmlformats.org/officeDocument/2006/relationships/hyperlink" Target="https://arcprize.org/play?task=6cdd2623" TargetMode="External"/><Relationship Id="rId842" Type="http://schemas.openxmlformats.org/officeDocument/2006/relationships/hyperlink" Target="https://arcprize.org/play?task=445eab21" TargetMode="External"/><Relationship Id="rId841" Type="http://schemas.openxmlformats.org/officeDocument/2006/relationships/hyperlink" Target="https://arcprize.org/play?task=8d510a79" TargetMode="External"/><Relationship Id="rId848" Type="http://schemas.openxmlformats.org/officeDocument/2006/relationships/hyperlink" Target="https://arcprize.org/play?task=dbc1a6ce" TargetMode="External"/><Relationship Id="rId847" Type="http://schemas.openxmlformats.org/officeDocument/2006/relationships/hyperlink" Target="https://arcprize.org/play?task=77fdfe62" TargetMode="External"/><Relationship Id="rId846" Type="http://schemas.openxmlformats.org/officeDocument/2006/relationships/hyperlink" Target="https://arcprize.org/play?task=5117e062" TargetMode="External"/><Relationship Id="rId845" Type="http://schemas.openxmlformats.org/officeDocument/2006/relationships/hyperlink" Target="https://arcprize.org/play?task=8e1813be" TargetMode="External"/><Relationship Id="rId840" Type="http://schemas.openxmlformats.org/officeDocument/2006/relationships/hyperlink" Target="https://arcprize.org/play?task=0dfd9992" TargetMode="External"/><Relationship Id="rId839" Type="http://schemas.openxmlformats.org/officeDocument/2006/relationships/hyperlink" Target="https://arcprize.org/play?task=e179c5f4" TargetMode="External"/><Relationship Id="rId838" Type="http://schemas.openxmlformats.org/officeDocument/2006/relationships/hyperlink" Target="https://arcprize.org/play?task=28e73c20" TargetMode="External"/><Relationship Id="rId833" Type="http://schemas.openxmlformats.org/officeDocument/2006/relationships/hyperlink" Target="https://arcprize.org/play?task=8be77c9e" TargetMode="External"/><Relationship Id="rId832" Type="http://schemas.openxmlformats.org/officeDocument/2006/relationships/hyperlink" Target="https://arcprize.org/play?task=a65b410d" TargetMode="External"/><Relationship Id="rId831" Type="http://schemas.openxmlformats.org/officeDocument/2006/relationships/hyperlink" Target="https://arcprize.org/play?task=60b61512" TargetMode="External"/><Relationship Id="rId830" Type="http://schemas.openxmlformats.org/officeDocument/2006/relationships/hyperlink" Target="https://arcprize.org/play?task=8403a5d5" TargetMode="External"/><Relationship Id="rId837" Type="http://schemas.openxmlformats.org/officeDocument/2006/relationships/hyperlink" Target="https://arcprize.org/play?task=8d5021e8" TargetMode="External"/><Relationship Id="rId836" Type="http://schemas.openxmlformats.org/officeDocument/2006/relationships/hyperlink" Target="https://arcprize.org/play?task=ddf7fa4f" TargetMode="External"/><Relationship Id="rId835" Type="http://schemas.openxmlformats.org/officeDocument/2006/relationships/hyperlink" Target="https://arcprize.org/play?task=a61f2674" TargetMode="External"/><Relationship Id="rId834" Type="http://schemas.openxmlformats.org/officeDocument/2006/relationships/hyperlink" Target="https://arcprize.org/play?task=a5313dff" TargetMode="External"/><Relationship Id="rId469" Type="http://schemas.openxmlformats.org/officeDocument/2006/relationships/hyperlink" Target="https://arcprize.org/play?task=508bd3b6" TargetMode="External"/><Relationship Id="rId468" Type="http://schemas.openxmlformats.org/officeDocument/2006/relationships/hyperlink" Target="https://arcprize.org/play?task=98cf29f8" TargetMode="External"/><Relationship Id="rId467" Type="http://schemas.openxmlformats.org/officeDocument/2006/relationships/hyperlink" Target="https://arcprize.org/play?task=5daaa586" TargetMode="External"/><Relationship Id="rId1290" Type="http://schemas.openxmlformats.org/officeDocument/2006/relationships/hyperlink" Target="https://arcprize.org/play?task=f1cefba8" TargetMode="External"/><Relationship Id="rId1291" Type="http://schemas.openxmlformats.org/officeDocument/2006/relationships/hyperlink" Target="https://arcprize.org/play?task=7b7f7511" TargetMode="External"/><Relationship Id="rId1292" Type="http://schemas.openxmlformats.org/officeDocument/2006/relationships/hyperlink" Target="https://arcprize.org/play?task=0b148d64" TargetMode="External"/><Relationship Id="rId462" Type="http://schemas.openxmlformats.org/officeDocument/2006/relationships/hyperlink" Target="https://arcprize.org/play?task=9f236235" TargetMode="External"/><Relationship Id="rId1293" Type="http://schemas.openxmlformats.org/officeDocument/2006/relationships/hyperlink" Target="https://arcprize.org/play?task=d0f5fe59" TargetMode="External"/><Relationship Id="rId461" Type="http://schemas.openxmlformats.org/officeDocument/2006/relationships/hyperlink" Target="https://arcprize.org/play?task=4c5c2cf0" TargetMode="External"/><Relationship Id="rId1294" Type="http://schemas.openxmlformats.org/officeDocument/2006/relationships/hyperlink" Target="https://arcprize.org/play?task=2bcee788" TargetMode="External"/><Relationship Id="rId460" Type="http://schemas.openxmlformats.org/officeDocument/2006/relationships/hyperlink" Target="https://arcprize.org/play?task=a61ba2ce" TargetMode="External"/><Relationship Id="rId1295" Type="http://schemas.openxmlformats.org/officeDocument/2006/relationships/hyperlink" Target="https://arcprize.org/play?task=a5f85a15" TargetMode="External"/><Relationship Id="rId1296" Type="http://schemas.openxmlformats.org/officeDocument/2006/relationships/hyperlink" Target="https://arcprize.org/play?task=2281f1f4" TargetMode="External"/><Relationship Id="rId466" Type="http://schemas.openxmlformats.org/officeDocument/2006/relationships/hyperlink" Target="https://arcprize.org/play?task=a699fb00" TargetMode="External"/><Relationship Id="rId1297" Type="http://schemas.openxmlformats.org/officeDocument/2006/relationships/hyperlink" Target="https://arcprize.org/play?task=d10ecb37" TargetMode="External"/><Relationship Id="rId465" Type="http://schemas.openxmlformats.org/officeDocument/2006/relationships/hyperlink" Target="https://arcprize.org/play?task=50846271" TargetMode="External"/><Relationship Id="rId1298" Type="http://schemas.openxmlformats.org/officeDocument/2006/relationships/hyperlink" Target="https://arcprize.org/play?task=0962bcdd" TargetMode="External"/><Relationship Id="rId464" Type="http://schemas.openxmlformats.org/officeDocument/2006/relationships/hyperlink" Target="https://arcprize.org/play?task=e50d258f" TargetMode="External"/><Relationship Id="rId1299" Type="http://schemas.openxmlformats.org/officeDocument/2006/relationships/hyperlink" Target="https://arcprize.org/play?task=b8825c91" TargetMode="External"/><Relationship Id="rId463" Type="http://schemas.openxmlformats.org/officeDocument/2006/relationships/hyperlink" Target="https://arcprize.org/play?task=1c786137" TargetMode="External"/><Relationship Id="rId459" Type="http://schemas.openxmlformats.org/officeDocument/2006/relationships/hyperlink" Target="https://arcprize.org/play?task=10fcaaa3" TargetMode="External"/><Relationship Id="rId458" Type="http://schemas.openxmlformats.org/officeDocument/2006/relationships/hyperlink" Target="https://arcprize.org/play?task=995c5fa3" TargetMode="External"/><Relationship Id="rId457" Type="http://schemas.openxmlformats.org/officeDocument/2006/relationships/hyperlink" Target="https://arcprize.org/play?task=4c4377d9" TargetMode="External"/><Relationship Id="rId456" Type="http://schemas.openxmlformats.org/officeDocument/2006/relationships/hyperlink" Target="https://arcprize.org/play?task=1f0c79e5" TargetMode="External"/><Relationship Id="rId1280" Type="http://schemas.openxmlformats.org/officeDocument/2006/relationships/hyperlink" Target="https://arcprize.org/play?task=3bd67248" TargetMode="External"/><Relationship Id="rId1281" Type="http://schemas.openxmlformats.org/officeDocument/2006/relationships/hyperlink" Target="https://arcprize.org/play?task=d037b0a7" TargetMode="External"/><Relationship Id="rId451" Type="http://schemas.openxmlformats.org/officeDocument/2006/relationships/hyperlink" Target="https://arcprize.org/play?task=b27ca6d3" TargetMode="External"/><Relationship Id="rId1282" Type="http://schemas.openxmlformats.org/officeDocument/2006/relationships/hyperlink" Target="https://arcprize.org/play?task=681b3aeb" TargetMode="External"/><Relationship Id="rId450" Type="http://schemas.openxmlformats.org/officeDocument/2006/relationships/hyperlink" Target="https://arcprize.org/play?task=7447852a" TargetMode="External"/><Relationship Id="rId1283" Type="http://schemas.openxmlformats.org/officeDocument/2006/relationships/hyperlink" Target="https://arcprize.org/play?task=d23f8c26" TargetMode="External"/><Relationship Id="rId1284" Type="http://schemas.openxmlformats.org/officeDocument/2006/relationships/hyperlink" Target="https://arcprize.org/play?task=a699fb00" TargetMode="External"/><Relationship Id="rId1285" Type="http://schemas.openxmlformats.org/officeDocument/2006/relationships/hyperlink" Target="https://arcprize.org/play?task=d06dbe63" TargetMode="External"/><Relationship Id="rId455" Type="http://schemas.openxmlformats.org/officeDocument/2006/relationships/hyperlink" Target="https://arcprize.org/play?task=b782dc8a" TargetMode="External"/><Relationship Id="rId1286" Type="http://schemas.openxmlformats.org/officeDocument/2006/relationships/hyperlink" Target="https://arcprize.org/play?task=694f12f3" TargetMode="External"/><Relationship Id="rId454" Type="http://schemas.openxmlformats.org/officeDocument/2006/relationships/hyperlink" Target="https://arcprize.org/play?task=8e5a5113" TargetMode="External"/><Relationship Id="rId1287" Type="http://schemas.openxmlformats.org/officeDocument/2006/relationships/hyperlink" Target="https://arcprize.org/play?task=6430c8c4" TargetMode="External"/><Relationship Id="rId453" Type="http://schemas.openxmlformats.org/officeDocument/2006/relationships/hyperlink" Target="https://arcprize.org/play?task=4be741c5" TargetMode="External"/><Relationship Id="rId1288" Type="http://schemas.openxmlformats.org/officeDocument/2006/relationships/hyperlink" Target="https://arcprize.org/play?task=794b24be" TargetMode="External"/><Relationship Id="rId452" Type="http://schemas.openxmlformats.org/officeDocument/2006/relationships/hyperlink" Target="https://arcprize.org/play?task=6d0160f0" TargetMode="External"/><Relationship Id="rId1289" Type="http://schemas.openxmlformats.org/officeDocument/2006/relationships/hyperlink" Target="https://arcprize.org/play?task=d07ae81c" TargetMode="External"/><Relationship Id="rId491" Type="http://schemas.openxmlformats.org/officeDocument/2006/relationships/hyperlink" Target="https://arcprize.org/play?task=e9614598" TargetMode="External"/><Relationship Id="rId490" Type="http://schemas.openxmlformats.org/officeDocument/2006/relationships/hyperlink" Target="https://arcprize.org/play?task=29ec7d0e" TargetMode="External"/><Relationship Id="rId489" Type="http://schemas.openxmlformats.org/officeDocument/2006/relationships/hyperlink" Target="https://arcprize.org/play?task=53b68214" TargetMode="External"/><Relationship Id="rId484" Type="http://schemas.openxmlformats.org/officeDocument/2006/relationships/hyperlink" Target="https://arcprize.org/play?task=72ca375d" TargetMode="External"/><Relationship Id="rId483" Type="http://schemas.openxmlformats.org/officeDocument/2006/relationships/hyperlink" Target="https://arcprize.org/play?task=ea32f347" TargetMode="External"/><Relationship Id="rId482" Type="http://schemas.openxmlformats.org/officeDocument/2006/relationships/hyperlink" Target="https://arcprize.org/play?task=05269061" TargetMode="External"/><Relationship Id="rId481" Type="http://schemas.openxmlformats.org/officeDocument/2006/relationships/hyperlink" Target="https://arcprize.org/play?task=5168d44c" TargetMode="External"/><Relationship Id="rId488" Type="http://schemas.openxmlformats.org/officeDocument/2006/relationships/hyperlink" Target="https://arcprize.org/play?task=484b58aa" TargetMode="External"/><Relationship Id="rId487" Type="http://schemas.openxmlformats.org/officeDocument/2006/relationships/hyperlink" Target="https://arcprize.org/play?task=508bd3b6" TargetMode="External"/><Relationship Id="rId486" Type="http://schemas.openxmlformats.org/officeDocument/2006/relationships/hyperlink" Target="https://arcprize.org/play?task=178fcbfb" TargetMode="External"/><Relationship Id="rId485" Type="http://schemas.openxmlformats.org/officeDocument/2006/relationships/hyperlink" Target="https://arcprize.org/play?task=539a4f51" TargetMode="External"/><Relationship Id="rId480" Type="http://schemas.openxmlformats.org/officeDocument/2006/relationships/hyperlink" Target="https://arcprize.org/play?task=e21d9049" TargetMode="External"/><Relationship Id="rId479" Type="http://schemas.openxmlformats.org/officeDocument/2006/relationships/hyperlink" Target="https://arcprize.org/play?task=b548a754" TargetMode="External"/><Relationship Id="rId478" Type="http://schemas.openxmlformats.org/officeDocument/2006/relationships/hyperlink" Target="https://arcprize.org/play?task=f5b8619d" TargetMode="External"/><Relationship Id="rId473" Type="http://schemas.openxmlformats.org/officeDocument/2006/relationships/hyperlink" Target="https://arcprize.org/play?task=50cb2852" TargetMode="External"/><Relationship Id="rId472" Type="http://schemas.openxmlformats.org/officeDocument/2006/relationships/hyperlink" Target="https://arcprize.org/play?task=39a8645d" TargetMode="External"/><Relationship Id="rId471" Type="http://schemas.openxmlformats.org/officeDocument/2006/relationships/hyperlink" Target="https://arcprize.org/play?task=6b9890af" TargetMode="External"/><Relationship Id="rId470" Type="http://schemas.openxmlformats.org/officeDocument/2006/relationships/hyperlink" Target="https://arcprize.org/play?task=caa06a1f" TargetMode="External"/><Relationship Id="rId477" Type="http://schemas.openxmlformats.org/officeDocument/2006/relationships/hyperlink" Target="https://arcprize.org/play?task=5117e062" TargetMode="External"/><Relationship Id="rId476" Type="http://schemas.openxmlformats.org/officeDocument/2006/relationships/hyperlink" Target="https://arcprize.org/play?task=868de0fa" TargetMode="External"/><Relationship Id="rId475" Type="http://schemas.openxmlformats.org/officeDocument/2006/relationships/hyperlink" Target="https://arcprize.org/play?task=7ddcd7ec" TargetMode="External"/><Relationship Id="rId474" Type="http://schemas.openxmlformats.org/officeDocument/2006/relationships/hyperlink" Target="https://arcprize.org/play?task=f25fbde4" TargetMode="External"/><Relationship Id="rId1257" Type="http://schemas.openxmlformats.org/officeDocument/2006/relationships/hyperlink" Target="https://arcprize.org/play?task=cdecee7f" TargetMode="External"/><Relationship Id="rId1258" Type="http://schemas.openxmlformats.org/officeDocument/2006/relationships/hyperlink" Target="https://arcprize.org/play?task=ae3edfdc" TargetMode="External"/><Relationship Id="rId1259" Type="http://schemas.openxmlformats.org/officeDocument/2006/relationships/hyperlink" Target="https://arcprize.org/play?task=9ecd008a" TargetMode="External"/><Relationship Id="rId426" Type="http://schemas.openxmlformats.org/officeDocument/2006/relationships/hyperlink" Target="https://arcprize.org/play?task=ba97ae07" TargetMode="External"/><Relationship Id="rId425" Type="http://schemas.openxmlformats.org/officeDocument/2006/relationships/hyperlink" Target="https://arcprize.org/play?task=46f33fce" TargetMode="External"/><Relationship Id="rId424" Type="http://schemas.openxmlformats.org/officeDocument/2006/relationships/hyperlink" Target="https://arcprize.org/play?task=d22278a0" TargetMode="External"/><Relationship Id="rId423" Type="http://schemas.openxmlformats.org/officeDocument/2006/relationships/hyperlink" Target="https://arcprize.org/play?task=b2862040" TargetMode="External"/><Relationship Id="rId429" Type="http://schemas.openxmlformats.org/officeDocument/2006/relationships/hyperlink" Target="https://arcprize.org/play?task=47c1f68c" TargetMode="External"/><Relationship Id="rId428" Type="http://schemas.openxmlformats.org/officeDocument/2006/relationships/hyperlink" Target="https://arcprize.org/play?task=6455b5f5" TargetMode="External"/><Relationship Id="rId427" Type="http://schemas.openxmlformats.org/officeDocument/2006/relationships/hyperlink" Target="https://arcprize.org/play?task=d89b689b" TargetMode="External"/><Relationship Id="rId1250" Type="http://schemas.openxmlformats.org/officeDocument/2006/relationships/hyperlink" Target="https://arcprize.org/play?task=a61ba2ce" TargetMode="External"/><Relationship Id="rId1251" Type="http://schemas.openxmlformats.org/officeDocument/2006/relationships/hyperlink" Target="https://arcprize.org/play?task=54d82841" TargetMode="External"/><Relationship Id="rId1252" Type="http://schemas.openxmlformats.org/officeDocument/2006/relationships/hyperlink" Target="https://arcprize.org/play?task=8d5021e8" TargetMode="External"/><Relationship Id="rId422" Type="http://schemas.openxmlformats.org/officeDocument/2006/relationships/hyperlink" Target="https://arcprize.org/play?task=b9b7f026" TargetMode="External"/><Relationship Id="rId1253" Type="http://schemas.openxmlformats.org/officeDocument/2006/relationships/hyperlink" Target="https://arcprize.org/play?task=cce03e0d" TargetMode="External"/><Relationship Id="rId421" Type="http://schemas.openxmlformats.org/officeDocument/2006/relationships/hyperlink" Target="https://arcprize.org/play?task=469497ad" TargetMode="External"/><Relationship Id="rId1254" Type="http://schemas.openxmlformats.org/officeDocument/2006/relationships/hyperlink" Target="https://arcprize.org/play?task=4c5c2cf0" TargetMode="External"/><Relationship Id="rId420" Type="http://schemas.openxmlformats.org/officeDocument/2006/relationships/hyperlink" Target="https://arcprize.org/play?task=e5062a87" TargetMode="External"/><Relationship Id="rId1255" Type="http://schemas.openxmlformats.org/officeDocument/2006/relationships/hyperlink" Target="https://arcprize.org/play?task=99b1bc43" TargetMode="External"/><Relationship Id="rId1256" Type="http://schemas.openxmlformats.org/officeDocument/2006/relationships/hyperlink" Target="https://arcprize.org/play?task=46f33fce" TargetMode="External"/><Relationship Id="rId1246" Type="http://schemas.openxmlformats.org/officeDocument/2006/relationships/hyperlink" Target="https://arcprize.org/play?task=928ad970" TargetMode="External"/><Relationship Id="rId1247" Type="http://schemas.openxmlformats.org/officeDocument/2006/relationships/hyperlink" Target="https://arcprize.org/play?task=3428a4f5" TargetMode="External"/><Relationship Id="rId1248" Type="http://schemas.openxmlformats.org/officeDocument/2006/relationships/hyperlink" Target="https://arcprize.org/play?task=3bdb4ada" TargetMode="External"/><Relationship Id="rId1249" Type="http://schemas.openxmlformats.org/officeDocument/2006/relationships/hyperlink" Target="https://arcprize.org/play?task=cbded52d" TargetMode="External"/><Relationship Id="rId415" Type="http://schemas.openxmlformats.org/officeDocument/2006/relationships/hyperlink" Target="https://arcprize.org/play?task=98cf29f8" TargetMode="External"/><Relationship Id="rId899" Type="http://schemas.openxmlformats.org/officeDocument/2006/relationships/hyperlink" Target="https://arcprize.org/play?task=73251a56" TargetMode="External"/><Relationship Id="rId414" Type="http://schemas.openxmlformats.org/officeDocument/2006/relationships/hyperlink" Target="https://arcprize.org/play?task=d406998b" TargetMode="External"/><Relationship Id="rId898" Type="http://schemas.openxmlformats.org/officeDocument/2006/relationships/hyperlink" Target="https://arcprize.org/play?task=a9f96cdd" TargetMode="External"/><Relationship Id="rId413" Type="http://schemas.openxmlformats.org/officeDocument/2006/relationships/hyperlink" Target="https://arcprize.org/play?task=4612dd53" TargetMode="External"/><Relationship Id="rId897" Type="http://schemas.openxmlformats.org/officeDocument/2006/relationships/hyperlink" Target="https://arcprize.org/play?task=941d9a10" TargetMode="External"/><Relationship Id="rId412" Type="http://schemas.openxmlformats.org/officeDocument/2006/relationships/hyperlink" Target="https://arcprize.org/play?task=97a05b5b" TargetMode="External"/><Relationship Id="rId896" Type="http://schemas.openxmlformats.org/officeDocument/2006/relationships/hyperlink" Target="https://arcprize.org/play?task=6773b310" TargetMode="External"/><Relationship Id="rId419" Type="http://schemas.openxmlformats.org/officeDocument/2006/relationships/hyperlink" Target="https://arcprize.org/play?task=a87f7484" TargetMode="External"/><Relationship Id="rId418" Type="http://schemas.openxmlformats.org/officeDocument/2006/relationships/hyperlink" Target="https://arcprize.org/play?task=3906de3d" TargetMode="External"/><Relationship Id="rId417" Type="http://schemas.openxmlformats.org/officeDocument/2006/relationships/hyperlink" Target="https://arcprize.org/play?task=46442a0e" TargetMode="External"/><Relationship Id="rId416" Type="http://schemas.openxmlformats.org/officeDocument/2006/relationships/hyperlink" Target="https://arcprize.org/play?task=e40b9e2f" TargetMode="External"/><Relationship Id="rId891" Type="http://schemas.openxmlformats.org/officeDocument/2006/relationships/hyperlink" Target="https://arcprize.org/play?task=2bee17df" TargetMode="External"/><Relationship Id="rId890" Type="http://schemas.openxmlformats.org/officeDocument/2006/relationships/hyperlink" Target="https://arcprize.org/play?task=0ca9ddb6" TargetMode="External"/><Relationship Id="rId1240" Type="http://schemas.openxmlformats.org/officeDocument/2006/relationships/hyperlink" Target="https://arcprize.org/play?task=82819916" TargetMode="External"/><Relationship Id="rId1241" Type="http://schemas.openxmlformats.org/officeDocument/2006/relationships/hyperlink" Target="https://arcprize.org/play?task=c9f8e694" TargetMode="External"/><Relationship Id="rId411" Type="http://schemas.openxmlformats.org/officeDocument/2006/relationships/hyperlink" Target="https://arcprize.org/play?task=83302e8f" TargetMode="External"/><Relationship Id="rId895" Type="http://schemas.openxmlformats.org/officeDocument/2006/relationships/hyperlink" Target="https://arcprize.org/play?task=6773b310" TargetMode="External"/><Relationship Id="rId1242" Type="http://schemas.openxmlformats.org/officeDocument/2006/relationships/hyperlink" Target="https://arcprize.org/play?task=09629e4f" TargetMode="External"/><Relationship Id="rId410" Type="http://schemas.openxmlformats.org/officeDocument/2006/relationships/hyperlink" Target="https://arcprize.org/play?task=662c240a" TargetMode="External"/><Relationship Id="rId894" Type="http://schemas.openxmlformats.org/officeDocument/2006/relationships/hyperlink" Target="https://arcprize.org/play?task=be94b721" TargetMode="External"/><Relationship Id="rId1243" Type="http://schemas.openxmlformats.org/officeDocument/2006/relationships/hyperlink" Target="https://arcprize.org/play?task=eb5a1d5d" TargetMode="External"/><Relationship Id="rId893" Type="http://schemas.openxmlformats.org/officeDocument/2006/relationships/hyperlink" Target="https://arcprize.org/play?task=93b581b8" TargetMode="External"/><Relationship Id="rId1244" Type="http://schemas.openxmlformats.org/officeDocument/2006/relationships/hyperlink" Target="https://arcprize.org/play?task=ba26e723" TargetMode="External"/><Relationship Id="rId892" Type="http://schemas.openxmlformats.org/officeDocument/2006/relationships/hyperlink" Target="https://arcprize.org/play?task=2bee17df" TargetMode="External"/><Relationship Id="rId1245" Type="http://schemas.openxmlformats.org/officeDocument/2006/relationships/hyperlink" Target="https://arcprize.org/play?task=caa06a1f" TargetMode="External"/><Relationship Id="rId1279" Type="http://schemas.openxmlformats.org/officeDocument/2006/relationships/hyperlink" Target="https://arcprize.org/play?task=cf98881b" TargetMode="External"/><Relationship Id="rId448" Type="http://schemas.openxmlformats.org/officeDocument/2006/relationships/hyperlink" Target="https://arcprize.org/play?task=ec883f72" TargetMode="External"/><Relationship Id="rId447" Type="http://schemas.openxmlformats.org/officeDocument/2006/relationships/hyperlink" Target="https://arcprize.org/play?task=a8d7556c" TargetMode="External"/><Relationship Id="rId446" Type="http://schemas.openxmlformats.org/officeDocument/2006/relationships/hyperlink" Target="https://arcprize.org/play?task=6d75e8bb" TargetMode="External"/><Relationship Id="rId445" Type="http://schemas.openxmlformats.org/officeDocument/2006/relationships/hyperlink" Target="https://arcprize.org/play?task=496994bd" TargetMode="External"/><Relationship Id="rId449" Type="http://schemas.openxmlformats.org/officeDocument/2006/relationships/hyperlink" Target="https://arcprize.org/play?task=49d1d64f" TargetMode="External"/><Relationship Id="rId1270" Type="http://schemas.openxmlformats.org/officeDocument/2006/relationships/hyperlink" Target="https://arcprize.org/play?task=56dc2b01" TargetMode="External"/><Relationship Id="rId440" Type="http://schemas.openxmlformats.org/officeDocument/2006/relationships/hyperlink" Target="https://arcprize.org/play?task=5c2c9af4" TargetMode="External"/><Relationship Id="rId1271" Type="http://schemas.openxmlformats.org/officeDocument/2006/relationships/hyperlink" Target="https://arcprize.org/play?task=bdad9b1f" TargetMode="External"/><Relationship Id="rId1272" Type="http://schemas.openxmlformats.org/officeDocument/2006/relationships/hyperlink" Target="https://arcprize.org/play?task=05269061" TargetMode="External"/><Relationship Id="rId1273" Type="http://schemas.openxmlformats.org/officeDocument/2006/relationships/hyperlink" Target="https://arcprize.org/play?task=ce9e57f2" TargetMode="External"/><Relationship Id="rId1274" Type="http://schemas.openxmlformats.org/officeDocument/2006/relationships/hyperlink" Target="https://arcprize.org/play?task=941d9a10" TargetMode="External"/><Relationship Id="rId444" Type="http://schemas.openxmlformats.org/officeDocument/2006/relationships/hyperlink" Target="https://arcprize.org/play?task=2c608aff" TargetMode="External"/><Relationship Id="rId1275" Type="http://schemas.openxmlformats.org/officeDocument/2006/relationships/hyperlink" Target="https://arcprize.org/play?task=ce4f8723" TargetMode="External"/><Relationship Id="rId443" Type="http://schemas.openxmlformats.org/officeDocument/2006/relationships/hyperlink" Target="https://arcprize.org/play?task=a2fd1cf0" TargetMode="External"/><Relationship Id="rId1276" Type="http://schemas.openxmlformats.org/officeDocument/2006/relationships/hyperlink" Target="https://arcprize.org/play?task=178fcbfb" TargetMode="External"/><Relationship Id="rId442" Type="http://schemas.openxmlformats.org/officeDocument/2006/relationships/hyperlink" Target="https://arcprize.org/play?task=5614dbcf" TargetMode="External"/><Relationship Id="rId1277" Type="http://schemas.openxmlformats.org/officeDocument/2006/relationships/hyperlink" Target="https://arcprize.org/play?task=cf98881b" TargetMode="External"/><Relationship Id="rId441" Type="http://schemas.openxmlformats.org/officeDocument/2006/relationships/hyperlink" Target="https://arcprize.org/play?task=4938f0c2" TargetMode="External"/><Relationship Id="rId1278" Type="http://schemas.openxmlformats.org/officeDocument/2006/relationships/hyperlink" Target="https://arcprize.org/play?task=673ef223" TargetMode="External"/><Relationship Id="rId1268" Type="http://schemas.openxmlformats.org/officeDocument/2006/relationships/hyperlink" Target="https://arcprize.org/play?task=1bfc4729" TargetMode="External"/><Relationship Id="rId1269" Type="http://schemas.openxmlformats.org/officeDocument/2006/relationships/hyperlink" Target="https://arcprize.org/play?task=ce602527" TargetMode="External"/><Relationship Id="rId437" Type="http://schemas.openxmlformats.org/officeDocument/2006/relationships/hyperlink" Target="https://arcprize.org/play?task=48d8fb45" TargetMode="External"/><Relationship Id="rId436" Type="http://schemas.openxmlformats.org/officeDocument/2006/relationships/hyperlink" Target="https://arcprize.org/play?task=fcb5c309" TargetMode="External"/><Relationship Id="rId435" Type="http://schemas.openxmlformats.org/officeDocument/2006/relationships/hyperlink" Target="https://arcprize.org/play?task=810b9b61" TargetMode="External"/><Relationship Id="rId434" Type="http://schemas.openxmlformats.org/officeDocument/2006/relationships/hyperlink" Target="https://arcprize.org/play?task=48d8fb45" TargetMode="External"/><Relationship Id="rId439" Type="http://schemas.openxmlformats.org/officeDocument/2006/relationships/hyperlink" Target="https://arcprize.org/play?task=d4a91cb9" TargetMode="External"/><Relationship Id="rId438" Type="http://schemas.openxmlformats.org/officeDocument/2006/relationships/hyperlink" Target="https://arcprize.org/play?task=794b24be" TargetMode="External"/><Relationship Id="rId1260" Type="http://schemas.openxmlformats.org/officeDocument/2006/relationships/hyperlink" Target="https://arcprize.org/play?task=8eb1be9a" TargetMode="External"/><Relationship Id="rId1261" Type="http://schemas.openxmlformats.org/officeDocument/2006/relationships/hyperlink" Target="https://arcprize.org/play?task=ce22a75a" TargetMode="External"/><Relationship Id="rId1262" Type="http://schemas.openxmlformats.org/officeDocument/2006/relationships/hyperlink" Target="https://arcprize.org/play?task=1f0c79e5" TargetMode="External"/><Relationship Id="rId1263" Type="http://schemas.openxmlformats.org/officeDocument/2006/relationships/hyperlink" Target="https://arcprize.org/play?task=bbc9ae5d" TargetMode="External"/><Relationship Id="rId433" Type="http://schemas.openxmlformats.org/officeDocument/2006/relationships/hyperlink" Target="https://arcprize.org/play?task=484b58aa" TargetMode="External"/><Relationship Id="rId1264" Type="http://schemas.openxmlformats.org/officeDocument/2006/relationships/hyperlink" Target="https://arcprize.org/play?task=760b3cac" TargetMode="External"/><Relationship Id="rId432" Type="http://schemas.openxmlformats.org/officeDocument/2006/relationships/hyperlink" Target="https://arcprize.org/play?task=88a10436" TargetMode="External"/><Relationship Id="rId1265" Type="http://schemas.openxmlformats.org/officeDocument/2006/relationships/hyperlink" Target="https://arcprize.org/play?task=ce4f8723" TargetMode="External"/><Relationship Id="rId431" Type="http://schemas.openxmlformats.org/officeDocument/2006/relationships/hyperlink" Target="https://arcprize.org/play?task=39a8645d" TargetMode="External"/><Relationship Id="rId1266" Type="http://schemas.openxmlformats.org/officeDocument/2006/relationships/hyperlink" Target="https://arcprize.org/play?task=952a094c" TargetMode="External"/><Relationship Id="rId430" Type="http://schemas.openxmlformats.org/officeDocument/2006/relationships/hyperlink" Target="https://arcprize.org/play?task=2013d3e2" TargetMode="External"/><Relationship Id="rId1267" Type="http://schemas.openxmlformats.org/officeDocument/2006/relationships/hyperlink" Target="https://arcprize.org/play?task=bda2d7a6"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github.com/xsot/google-code-golf-2025" TargetMode="External"/><Relationship Id="rId2" Type="http://schemas.openxmlformats.org/officeDocument/2006/relationships/hyperlink" Target="https://docs.google.com/spreadsheets/d/1mjz6tYb2caNHD6-PktIrHBdiJda5TjXRqKcUaiTQc4E/edit?pli=1&amp;gid=310481599" TargetMode="External"/><Relationship Id="rId3"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392" Type="http://schemas.openxmlformats.org/officeDocument/2006/relationships/hyperlink" Target="https://arcprize.org/play?task=ed36ccf7" TargetMode="External"/><Relationship Id="rId391" Type="http://schemas.openxmlformats.org/officeDocument/2006/relationships/hyperlink" Target="https://arcprize.org/play?task=9dfd6313" TargetMode="External"/><Relationship Id="rId390" Type="http://schemas.openxmlformats.org/officeDocument/2006/relationships/hyperlink" Target="https://arcprize.org/play?task=74dd1130" TargetMode="External"/><Relationship Id="rId1" Type="http://schemas.openxmlformats.org/officeDocument/2006/relationships/hyperlink" Target="https://arcprize.org/play?task=e5062a87" TargetMode="External"/><Relationship Id="rId2" Type="http://schemas.openxmlformats.org/officeDocument/2006/relationships/hyperlink" Target="https://github.com/xsot/google-code-golf-2025" TargetMode="External"/><Relationship Id="rId3" Type="http://schemas.openxmlformats.org/officeDocument/2006/relationships/hyperlink" Target="https://arcprize.org/play?task=e6721834" TargetMode="External"/><Relationship Id="rId4" Type="http://schemas.openxmlformats.org/officeDocument/2006/relationships/hyperlink" Target="https://github.com/xsot/google-code-golf-2025" TargetMode="External"/><Relationship Id="rId9" Type="http://schemas.openxmlformats.org/officeDocument/2006/relationships/hyperlink" Target="https://arcprize.org/play?task=b548a754" TargetMode="External"/><Relationship Id="rId385" Type="http://schemas.openxmlformats.org/officeDocument/2006/relationships/hyperlink" Target="https://arcprize.org/play?task=f25ffba3" TargetMode="External"/><Relationship Id="rId384" Type="http://schemas.openxmlformats.org/officeDocument/2006/relationships/hyperlink" Target="https://arcprize.org/play?task=d631b094" TargetMode="External"/><Relationship Id="rId383" Type="http://schemas.openxmlformats.org/officeDocument/2006/relationships/hyperlink" Target="https://arcprize.org/play?task=d10ecb37" TargetMode="External"/><Relationship Id="rId382" Type="http://schemas.openxmlformats.org/officeDocument/2006/relationships/hyperlink" Target="https://arcprize.org/play?task=e26a3af2" TargetMode="External"/><Relationship Id="rId5" Type="http://schemas.openxmlformats.org/officeDocument/2006/relationships/hyperlink" Target="https://docs.google.com/spreadsheets/d/1mjz6tYb2caNHD6-PktIrHBdiJda5TjXRqKcUaiTQc4E/edit?pli=1&amp;gid=310481599" TargetMode="External"/><Relationship Id="rId389" Type="http://schemas.openxmlformats.org/officeDocument/2006/relationships/hyperlink" Target="https://arcprize.org/play?task=5bd6f4ac" TargetMode="External"/><Relationship Id="rId6" Type="http://schemas.openxmlformats.org/officeDocument/2006/relationships/hyperlink" Target="https://arcprize.org/play?task=890034e9" TargetMode="External"/><Relationship Id="rId388" Type="http://schemas.openxmlformats.org/officeDocument/2006/relationships/hyperlink" Target="https://arcprize.org/play?task=496994bd" TargetMode="External"/><Relationship Id="rId7" Type="http://schemas.openxmlformats.org/officeDocument/2006/relationships/hyperlink" Target="https://arcprize.org/play?task=aba27056" TargetMode="External"/><Relationship Id="rId387" Type="http://schemas.openxmlformats.org/officeDocument/2006/relationships/hyperlink" Target="https://arcprize.org/play?task=62c24649" TargetMode="External"/><Relationship Id="rId8" Type="http://schemas.openxmlformats.org/officeDocument/2006/relationships/hyperlink" Target="https://docs.google.com/spreadsheets/d/1mjz6tYb2caNHD6-PktIrHBdiJda5TjXRqKcUaiTQc4E/edit?pli=1&amp;gid=310481599" TargetMode="External"/><Relationship Id="rId386" Type="http://schemas.openxmlformats.org/officeDocument/2006/relationships/hyperlink" Target="https://arcprize.org/play?task=beb8660c" TargetMode="External"/><Relationship Id="rId381" Type="http://schemas.openxmlformats.org/officeDocument/2006/relationships/hyperlink" Target="https://arcprize.org/play?task=25ff71a9" TargetMode="External"/><Relationship Id="rId380" Type="http://schemas.openxmlformats.org/officeDocument/2006/relationships/hyperlink" Target="https://arcprize.org/play?task=d13f3404" TargetMode="External"/><Relationship Id="rId379" Type="http://schemas.openxmlformats.org/officeDocument/2006/relationships/hyperlink" Target="https://arcprize.org/play?task=44f52bb0" TargetMode="External"/><Relationship Id="rId374" Type="http://schemas.openxmlformats.org/officeDocument/2006/relationships/hyperlink" Target="https://arcprize.org/play?task=e3497940" TargetMode="External"/><Relationship Id="rId373" Type="http://schemas.openxmlformats.org/officeDocument/2006/relationships/hyperlink" Target="https://arcprize.org/play?task=ea786f4a" TargetMode="External"/><Relationship Id="rId372" Type="http://schemas.openxmlformats.org/officeDocument/2006/relationships/hyperlink" Target="https://arcprize.org/play?task=a699fb00" TargetMode="External"/><Relationship Id="rId371" Type="http://schemas.openxmlformats.org/officeDocument/2006/relationships/hyperlink" Target="https://arcprize.org/play?task=9ecd008a" TargetMode="External"/><Relationship Id="rId378" Type="http://schemas.openxmlformats.org/officeDocument/2006/relationships/hyperlink" Target="https://arcprize.org/play?task=d23f8c26" TargetMode="External"/><Relationship Id="rId377" Type="http://schemas.openxmlformats.org/officeDocument/2006/relationships/hyperlink" Target="https://arcprize.org/play?task=22168020" TargetMode="External"/><Relationship Id="rId376" Type="http://schemas.openxmlformats.org/officeDocument/2006/relationships/hyperlink" Target="https://arcprize.org/play?task=3618c87e" TargetMode="External"/><Relationship Id="rId375" Type="http://schemas.openxmlformats.org/officeDocument/2006/relationships/hyperlink" Target="https://arcprize.org/play?task=3ac3eb23" TargetMode="External"/><Relationship Id="rId396" Type="http://schemas.openxmlformats.org/officeDocument/2006/relationships/hyperlink" Target="https://arcprize.org/play?task=4c4377d9" TargetMode="External"/><Relationship Id="rId395" Type="http://schemas.openxmlformats.org/officeDocument/2006/relationships/hyperlink" Target="https://arcprize.org/play?task=3af2c5a8" TargetMode="External"/><Relationship Id="rId394" Type="http://schemas.openxmlformats.org/officeDocument/2006/relationships/hyperlink" Target="https://arcprize.org/play?task=2dee498d" TargetMode="External"/><Relationship Id="rId393" Type="http://schemas.openxmlformats.org/officeDocument/2006/relationships/hyperlink" Target="https://arcprize.org/play?task=1e0a9b12" TargetMode="External"/><Relationship Id="rId399" Type="http://schemas.openxmlformats.org/officeDocument/2006/relationships/hyperlink" Target="https://arcprize.org/play?task=68b16354" TargetMode="External"/><Relationship Id="rId398" Type="http://schemas.openxmlformats.org/officeDocument/2006/relationships/hyperlink" Target="https://arcprize.org/play?task=6150a2bd" TargetMode="External"/><Relationship Id="rId397" Type="http://schemas.openxmlformats.org/officeDocument/2006/relationships/hyperlink" Target="https://arcprize.org/play?task=a416b8f3" TargetMode="External"/><Relationship Id="rId40" Type="http://schemas.openxmlformats.org/officeDocument/2006/relationships/hyperlink" Target="https://arcprize.org/play?task=f35d900a" TargetMode="External"/><Relationship Id="rId42" Type="http://schemas.openxmlformats.org/officeDocument/2006/relationships/hyperlink" Target="https://arcprize.org/play?task=b7249182" TargetMode="External"/><Relationship Id="rId41" Type="http://schemas.openxmlformats.org/officeDocument/2006/relationships/hyperlink" Target="https://arcprize.org/play?task=ce602527" TargetMode="External"/><Relationship Id="rId44" Type="http://schemas.openxmlformats.org/officeDocument/2006/relationships/hyperlink" Target="https://arcprize.org/play?task=c909285e" TargetMode="External"/><Relationship Id="rId43" Type="http://schemas.openxmlformats.org/officeDocument/2006/relationships/hyperlink" Target="https://arcprize.org/play?task=4347f46a" TargetMode="External"/><Relationship Id="rId46" Type="http://schemas.openxmlformats.org/officeDocument/2006/relationships/hyperlink" Target="https://arcprize.org/play?task=80af3007" TargetMode="External"/><Relationship Id="rId45" Type="http://schemas.openxmlformats.org/officeDocument/2006/relationships/hyperlink" Target="https://arcprize.org/play?task=ded97339" TargetMode="External"/><Relationship Id="rId48" Type="http://schemas.openxmlformats.org/officeDocument/2006/relationships/hyperlink" Target="https://arcprize.org/play?task=045e512c" TargetMode="External"/><Relationship Id="rId47" Type="http://schemas.openxmlformats.org/officeDocument/2006/relationships/hyperlink" Target="https://arcprize.org/play?task=56dc2b01" TargetMode="External"/><Relationship Id="rId49" Type="http://schemas.openxmlformats.org/officeDocument/2006/relationships/hyperlink" Target="https://arcprize.org/play?task=b775ac94" TargetMode="External"/><Relationship Id="rId31" Type="http://schemas.openxmlformats.org/officeDocument/2006/relationships/hyperlink" Target="https://arcprize.org/play?task=694f12f3" TargetMode="External"/><Relationship Id="rId30" Type="http://schemas.openxmlformats.org/officeDocument/2006/relationships/hyperlink" Target="https://arcprize.org/play?task=6d58a25d" TargetMode="External"/><Relationship Id="rId33" Type="http://schemas.openxmlformats.org/officeDocument/2006/relationships/hyperlink" Target="https://arcprize.org/play?task=a64e4611" TargetMode="External"/><Relationship Id="rId32" Type="http://schemas.openxmlformats.org/officeDocument/2006/relationships/hyperlink" Target="https://arcprize.org/play?task=6455b5f5" TargetMode="External"/><Relationship Id="rId35" Type="http://schemas.openxmlformats.org/officeDocument/2006/relationships/hyperlink" Target="https://arcprize.org/play?task=67385a82" TargetMode="External"/><Relationship Id="rId34" Type="http://schemas.openxmlformats.org/officeDocument/2006/relationships/hyperlink" Target="https://arcprize.org/play?task=97a05b5b" TargetMode="External"/><Relationship Id="rId37" Type="http://schemas.openxmlformats.org/officeDocument/2006/relationships/hyperlink" Target="https://arcprize.org/play?task=91714a58" TargetMode="External"/><Relationship Id="rId36" Type="http://schemas.openxmlformats.org/officeDocument/2006/relationships/hyperlink" Target="https://arcprize.org/play?task=0dfd9992" TargetMode="External"/><Relationship Id="rId39" Type="http://schemas.openxmlformats.org/officeDocument/2006/relationships/hyperlink" Target="https://arcprize.org/play?task=150deff5" TargetMode="External"/><Relationship Id="rId38" Type="http://schemas.openxmlformats.org/officeDocument/2006/relationships/hyperlink" Target="https://arcprize.org/play?task=1f0c79e5" TargetMode="External"/><Relationship Id="rId20" Type="http://schemas.openxmlformats.org/officeDocument/2006/relationships/hyperlink" Target="https://arcprize.org/play?task=f8c80d96" TargetMode="External"/><Relationship Id="rId22" Type="http://schemas.openxmlformats.org/officeDocument/2006/relationships/hyperlink" Target="https://arcprize.org/play?task=2c608aff" TargetMode="External"/><Relationship Id="rId21" Type="http://schemas.openxmlformats.org/officeDocument/2006/relationships/hyperlink" Target="https://arcprize.org/play?task=06df4c85" TargetMode="External"/><Relationship Id="rId24" Type="http://schemas.openxmlformats.org/officeDocument/2006/relationships/hyperlink" Target="https://arcprize.org/play?task=0e206a2e" TargetMode="External"/><Relationship Id="rId23" Type="http://schemas.openxmlformats.org/officeDocument/2006/relationships/hyperlink" Target="https://arcprize.org/play?task=d0f5fe59" TargetMode="External"/><Relationship Id="rId26" Type="http://schemas.openxmlformats.org/officeDocument/2006/relationships/hyperlink" Target="https://arcprize.org/play?task=a9f96cdd" TargetMode="External"/><Relationship Id="rId25" Type="http://schemas.openxmlformats.org/officeDocument/2006/relationships/hyperlink" Target="https://arcprize.org/play?task=0b148d64" TargetMode="External"/><Relationship Id="rId28" Type="http://schemas.openxmlformats.org/officeDocument/2006/relationships/hyperlink" Target="https://arcprize.org/play?task=444801d8" TargetMode="External"/><Relationship Id="rId27" Type="http://schemas.openxmlformats.org/officeDocument/2006/relationships/hyperlink" Target="https://arcprize.org/play?task=9d9215db" TargetMode="External"/><Relationship Id="rId29" Type="http://schemas.openxmlformats.org/officeDocument/2006/relationships/hyperlink" Target="https://arcprize.org/play?task=7e0986d6" TargetMode="External"/><Relationship Id="rId11" Type="http://schemas.openxmlformats.org/officeDocument/2006/relationships/hyperlink" Target="https://arcprize.org/play?task=5ad4f10b" TargetMode="External"/><Relationship Id="rId10" Type="http://schemas.openxmlformats.org/officeDocument/2006/relationships/hyperlink" Target="https://arcprize.org/play?task=db93a21d" TargetMode="External"/><Relationship Id="rId13" Type="http://schemas.openxmlformats.org/officeDocument/2006/relationships/hyperlink" Target="https://arcprize.org/play?task=b527c5c6" TargetMode="External"/><Relationship Id="rId12" Type="http://schemas.openxmlformats.org/officeDocument/2006/relationships/hyperlink" Target="https://arcprize.org/play?task=50846271" TargetMode="External"/><Relationship Id="rId15" Type="http://schemas.openxmlformats.org/officeDocument/2006/relationships/hyperlink" Target="https://arcprize.org/play?task=aedd82e4" TargetMode="External"/><Relationship Id="rId14" Type="http://schemas.openxmlformats.org/officeDocument/2006/relationships/hyperlink" Target="https://arcprize.org/play?task=928ad970" TargetMode="External"/><Relationship Id="rId17" Type="http://schemas.openxmlformats.org/officeDocument/2006/relationships/hyperlink" Target="https://arcprize.org/play?task=4c5c2cf0" TargetMode="External"/><Relationship Id="rId16" Type="http://schemas.openxmlformats.org/officeDocument/2006/relationships/hyperlink" Target="https://arcprize.org/play?task=7c008303" TargetMode="External"/><Relationship Id="rId19" Type="http://schemas.openxmlformats.org/officeDocument/2006/relationships/hyperlink" Target="https://arcprize.org/play?task=36fdfd69" TargetMode="External"/><Relationship Id="rId18" Type="http://schemas.openxmlformats.org/officeDocument/2006/relationships/hyperlink" Target="https://arcprize.org/play?task=77fdfe62" TargetMode="External"/><Relationship Id="rId84" Type="http://schemas.openxmlformats.org/officeDocument/2006/relationships/hyperlink" Target="https://arcprize.org/play?task=7b6016b9" TargetMode="External"/><Relationship Id="rId83" Type="http://schemas.openxmlformats.org/officeDocument/2006/relationships/hyperlink" Target="https://arcprize.org/play?task=913fb3ed" TargetMode="External"/><Relationship Id="rId86" Type="http://schemas.openxmlformats.org/officeDocument/2006/relationships/hyperlink" Target="https://arcprize.org/play?task=1c786137" TargetMode="External"/><Relationship Id="rId85" Type="http://schemas.openxmlformats.org/officeDocument/2006/relationships/hyperlink" Target="https://arcprize.org/play?task=0ca9ddb6" TargetMode="External"/><Relationship Id="rId88" Type="http://schemas.openxmlformats.org/officeDocument/2006/relationships/hyperlink" Target="https://arcprize.org/play?task=f15e1fac" TargetMode="External"/><Relationship Id="rId87" Type="http://schemas.openxmlformats.org/officeDocument/2006/relationships/hyperlink" Target="https://arcprize.org/play?task=0a938d79" TargetMode="External"/><Relationship Id="rId89" Type="http://schemas.openxmlformats.org/officeDocument/2006/relationships/hyperlink" Target="https://arcprize.org/play?task=469497ad" TargetMode="External"/><Relationship Id="rId80" Type="http://schemas.openxmlformats.org/officeDocument/2006/relationships/hyperlink" Target="https://arcprize.org/play?task=bc1d5164" TargetMode="External"/><Relationship Id="rId82" Type="http://schemas.openxmlformats.org/officeDocument/2006/relationships/hyperlink" Target="https://arcprize.org/play?task=60b61512" TargetMode="External"/><Relationship Id="rId81" Type="http://schemas.openxmlformats.org/officeDocument/2006/relationships/hyperlink" Target="https://arcprize.org/play?task=75b8110e" TargetMode="External"/><Relationship Id="rId73" Type="http://schemas.openxmlformats.org/officeDocument/2006/relationships/hyperlink" Target="https://arcprize.org/play?task=673ef223" TargetMode="External"/><Relationship Id="rId72" Type="http://schemas.openxmlformats.org/officeDocument/2006/relationships/hyperlink" Target="https://arcprize.org/play?task=a61ba2ce" TargetMode="External"/><Relationship Id="rId75" Type="http://schemas.openxmlformats.org/officeDocument/2006/relationships/hyperlink" Target="https://arcprize.org/play?task=3eda0437" TargetMode="External"/><Relationship Id="rId74" Type="http://schemas.openxmlformats.org/officeDocument/2006/relationships/hyperlink" Target="https://arcprize.org/play?task=e76a88a6" TargetMode="External"/><Relationship Id="rId77" Type="http://schemas.openxmlformats.org/officeDocument/2006/relationships/hyperlink" Target="https://arcprize.org/play?task=9aec4887" TargetMode="External"/><Relationship Id="rId76" Type="http://schemas.openxmlformats.org/officeDocument/2006/relationships/hyperlink" Target="https://arcprize.org/play?task=228f6490" TargetMode="External"/><Relationship Id="rId79" Type="http://schemas.openxmlformats.org/officeDocument/2006/relationships/hyperlink" Target="https://arcprize.org/play?task=36d67576" TargetMode="External"/><Relationship Id="rId78" Type="http://schemas.openxmlformats.org/officeDocument/2006/relationships/hyperlink" Target="https://arcprize.org/play?task=7df24a62" TargetMode="External"/><Relationship Id="rId71" Type="http://schemas.openxmlformats.org/officeDocument/2006/relationships/hyperlink" Target="https://arcprize.org/play?task=09629e4f" TargetMode="External"/><Relationship Id="rId70" Type="http://schemas.openxmlformats.org/officeDocument/2006/relationships/hyperlink" Target="https://arcprize.org/play?task=543a7ed5" TargetMode="External"/><Relationship Id="rId62" Type="http://schemas.openxmlformats.org/officeDocument/2006/relationships/hyperlink" Target="https://arcprize.org/play?task=7f4411dc" TargetMode="External"/><Relationship Id="rId61" Type="http://schemas.openxmlformats.org/officeDocument/2006/relationships/hyperlink" Target="https://arcprize.org/play?task=2204b7a8" TargetMode="External"/><Relationship Id="rId64" Type="http://schemas.openxmlformats.org/officeDocument/2006/relationships/hyperlink" Target="https://arcprize.org/play?task=d43fd935" TargetMode="External"/><Relationship Id="rId63" Type="http://schemas.openxmlformats.org/officeDocument/2006/relationships/hyperlink" Target="https://arcprize.org/play?task=af902bf9" TargetMode="External"/><Relationship Id="rId66" Type="http://schemas.openxmlformats.org/officeDocument/2006/relationships/hyperlink" Target="https://arcprize.org/play?task=1b60fb0c" TargetMode="External"/><Relationship Id="rId65" Type="http://schemas.openxmlformats.org/officeDocument/2006/relationships/hyperlink" Target="https://arcprize.org/play?task=8d510a79" TargetMode="External"/><Relationship Id="rId68" Type="http://schemas.openxmlformats.org/officeDocument/2006/relationships/hyperlink" Target="https://arcprize.org/play?task=a87f7484" TargetMode="External"/><Relationship Id="rId67" Type="http://schemas.openxmlformats.org/officeDocument/2006/relationships/hyperlink" Target="https://arcprize.org/play?task=b27ca6d3" TargetMode="External"/><Relationship Id="rId60" Type="http://schemas.openxmlformats.org/officeDocument/2006/relationships/hyperlink" Target="https://arcprize.org/play?task=447fd412" TargetMode="External"/><Relationship Id="rId69" Type="http://schemas.openxmlformats.org/officeDocument/2006/relationships/hyperlink" Target="https://arcprize.org/play?task=d6ad076f" TargetMode="External"/><Relationship Id="rId51" Type="http://schemas.openxmlformats.org/officeDocument/2006/relationships/hyperlink" Target="https://arcprize.org/play?task=50cb2852" TargetMode="External"/><Relationship Id="rId50" Type="http://schemas.openxmlformats.org/officeDocument/2006/relationships/hyperlink" Target="https://arcprize.org/play?task=b6afb2da" TargetMode="External"/><Relationship Id="rId53" Type="http://schemas.openxmlformats.org/officeDocument/2006/relationships/hyperlink" Target="https://arcprize.org/play?task=e9614598" TargetMode="External"/><Relationship Id="rId52" Type="http://schemas.openxmlformats.org/officeDocument/2006/relationships/hyperlink" Target="https://arcprize.org/play?task=95990924" TargetMode="External"/><Relationship Id="rId55" Type="http://schemas.openxmlformats.org/officeDocument/2006/relationships/hyperlink" Target="https://github.com/arc-code-golf/solutions" TargetMode="External"/><Relationship Id="rId54" Type="http://schemas.openxmlformats.org/officeDocument/2006/relationships/hyperlink" Target="https://github.com/arc-code-golf/solutions" TargetMode="External"/><Relationship Id="rId57" Type="http://schemas.openxmlformats.org/officeDocument/2006/relationships/hyperlink" Target="https://arcprize.org/play?task=1a07d186" TargetMode="External"/><Relationship Id="rId56" Type="http://schemas.openxmlformats.org/officeDocument/2006/relationships/hyperlink" Target="https://arcprize.org/play?task=11852cab" TargetMode="External"/><Relationship Id="rId59" Type="http://schemas.openxmlformats.org/officeDocument/2006/relationships/hyperlink" Target="https://arcprize.org/play?task=776ffc46" TargetMode="External"/><Relationship Id="rId58" Type="http://schemas.openxmlformats.org/officeDocument/2006/relationships/hyperlink" Target="https://arcprize.org/play?task=ec883f72" TargetMode="External"/><Relationship Id="rId349" Type="http://schemas.openxmlformats.org/officeDocument/2006/relationships/hyperlink" Target="https://arcprize.org/play?task=3bd67248" TargetMode="External"/><Relationship Id="rId348" Type="http://schemas.openxmlformats.org/officeDocument/2006/relationships/hyperlink" Target="https://arcprize.org/play?task=f76d97a5" TargetMode="External"/><Relationship Id="rId347" Type="http://schemas.openxmlformats.org/officeDocument/2006/relationships/hyperlink" Target="https://arcprize.org/play?task=23581191" TargetMode="External"/><Relationship Id="rId346" Type="http://schemas.openxmlformats.org/officeDocument/2006/relationships/hyperlink" Target="https://arcprize.org/play?task=bbc9ae5d" TargetMode="External"/><Relationship Id="rId341" Type="http://schemas.openxmlformats.org/officeDocument/2006/relationships/hyperlink" Target="https://arcprize.org/play?task=85c4e7cd" TargetMode="External"/><Relationship Id="rId340" Type="http://schemas.openxmlformats.org/officeDocument/2006/relationships/hyperlink" Target="https://arcprize.org/play?task=aabf363d" TargetMode="External"/><Relationship Id="rId345" Type="http://schemas.openxmlformats.org/officeDocument/2006/relationships/hyperlink" Target="https://arcprize.org/play?task=54d82841" TargetMode="External"/><Relationship Id="rId344" Type="http://schemas.openxmlformats.org/officeDocument/2006/relationships/hyperlink" Target="https://arcprize.org/play?task=6f8cd79b" TargetMode="External"/><Relationship Id="rId343" Type="http://schemas.openxmlformats.org/officeDocument/2006/relationships/hyperlink" Target="https://arcprize.org/play?task=c9f8e694" TargetMode="External"/><Relationship Id="rId342" Type="http://schemas.openxmlformats.org/officeDocument/2006/relationships/hyperlink" Target="https://arcprize.org/play?task=760b3cac" TargetMode="External"/><Relationship Id="rId338" Type="http://schemas.openxmlformats.org/officeDocument/2006/relationships/hyperlink" Target="https://arcprize.org/play?task=23b5c85d" TargetMode="External"/><Relationship Id="rId337" Type="http://schemas.openxmlformats.org/officeDocument/2006/relationships/hyperlink" Target="https://arcprize.org/play?task=cce03e0d" TargetMode="External"/><Relationship Id="rId336" Type="http://schemas.openxmlformats.org/officeDocument/2006/relationships/hyperlink" Target="https://arcprize.org/play?task=746b3537" TargetMode="External"/><Relationship Id="rId335" Type="http://schemas.openxmlformats.org/officeDocument/2006/relationships/hyperlink" Target="https://arcprize.org/play?task=29c11459" TargetMode="External"/><Relationship Id="rId339" Type="http://schemas.openxmlformats.org/officeDocument/2006/relationships/hyperlink" Target="https://arcprize.org/play?task=e9afcf9a" TargetMode="External"/><Relationship Id="rId330" Type="http://schemas.openxmlformats.org/officeDocument/2006/relationships/hyperlink" Target="https://arcprize.org/play?task=0d3d703e" TargetMode="External"/><Relationship Id="rId334" Type="http://schemas.openxmlformats.org/officeDocument/2006/relationships/hyperlink" Target="https://arcprize.org/play?task=794b24be" TargetMode="External"/><Relationship Id="rId333" Type="http://schemas.openxmlformats.org/officeDocument/2006/relationships/hyperlink" Target="https://arcprize.org/play?task=48d8fb45" TargetMode="External"/><Relationship Id="rId332" Type="http://schemas.openxmlformats.org/officeDocument/2006/relationships/hyperlink" Target="https://arcprize.org/play?task=2013d3e2" TargetMode="External"/><Relationship Id="rId331" Type="http://schemas.openxmlformats.org/officeDocument/2006/relationships/hyperlink" Target="https://arcprize.org/play?task=eb5a1d5d" TargetMode="External"/><Relationship Id="rId370" Type="http://schemas.openxmlformats.org/officeDocument/2006/relationships/hyperlink" Target="https://arcprize.org/play?task=25d8a9c8" TargetMode="External"/><Relationship Id="rId369" Type="http://schemas.openxmlformats.org/officeDocument/2006/relationships/hyperlink" Target="https://arcprize.org/play?task=eb281b96" TargetMode="External"/><Relationship Id="rId368" Type="http://schemas.openxmlformats.org/officeDocument/2006/relationships/hyperlink" Target="https://arcprize.org/play?task=f8ff0b80" TargetMode="External"/><Relationship Id="rId363" Type="http://schemas.openxmlformats.org/officeDocument/2006/relationships/hyperlink" Target="https://arcprize.org/play?task=cdecee7f" TargetMode="External"/><Relationship Id="rId362" Type="http://schemas.openxmlformats.org/officeDocument/2006/relationships/hyperlink" Target="https://arcprize.org/play?task=662c240a" TargetMode="External"/><Relationship Id="rId361" Type="http://schemas.openxmlformats.org/officeDocument/2006/relationships/hyperlink" Target="https://arcprize.org/play?task=bdad9b1f" TargetMode="External"/><Relationship Id="rId360" Type="http://schemas.openxmlformats.org/officeDocument/2006/relationships/hyperlink" Target="https://arcprize.org/play?task=1fad071e" TargetMode="External"/><Relationship Id="rId367" Type="http://schemas.openxmlformats.org/officeDocument/2006/relationships/hyperlink" Target="https://arcprize.org/play?task=a79310a0" TargetMode="External"/><Relationship Id="rId366" Type="http://schemas.openxmlformats.org/officeDocument/2006/relationships/hyperlink" Target="https://arcprize.org/play?task=f8b3ba0a" TargetMode="External"/><Relationship Id="rId365" Type="http://schemas.openxmlformats.org/officeDocument/2006/relationships/hyperlink" Target="https://arcprize.org/play?task=bd4472b8" TargetMode="External"/><Relationship Id="rId364" Type="http://schemas.openxmlformats.org/officeDocument/2006/relationships/hyperlink" Target="https://arcprize.org/play?task=8d5021e8" TargetMode="External"/><Relationship Id="rId95" Type="http://schemas.openxmlformats.org/officeDocument/2006/relationships/hyperlink" Target="https://arcprize.org/play?task=a5313dff" TargetMode="External"/><Relationship Id="rId94" Type="http://schemas.openxmlformats.org/officeDocument/2006/relationships/hyperlink" Target="https://arcprize.org/play?task=5614dbcf" TargetMode="External"/><Relationship Id="rId97" Type="http://schemas.openxmlformats.org/officeDocument/2006/relationships/hyperlink" Target="https://arcprize.org/play?task=855e0971" TargetMode="External"/><Relationship Id="rId96" Type="http://schemas.openxmlformats.org/officeDocument/2006/relationships/hyperlink" Target="https://arcprize.org/play?task=db3e9e38" TargetMode="External"/><Relationship Id="rId99" Type="http://schemas.openxmlformats.org/officeDocument/2006/relationships/hyperlink" Target="https://arcprize.org/play?task=3345333e" TargetMode="External"/><Relationship Id="rId98" Type="http://schemas.openxmlformats.org/officeDocument/2006/relationships/hyperlink" Target="https://arcprize.org/play?task=31aa019c" TargetMode="External"/><Relationship Id="rId91" Type="http://schemas.openxmlformats.org/officeDocument/2006/relationships/hyperlink" Target="https://arcprize.org/play?task=e8dc4411" TargetMode="External"/><Relationship Id="rId90" Type="http://schemas.openxmlformats.org/officeDocument/2006/relationships/hyperlink" Target="https://arcprize.org/play?task=321b1fc6" TargetMode="External"/><Relationship Id="rId93" Type="http://schemas.openxmlformats.org/officeDocument/2006/relationships/hyperlink" Target="https://arcprize.org/play?task=7fe24cdd" TargetMode="External"/><Relationship Id="rId92" Type="http://schemas.openxmlformats.org/officeDocument/2006/relationships/hyperlink" Target="https://arcprize.org/play?task=46442a0e" TargetMode="External"/><Relationship Id="rId359" Type="http://schemas.openxmlformats.org/officeDocument/2006/relationships/hyperlink" Target="https://arcprize.org/play?task=22eb0ac0" TargetMode="External"/><Relationship Id="rId358" Type="http://schemas.openxmlformats.org/officeDocument/2006/relationships/hyperlink" Target="https://arcprize.org/play?task=5582e5ca" TargetMode="External"/><Relationship Id="rId357" Type="http://schemas.openxmlformats.org/officeDocument/2006/relationships/hyperlink" Target="https://arcprize.org/play?task=363442ee" TargetMode="External"/><Relationship Id="rId352" Type="http://schemas.openxmlformats.org/officeDocument/2006/relationships/hyperlink" Target="https://arcprize.org/play?task=c3e719e8" TargetMode="External"/><Relationship Id="rId351" Type="http://schemas.openxmlformats.org/officeDocument/2006/relationships/hyperlink" Target="https://arcprize.org/play?task=178fcbfb" TargetMode="External"/><Relationship Id="rId350" Type="http://schemas.openxmlformats.org/officeDocument/2006/relationships/hyperlink" Target="https://arcprize.org/play?task=bb43febb" TargetMode="External"/><Relationship Id="rId356" Type="http://schemas.openxmlformats.org/officeDocument/2006/relationships/hyperlink" Target="https://arcprize.org/play?task=9565186b" TargetMode="External"/><Relationship Id="rId355" Type="http://schemas.openxmlformats.org/officeDocument/2006/relationships/hyperlink" Target="https://arcprize.org/play?task=017c7c7b" TargetMode="External"/><Relationship Id="rId354" Type="http://schemas.openxmlformats.org/officeDocument/2006/relationships/hyperlink" Target="https://arcprize.org/play?task=dae9d2b5" TargetMode="External"/><Relationship Id="rId353" Type="http://schemas.openxmlformats.org/officeDocument/2006/relationships/hyperlink" Target="https://arcprize.org/play?task=a85d4709" TargetMode="External"/><Relationship Id="rId305" Type="http://schemas.openxmlformats.org/officeDocument/2006/relationships/hyperlink" Target="https://arcprize.org/play?task=b8cdaf2b" TargetMode="External"/><Relationship Id="rId304" Type="http://schemas.openxmlformats.org/officeDocument/2006/relationships/hyperlink" Target="https://arcprize.org/play?task=56ff96f3" TargetMode="External"/><Relationship Id="rId303" Type="http://schemas.openxmlformats.org/officeDocument/2006/relationships/hyperlink" Target="https://arcprize.org/play?task=f9012d9b" TargetMode="External"/><Relationship Id="rId302" Type="http://schemas.openxmlformats.org/officeDocument/2006/relationships/hyperlink" Target="https://arcprize.org/play?task=8403a5d5" TargetMode="External"/><Relationship Id="rId309" Type="http://schemas.openxmlformats.org/officeDocument/2006/relationships/hyperlink" Target="https://arcprize.org/play?task=e8593010" TargetMode="External"/><Relationship Id="rId308" Type="http://schemas.openxmlformats.org/officeDocument/2006/relationships/hyperlink" Target="https://arcprize.org/play?task=4093f84a" TargetMode="External"/><Relationship Id="rId307" Type="http://schemas.openxmlformats.org/officeDocument/2006/relationships/hyperlink" Target="https://arcprize.org/play?task=8f2ea7aa" TargetMode="External"/><Relationship Id="rId306" Type="http://schemas.openxmlformats.org/officeDocument/2006/relationships/hyperlink" Target="https://arcprize.org/play?task=868de0fa" TargetMode="External"/><Relationship Id="rId301" Type="http://schemas.openxmlformats.org/officeDocument/2006/relationships/hyperlink" Target="https://arcprize.org/play?task=4522001f" TargetMode="External"/><Relationship Id="rId300" Type="http://schemas.openxmlformats.org/officeDocument/2006/relationships/hyperlink" Target="https://arcprize.org/play?task=dc1df850" TargetMode="External"/><Relationship Id="rId327" Type="http://schemas.openxmlformats.org/officeDocument/2006/relationships/hyperlink" Target="https://arcprize.org/play?task=9edfc990" TargetMode="External"/><Relationship Id="rId326" Type="http://schemas.openxmlformats.org/officeDocument/2006/relationships/hyperlink" Target="https://arcprize.org/play?task=49d1d64f" TargetMode="External"/><Relationship Id="rId325" Type="http://schemas.openxmlformats.org/officeDocument/2006/relationships/hyperlink" Target="https://arcprize.org/play?task=b91ae062" TargetMode="External"/><Relationship Id="rId324" Type="http://schemas.openxmlformats.org/officeDocument/2006/relationships/hyperlink" Target="https://arcprize.org/play?task=ac0a08a4" TargetMode="External"/><Relationship Id="rId329" Type="http://schemas.openxmlformats.org/officeDocument/2006/relationships/hyperlink" Target="https://arcprize.org/play?task=508bd3b6" TargetMode="External"/><Relationship Id="rId328" Type="http://schemas.openxmlformats.org/officeDocument/2006/relationships/hyperlink" Target="https://arcprize.org/play?task=be94b721" TargetMode="External"/><Relationship Id="rId323" Type="http://schemas.openxmlformats.org/officeDocument/2006/relationships/hyperlink" Target="https://arcprize.org/play?task=29ec7d0e" TargetMode="External"/><Relationship Id="rId322" Type="http://schemas.openxmlformats.org/officeDocument/2006/relationships/hyperlink" Target="https://arcprize.org/play?task=f5b8619d" TargetMode="External"/><Relationship Id="rId321" Type="http://schemas.openxmlformats.org/officeDocument/2006/relationships/hyperlink" Target="https://arcprize.org/play?task=2281f1f4" TargetMode="External"/><Relationship Id="rId320" Type="http://schemas.openxmlformats.org/officeDocument/2006/relationships/hyperlink" Target="https://arcprize.org/play?task=ce4f8723" TargetMode="External"/><Relationship Id="rId316" Type="http://schemas.openxmlformats.org/officeDocument/2006/relationships/hyperlink" Target="https://arcprize.org/play?task=6430c8c4" TargetMode="External"/><Relationship Id="rId315" Type="http://schemas.openxmlformats.org/officeDocument/2006/relationships/hyperlink" Target="https://arcprize.org/play?task=94f9d214" TargetMode="External"/><Relationship Id="rId314" Type="http://schemas.openxmlformats.org/officeDocument/2006/relationships/hyperlink" Target="https://arcprize.org/play?task=7468f01a" TargetMode="External"/><Relationship Id="rId313" Type="http://schemas.openxmlformats.org/officeDocument/2006/relationships/hyperlink" Target="https://arcprize.org/play?task=1b2d62fb" TargetMode="External"/><Relationship Id="rId319" Type="http://schemas.openxmlformats.org/officeDocument/2006/relationships/hyperlink" Target="https://arcprize.org/play?task=99b1bc43" TargetMode="External"/><Relationship Id="rId318" Type="http://schemas.openxmlformats.org/officeDocument/2006/relationships/hyperlink" Target="https://arcprize.org/play?task=3428a4f5" TargetMode="External"/><Relationship Id="rId317" Type="http://schemas.openxmlformats.org/officeDocument/2006/relationships/hyperlink" Target="https://arcprize.org/play?task=fafffa47" TargetMode="External"/><Relationship Id="rId312" Type="http://schemas.openxmlformats.org/officeDocument/2006/relationships/hyperlink" Target="https://arcprize.org/play?task=3bdb4ada" TargetMode="External"/><Relationship Id="rId311" Type="http://schemas.openxmlformats.org/officeDocument/2006/relationships/hyperlink" Target="https://arcprize.org/play?task=0520fde7" TargetMode="External"/><Relationship Id="rId310" Type="http://schemas.openxmlformats.org/officeDocument/2006/relationships/hyperlink" Target="https://arcprize.org/play?task=1cf80156" TargetMode="External"/><Relationship Id="rId297" Type="http://schemas.openxmlformats.org/officeDocument/2006/relationships/hyperlink" Target="https://arcprize.org/play?task=3631a71a" TargetMode="External"/><Relationship Id="rId296" Type="http://schemas.openxmlformats.org/officeDocument/2006/relationships/hyperlink" Target="https://arcprize.org/play?task=1f85a75f" TargetMode="External"/><Relationship Id="rId295" Type="http://schemas.openxmlformats.org/officeDocument/2006/relationships/hyperlink" Target="https://arcprize.org/play?task=539a4f51" TargetMode="External"/><Relationship Id="rId294" Type="http://schemas.openxmlformats.org/officeDocument/2006/relationships/hyperlink" Target="https://arcprize.org/play?task=99fa7670" TargetMode="External"/><Relationship Id="rId299" Type="http://schemas.openxmlformats.org/officeDocument/2006/relationships/hyperlink" Target="https://arcprize.org/play?task=ef135b50" TargetMode="External"/><Relationship Id="rId298" Type="http://schemas.openxmlformats.org/officeDocument/2006/relationships/hyperlink" Target="https://arcprize.org/play?task=834ec97d" TargetMode="External"/><Relationship Id="rId271" Type="http://schemas.openxmlformats.org/officeDocument/2006/relationships/hyperlink" Target="https://arcprize.org/play?task=623ea044" TargetMode="External"/><Relationship Id="rId270" Type="http://schemas.openxmlformats.org/officeDocument/2006/relationships/hyperlink" Target="https://arcprize.org/play?task=780d0b14" TargetMode="External"/><Relationship Id="rId269" Type="http://schemas.openxmlformats.org/officeDocument/2006/relationships/hyperlink" Target="https://arcprize.org/play?task=4938f0c2" TargetMode="External"/><Relationship Id="rId264" Type="http://schemas.openxmlformats.org/officeDocument/2006/relationships/hyperlink" Target="https://arcprize.org/play?task=dc433765" TargetMode="External"/><Relationship Id="rId263" Type="http://schemas.openxmlformats.org/officeDocument/2006/relationships/hyperlink" Target="https://arcprize.org/play?task=a740d043" TargetMode="External"/><Relationship Id="rId262" Type="http://schemas.openxmlformats.org/officeDocument/2006/relationships/hyperlink" Target="https://arcprize.org/play?task=d364b489" TargetMode="External"/><Relationship Id="rId261" Type="http://schemas.openxmlformats.org/officeDocument/2006/relationships/hyperlink" Target="https://arcprize.org/play?task=1f642eb9" TargetMode="External"/><Relationship Id="rId268" Type="http://schemas.openxmlformats.org/officeDocument/2006/relationships/hyperlink" Target="https://arcprize.org/play?task=c0f76784" TargetMode="External"/><Relationship Id="rId267" Type="http://schemas.openxmlformats.org/officeDocument/2006/relationships/hyperlink" Target="https://arcprize.org/play?task=ae4f1146" TargetMode="External"/><Relationship Id="rId266" Type="http://schemas.openxmlformats.org/officeDocument/2006/relationships/hyperlink" Target="https://arcprize.org/play?task=91413438" TargetMode="External"/><Relationship Id="rId265" Type="http://schemas.openxmlformats.org/officeDocument/2006/relationships/hyperlink" Target="https://arcprize.org/play?task=40853293" TargetMode="External"/><Relationship Id="rId260" Type="http://schemas.openxmlformats.org/officeDocument/2006/relationships/hyperlink" Target="https://arcprize.org/play?task=feca6190" TargetMode="External"/><Relationship Id="rId259" Type="http://schemas.openxmlformats.org/officeDocument/2006/relationships/hyperlink" Target="https://arcprize.org/play?task=4258a5f9" TargetMode="External"/><Relationship Id="rId258" Type="http://schemas.openxmlformats.org/officeDocument/2006/relationships/hyperlink" Target="https://arcprize.org/play?task=e48d4e1a" TargetMode="External"/><Relationship Id="rId253" Type="http://schemas.openxmlformats.org/officeDocument/2006/relationships/hyperlink" Target="https://arcprize.org/play?task=82819916" TargetMode="External"/><Relationship Id="rId252" Type="http://schemas.openxmlformats.org/officeDocument/2006/relationships/hyperlink" Target="https://arcprize.org/play?task=4be741c5" TargetMode="External"/><Relationship Id="rId251" Type="http://schemas.openxmlformats.org/officeDocument/2006/relationships/hyperlink" Target="https://arcprize.org/play?task=1190e5a7" TargetMode="External"/><Relationship Id="rId250" Type="http://schemas.openxmlformats.org/officeDocument/2006/relationships/hyperlink" Target="https://arcprize.org/play?task=28bf18c6" TargetMode="External"/><Relationship Id="rId257" Type="http://schemas.openxmlformats.org/officeDocument/2006/relationships/hyperlink" Target="https://arcprize.org/play?task=05269061" TargetMode="External"/><Relationship Id="rId256" Type="http://schemas.openxmlformats.org/officeDocument/2006/relationships/hyperlink" Target="https://arcprize.org/play?task=995c5fa3" TargetMode="External"/><Relationship Id="rId255" Type="http://schemas.openxmlformats.org/officeDocument/2006/relationships/hyperlink" Target="https://arcprize.org/play?task=6d75e8bb" TargetMode="External"/><Relationship Id="rId254" Type="http://schemas.openxmlformats.org/officeDocument/2006/relationships/hyperlink" Target="https://arcprize.org/play?task=7b7f7511" TargetMode="External"/><Relationship Id="rId293" Type="http://schemas.openxmlformats.org/officeDocument/2006/relationships/hyperlink" Target="https://arcprize.org/play?task=c444b776" TargetMode="External"/><Relationship Id="rId292" Type="http://schemas.openxmlformats.org/officeDocument/2006/relationships/hyperlink" Target="https://arcprize.org/play?task=1bfc4729" TargetMode="External"/><Relationship Id="rId291" Type="http://schemas.openxmlformats.org/officeDocument/2006/relationships/hyperlink" Target="https://arcprize.org/play?task=3f7978a0" TargetMode="External"/><Relationship Id="rId290" Type="http://schemas.openxmlformats.org/officeDocument/2006/relationships/hyperlink" Target="https://arcprize.org/play?task=d406998b" TargetMode="External"/><Relationship Id="rId286" Type="http://schemas.openxmlformats.org/officeDocument/2006/relationships/hyperlink" Target="https://arcprize.org/play?task=f2829549" TargetMode="External"/><Relationship Id="rId285" Type="http://schemas.openxmlformats.org/officeDocument/2006/relationships/hyperlink" Target="https://arcprize.org/play?task=e98196ab" TargetMode="External"/><Relationship Id="rId284" Type="http://schemas.openxmlformats.org/officeDocument/2006/relationships/hyperlink" Target="https://arcprize.org/play?task=9172f3a0" TargetMode="External"/><Relationship Id="rId283" Type="http://schemas.openxmlformats.org/officeDocument/2006/relationships/hyperlink" Target="https://arcprize.org/play?task=d511f180" TargetMode="External"/><Relationship Id="rId289" Type="http://schemas.openxmlformats.org/officeDocument/2006/relationships/hyperlink" Target="https://arcprize.org/play?task=007bbfb7" TargetMode="External"/><Relationship Id="rId288" Type="http://schemas.openxmlformats.org/officeDocument/2006/relationships/hyperlink" Target="https://arcprize.org/play?task=90c28cc7" TargetMode="External"/><Relationship Id="rId287" Type="http://schemas.openxmlformats.org/officeDocument/2006/relationships/hyperlink" Target="https://arcprize.org/play?task=cf98881b" TargetMode="External"/><Relationship Id="rId282" Type="http://schemas.openxmlformats.org/officeDocument/2006/relationships/hyperlink" Target="https://arcprize.org/play?task=8eb1be9a" TargetMode="External"/><Relationship Id="rId281" Type="http://schemas.openxmlformats.org/officeDocument/2006/relationships/hyperlink" Target="https://arcprize.org/play?task=6d0160f0" TargetMode="External"/><Relationship Id="rId280" Type="http://schemas.openxmlformats.org/officeDocument/2006/relationships/hyperlink" Target="https://arcprize.org/play?task=93b581b8" TargetMode="External"/><Relationship Id="rId275" Type="http://schemas.openxmlformats.org/officeDocument/2006/relationships/hyperlink" Target="https://arcprize.org/play?task=5daaa586" TargetMode="External"/><Relationship Id="rId274" Type="http://schemas.openxmlformats.org/officeDocument/2006/relationships/hyperlink" Target="https://arcprize.org/play?task=9af7a82c" TargetMode="External"/><Relationship Id="rId273" Type="http://schemas.openxmlformats.org/officeDocument/2006/relationships/hyperlink" Target="https://arcprize.org/play?task=f8a8fe49" TargetMode="External"/><Relationship Id="rId272" Type="http://schemas.openxmlformats.org/officeDocument/2006/relationships/hyperlink" Target="https://arcprize.org/play?task=1caeab9d" TargetMode="External"/><Relationship Id="rId279" Type="http://schemas.openxmlformats.org/officeDocument/2006/relationships/hyperlink" Target="https://arcprize.org/play?task=952a094c" TargetMode="External"/><Relationship Id="rId278" Type="http://schemas.openxmlformats.org/officeDocument/2006/relationships/hyperlink" Target="https://arcprize.org/play?task=e50d258f" TargetMode="External"/><Relationship Id="rId277" Type="http://schemas.openxmlformats.org/officeDocument/2006/relationships/hyperlink" Target="https://arcprize.org/play?task=6e19193c" TargetMode="External"/><Relationship Id="rId276" Type="http://schemas.openxmlformats.org/officeDocument/2006/relationships/hyperlink" Target="https://arcprize.org/play?task=b2862040" TargetMode="External"/><Relationship Id="rId228" Type="http://schemas.openxmlformats.org/officeDocument/2006/relationships/hyperlink" Target="https://arcprize.org/play?task=f1cefba8" TargetMode="External"/><Relationship Id="rId227" Type="http://schemas.openxmlformats.org/officeDocument/2006/relationships/hyperlink" Target="https://arcprize.org/play?task=681b3aeb" TargetMode="External"/><Relationship Id="rId226" Type="http://schemas.openxmlformats.org/officeDocument/2006/relationships/hyperlink" Target="https://arcprize.org/play?task=d687bc17" TargetMode="External"/><Relationship Id="rId225" Type="http://schemas.openxmlformats.org/officeDocument/2006/relationships/hyperlink" Target="https://arcprize.org/play?task=d89b689b" TargetMode="External"/><Relationship Id="rId229" Type="http://schemas.openxmlformats.org/officeDocument/2006/relationships/hyperlink" Target="https://arcprize.org/play?task=e509e548" TargetMode="External"/><Relationship Id="rId220" Type="http://schemas.openxmlformats.org/officeDocument/2006/relationships/hyperlink" Target="https://arcprize.org/play?task=a2fd1cf0" TargetMode="External"/><Relationship Id="rId224" Type="http://schemas.openxmlformats.org/officeDocument/2006/relationships/hyperlink" Target="https://arcprize.org/play?task=98cf29f8" TargetMode="External"/><Relationship Id="rId223" Type="http://schemas.openxmlformats.org/officeDocument/2006/relationships/hyperlink" Target="https://arcprize.org/play?task=d4a91cb9" TargetMode="External"/><Relationship Id="rId222" Type="http://schemas.openxmlformats.org/officeDocument/2006/relationships/hyperlink" Target="https://arcprize.org/play?task=810b9b61" TargetMode="External"/><Relationship Id="rId221" Type="http://schemas.openxmlformats.org/officeDocument/2006/relationships/hyperlink" Target="https://arcprize.org/play?task=b782dc8a" TargetMode="External"/><Relationship Id="rId217" Type="http://schemas.openxmlformats.org/officeDocument/2006/relationships/hyperlink" Target="https://arcprize.org/play?task=6cf79266" TargetMode="External"/><Relationship Id="rId216" Type="http://schemas.openxmlformats.org/officeDocument/2006/relationships/hyperlink" Target="https://arcprize.org/play?task=41e4d17e" TargetMode="External"/><Relationship Id="rId215" Type="http://schemas.openxmlformats.org/officeDocument/2006/relationships/hyperlink" Target="https://arcprize.org/play?task=53b68214" TargetMode="External"/><Relationship Id="rId214" Type="http://schemas.openxmlformats.org/officeDocument/2006/relationships/hyperlink" Target="https://arcprize.org/play?task=137eaa0f" TargetMode="External"/><Relationship Id="rId219" Type="http://schemas.openxmlformats.org/officeDocument/2006/relationships/hyperlink" Target="https://arcprize.org/play?task=7ddcd7ec" TargetMode="External"/><Relationship Id="rId218" Type="http://schemas.openxmlformats.org/officeDocument/2006/relationships/hyperlink" Target="https://arcprize.org/play?task=10fcaaa3" TargetMode="External"/><Relationship Id="rId213" Type="http://schemas.openxmlformats.org/officeDocument/2006/relationships/hyperlink" Target="https://arcprize.org/play?task=e21d9049" TargetMode="External"/><Relationship Id="rId212" Type="http://schemas.openxmlformats.org/officeDocument/2006/relationships/hyperlink" Target="https://arcprize.org/play?task=d9f24cd1" TargetMode="External"/><Relationship Id="rId211" Type="http://schemas.openxmlformats.org/officeDocument/2006/relationships/hyperlink" Target="https://arcprize.org/play?task=8e1813be" TargetMode="External"/><Relationship Id="rId210" Type="http://schemas.openxmlformats.org/officeDocument/2006/relationships/hyperlink" Target="https://arcprize.org/play?task=445eab21" TargetMode="External"/><Relationship Id="rId249" Type="http://schemas.openxmlformats.org/officeDocument/2006/relationships/hyperlink" Target="https://arcprize.org/play?task=c59eb873" TargetMode="External"/><Relationship Id="rId248" Type="http://schemas.openxmlformats.org/officeDocument/2006/relationships/hyperlink" Target="https://arcprize.org/play?task=46f33fce" TargetMode="External"/><Relationship Id="rId247" Type="http://schemas.openxmlformats.org/officeDocument/2006/relationships/hyperlink" Target="https://arcprize.org/play?task=d037b0a7" TargetMode="External"/><Relationship Id="rId242" Type="http://schemas.openxmlformats.org/officeDocument/2006/relationships/hyperlink" Target="https://arcprize.org/play?task=ae3edfdc" TargetMode="External"/><Relationship Id="rId241" Type="http://schemas.openxmlformats.org/officeDocument/2006/relationships/hyperlink" Target="https://arcprize.org/play?task=a1570a43" TargetMode="External"/><Relationship Id="rId240" Type="http://schemas.openxmlformats.org/officeDocument/2006/relationships/hyperlink" Target="https://arcprize.org/play?task=ddf7fa4f" TargetMode="External"/><Relationship Id="rId246" Type="http://schemas.openxmlformats.org/officeDocument/2006/relationships/hyperlink" Target="https://arcprize.org/play?task=ce22a75a" TargetMode="External"/><Relationship Id="rId245" Type="http://schemas.openxmlformats.org/officeDocument/2006/relationships/hyperlink" Target="https://arcprize.org/play?task=4290ef0e" TargetMode="External"/><Relationship Id="rId244" Type="http://schemas.openxmlformats.org/officeDocument/2006/relationships/hyperlink" Target="https://arcprize.org/play?task=90f3ed37" TargetMode="External"/><Relationship Id="rId243" Type="http://schemas.openxmlformats.org/officeDocument/2006/relationships/hyperlink" Target="https://arcprize.org/play?task=e73095fd" TargetMode="External"/><Relationship Id="rId239" Type="http://schemas.openxmlformats.org/officeDocument/2006/relationships/hyperlink" Target="https://arcprize.org/play?task=5117e062" TargetMode="External"/><Relationship Id="rId238" Type="http://schemas.openxmlformats.org/officeDocument/2006/relationships/hyperlink" Target="https://arcprize.org/play?task=05f2a901" TargetMode="External"/><Relationship Id="rId237" Type="http://schemas.openxmlformats.org/officeDocument/2006/relationships/hyperlink" Target="https://arcprize.org/play?task=88a62173" TargetMode="External"/><Relationship Id="rId236" Type="http://schemas.openxmlformats.org/officeDocument/2006/relationships/hyperlink" Target="https://arcprize.org/play?task=6aa20dc0" TargetMode="External"/><Relationship Id="rId231" Type="http://schemas.openxmlformats.org/officeDocument/2006/relationships/hyperlink" Target="https://arcprize.org/play?task=e40b9e2f" TargetMode="External"/><Relationship Id="rId230" Type="http://schemas.openxmlformats.org/officeDocument/2006/relationships/hyperlink" Target="https://arcprize.org/play?task=88a10436" TargetMode="External"/><Relationship Id="rId235" Type="http://schemas.openxmlformats.org/officeDocument/2006/relationships/hyperlink" Target="https://arcprize.org/play?task=6a1e5592" TargetMode="External"/><Relationship Id="rId234" Type="http://schemas.openxmlformats.org/officeDocument/2006/relationships/hyperlink" Target="https://arcprize.org/play?task=3e980e27" TargetMode="External"/><Relationship Id="rId233" Type="http://schemas.openxmlformats.org/officeDocument/2006/relationships/hyperlink" Target="https://arcprize.org/play?task=39e1d7f9" TargetMode="External"/><Relationship Id="rId232" Type="http://schemas.openxmlformats.org/officeDocument/2006/relationships/hyperlink" Target="https://arcprize.org/play?task=846bdb03" TargetMode="External"/><Relationship Id="rId206" Type="http://schemas.openxmlformats.org/officeDocument/2006/relationships/hyperlink" Target="https://arcprize.org/play?task=6cdd2623" TargetMode="External"/><Relationship Id="rId205" Type="http://schemas.openxmlformats.org/officeDocument/2006/relationships/hyperlink" Target="https://arcprize.org/play?task=73251a56" TargetMode="External"/><Relationship Id="rId204" Type="http://schemas.openxmlformats.org/officeDocument/2006/relationships/hyperlink" Target="https://arcprize.org/play?task=6773b310" TargetMode="External"/><Relationship Id="rId203" Type="http://schemas.openxmlformats.org/officeDocument/2006/relationships/hyperlink" Target="https://arcprize.org/play?task=2bee17df" TargetMode="External"/><Relationship Id="rId209" Type="http://schemas.openxmlformats.org/officeDocument/2006/relationships/hyperlink" Target="https://arcprize.org/play?task=28e73c20" TargetMode="External"/><Relationship Id="rId208" Type="http://schemas.openxmlformats.org/officeDocument/2006/relationships/hyperlink" Target="https://arcprize.org/play?task=484b58aa" TargetMode="External"/><Relationship Id="rId207" Type="http://schemas.openxmlformats.org/officeDocument/2006/relationships/hyperlink" Target="https://arcprize.org/play?task=253bf280" TargetMode="External"/><Relationship Id="rId202" Type="http://schemas.openxmlformats.org/officeDocument/2006/relationships/hyperlink" Target="https://arcprize.org/play?task=025d127b" TargetMode="External"/><Relationship Id="rId201" Type="http://schemas.openxmlformats.org/officeDocument/2006/relationships/hyperlink" Target="https://arcprize.org/play?task=6e02f1e3" TargetMode="External"/><Relationship Id="rId200" Type="http://schemas.openxmlformats.org/officeDocument/2006/relationships/hyperlink" Target="https://arcprize.org/play?task=5168d44c" TargetMode="External"/><Relationship Id="rId190" Type="http://schemas.openxmlformats.org/officeDocument/2006/relationships/hyperlink" Target="https://arcprize.org/play?task=f25fbde4" TargetMode="External"/><Relationship Id="rId194" Type="http://schemas.openxmlformats.org/officeDocument/2006/relationships/hyperlink" Target="https://arcprize.org/play?task=ce9e57f2" TargetMode="External"/><Relationship Id="rId193" Type="http://schemas.openxmlformats.org/officeDocument/2006/relationships/hyperlink" Target="https://arcprize.org/play?task=d8c310e9" TargetMode="External"/><Relationship Id="rId192" Type="http://schemas.openxmlformats.org/officeDocument/2006/relationships/hyperlink" Target="https://arcprize.org/play?task=ff28f65a" TargetMode="External"/><Relationship Id="rId191" Type="http://schemas.openxmlformats.org/officeDocument/2006/relationships/hyperlink" Target="https://arcprize.org/play?task=c1d99e64" TargetMode="External"/><Relationship Id="rId187" Type="http://schemas.openxmlformats.org/officeDocument/2006/relationships/hyperlink" Target="https://arcprize.org/play?task=ba97ae07" TargetMode="External"/><Relationship Id="rId186" Type="http://schemas.openxmlformats.org/officeDocument/2006/relationships/hyperlink" Target="https://arcprize.org/play?task=3906de3d" TargetMode="External"/><Relationship Id="rId185" Type="http://schemas.openxmlformats.org/officeDocument/2006/relationships/hyperlink" Target="https://arcprize.org/play?task=97999447" TargetMode="External"/><Relationship Id="rId184" Type="http://schemas.openxmlformats.org/officeDocument/2006/relationships/hyperlink" Target="https://arcprize.org/play?task=c3f564a4" TargetMode="External"/><Relationship Id="rId189" Type="http://schemas.openxmlformats.org/officeDocument/2006/relationships/hyperlink" Target="https://arcprize.org/play?task=caa06a1f" TargetMode="External"/><Relationship Id="rId188" Type="http://schemas.openxmlformats.org/officeDocument/2006/relationships/hyperlink" Target="https://arcprize.org/play?task=8e5a5113" TargetMode="External"/><Relationship Id="rId183" Type="http://schemas.openxmlformats.org/officeDocument/2006/relationships/hyperlink" Target="https://arcprize.org/play?task=bda2d7a6" TargetMode="External"/><Relationship Id="rId182" Type="http://schemas.openxmlformats.org/officeDocument/2006/relationships/hyperlink" Target="https://arcprize.org/play?task=ba26e723" TargetMode="External"/><Relationship Id="rId181" Type="http://schemas.openxmlformats.org/officeDocument/2006/relationships/hyperlink" Target="https://arcprize.org/play?task=963e52fc" TargetMode="External"/><Relationship Id="rId180" Type="http://schemas.openxmlformats.org/officeDocument/2006/relationships/hyperlink" Target="https://arcprize.org/play?task=67e8384a" TargetMode="External"/><Relationship Id="rId176" Type="http://schemas.openxmlformats.org/officeDocument/2006/relationships/hyperlink" Target="https://arcprize.org/play?task=234bbc79" TargetMode="External"/><Relationship Id="rId175" Type="http://schemas.openxmlformats.org/officeDocument/2006/relationships/hyperlink" Target="https://arcprize.org/play?task=d22278a0" TargetMode="External"/><Relationship Id="rId174" Type="http://schemas.openxmlformats.org/officeDocument/2006/relationships/hyperlink" Target="https://arcprize.org/play?task=b230c067" TargetMode="External"/><Relationship Id="rId173" Type="http://schemas.openxmlformats.org/officeDocument/2006/relationships/hyperlink" Target="https://arcprize.org/play?task=29623171" TargetMode="External"/><Relationship Id="rId179" Type="http://schemas.openxmlformats.org/officeDocument/2006/relationships/hyperlink" Target="https://arcprize.org/play?task=27a28665" TargetMode="External"/><Relationship Id="rId178" Type="http://schemas.openxmlformats.org/officeDocument/2006/relationships/hyperlink" Target="https://arcprize.org/play?task=b1948b0a" TargetMode="External"/><Relationship Id="rId177" Type="http://schemas.openxmlformats.org/officeDocument/2006/relationships/hyperlink" Target="https://arcprize.org/play?task=57aa92db" TargetMode="External"/><Relationship Id="rId198" Type="http://schemas.openxmlformats.org/officeDocument/2006/relationships/hyperlink" Target="https://arcprize.org/play?task=ff805c23" TargetMode="External"/><Relationship Id="rId197" Type="http://schemas.openxmlformats.org/officeDocument/2006/relationships/hyperlink" Target="https://arcprize.org/play?task=dc0a314f" TargetMode="External"/><Relationship Id="rId196" Type="http://schemas.openxmlformats.org/officeDocument/2006/relationships/hyperlink" Target="https://arcprize.org/play?task=08ed6ac7" TargetMode="External"/><Relationship Id="rId195" Type="http://schemas.openxmlformats.org/officeDocument/2006/relationships/hyperlink" Target="https://arcprize.org/play?task=d4469b4b" TargetMode="External"/><Relationship Id="rId199" Type="http://schemas.openxmlformats.org/officeDocument/2006/relationships/hyperlink" Target="https://arcprize.org/play?task=a3df8b1e" TargetMode="External"/><Relationship Id="rId150" Type="http://schemas.openxmlformats.org/officeDocument/2006/relationships/hyperlink" Target="https://arcprize.org/play?task=cbded52d" TargetMode="External"/><Relationship Id="rId149" Type="http://schemas.openxmlformats.org/officeDocument/2006/relationships/hyperlink" Target="https://arcprize.org/play?task=2dc579da" TargetMode="External"/><Relationship Id="rId148" Type="http://schemas.openxmlformats.org/officeDocument/2006/relationships/hyperlink" Target="https://arcprize.org/play?task=3aa6fb7a" TargetMode="External"/><Relationship Id="rId143" Type="http://schemas.openxmlformats.org/officeDocument/2006/relationships/hyperlink" Target="https://arcprize.org/play?task=b94a9452" TargetMode="External"/><Relationship Id="rId142" Type="http://schemas.openxmlformats.org/officeDocument/2006/relationships/hyperlink" Target="https://arcprize.org/play?task=b0c4d837" TargetMode="External"/><Relationship Id="rId141" Type="http://schemas.openxmlformats.org/officeDocument/2006/relationships/hyperlink" Target="https://arcprize.org/play?task=d5d6de2d" TargetMode="External"/><Relationship Id="rId140" Type="http://schemas.openxmlformats.org/officeDocument/2006/relationships/hyperlink" Target="https://arcprize.org/play?task=9f236235" TargetMode="External"/><Relationship Id="rId147" Type="http://schemas.openxmlformats.org/officeDocument/2006/relationships/hyperlink" Target="https://arcprize.org/play?task=32597951" TargetMode="External"/><Relationship Id="rId146" Type="http://schemas.openxmlformats.org/officeDocument/2006/relationships/hyperlink" Target="https://arcprize.org/play?task=272f95fa" TargetMode="External"/><Relationship Id="rId145" Type="http://schemas.openxmlformats.org/officeDocument/2006/relationships/hyperlink" Target="https://arcprize.org/play?task=b60334d2" TargetMode="External"/><Relationship Id="rId144" Type="http://schemas.openxmlformats.org/officeDocument/2006/relationships/hyperlink" Target="https://arcprize.org/play?task=1e32b0e9" TargetMode="External"/><Relationship Id="rId139" Type="http://schemas.openxmlformats.org/officeDocument/2006/relationships/hyperlink" Target="https://arcprize.org/play?task=b9b7f026" TargetMode="External"/><Relationship Id="rId138" Type="http://schemas.openxmlformats.org/officeDocument/2006/relationships/hyperlink" Target="https://arcprize.org/play?task=5521c0d9" TargetMode="External"/><Relationship Id="rId137" Type="http://schemas.openxmlformats.org/officeDocument/2006/relationships/hyperlink" Target="https://arcprize.org/play?task=54d9e175" TargetMode="External"/><Relationship Id="rId132" Type="http://schemas.openxmlformats.org/officeDocument/2006/relationships/hyperlink" Target="https://arcprize.org/play?task=2dd70a9a" TargetMode="External"/><Relationship Id="rId131" Type="http://schemas.openxmlformats.org/officeDocument/2006/relationships/hyperlink" Target="https://arcprize.org/play?task=72322fa7" TargetMode="External"/><Relationship Id="rId130" Type="http://schemas.openxmlformats.org/officeDocument/2006/relationships/hyperlink" Target="https://arcprize.org/play?task=c8cbb738" TargetMode="External"/><Relationship Id="rId136" Type="http://schemas.openxmlformats.org/officeDocument/2006/relationships/hyperlink" Target="https://arcprize.org/play?task=b8825c91" TargetMode="External"/><Relationship Id="rId135" Type="http://schemas.openxmlformats.org/officeDocument/2006/relationships/hyperlink" Target="https://arcprize.org/play?task=a5f85a15" TargetMode="External"/><Relationship Id="rId134" Type="http://schemas.openxmlformats.org/officeDocument/2006/relationships/hyperlink" Target="https://arcprize.org/play?task=c8f0f002" TargetMode="External"/><Relationship Id="rId133" Type="http://schemas.openxmlformats.org/officeDocument/2006/relationships/hyperlink" Target="https://arcprize.org/play?task=8a004b2b" TargetMode="External"/><Relationship Id="rId172" Type="http://schemas.openxmlformats.org/officeDocument/2006/relationships/hyperlink" Target="https://arcprize.org/play?task=5c2c9af4" TargetMode="External"/><Relationship Id="rId171" Type="http://schemas.openxmlformats.org/officeDocument/2006/relationships/hyperlink" Target="https://arcprize.org/play?task=ecdecbb3" TargetMode="External"/><Relationship Id="rId170" Type="http://schemas.openxmlformats.org/officeDocument/2006/relationships/hyperlink" Target="https://arcprize.org/play?task=8731374e" TargetMode="External"/><Relationship Id="rId165" Type="http://schemas.openxmlformats.org/officeDocument/2006/relationships/hyperlink" Target="https://arcprize.org/play?task=2bcee788" TargetMode="External"/><Relationship Id="rId164" Type="http://schemas.openxmlformats.org/officeDocument/2006/relationships/hyperlink" Target="https://arcprize.org/play?task=941d9a10" TargetMode="External"/><Relationship Id="rId163" Type="http://schemas.openxmlformats.org/officeDocument/2006/relationships/hyperlink" Target="https://arcprize.org/play?task=8efcae92" TargetMode="External"/><Relationship Id="rId162" Type="http://schemas.openxmlformats.org/officeDocument/2006/relationships/hyperlink" Target="https://arcprize.org/play?task=25d487eb" TargetMode="External"/><Relationship Id="rId169" Type="http://schemas.openxmlformats.org/officeDocument/2006/relationships/hyperlink" Target="https://arcprize.org/play?task=22233c11" TargetMode="External"/><Relationship Id="rId168" Type="http://schemas.openxmlformats.org/officeDocument/2006/relationships/hyperlink" Target="https://arcprize.org/play?task=a78176bb" TargetMode="External"/><Relationship Id="rId167" Type="http://schemas.openxmlformats.org/officeDocument/2006/relationships/hyperlink" Target="https://arcprize.org/play?task=4612dd53" TargetMode="External"/><Relationship Id="rId166" Type="http://schemas.openxmlformats.org/officeDocument/2006/relationships/hyperlink" Target="https://arcprize.org/play?task=44d8ac46" TargetMode="External"/><Relationship Id="rId161" Type="http://schemas.openxmlformats.org/officeDocument/2006/relationships/hyperlink" Target="https://arcprize.org/play?task=6e82a1ae" TargetMode="External"/><Relationship Id="rId160" Type="http://schemas.openxmlformats.org/officeDocument/2006/relationships/hyperlink" Target="https://arcprize.org/play?task=39a8645d" TargetMode="External"/><Relationship Id="rId159" Type="http://schemas.openxmlformats.org/officeDocument/2006/relationships/hyperlink" Target="https://arcprize.org/play?task=6b9890af" TargetMode="External"/><Relationship Id="rId154" Type="http://schemas.openxmlformats.org/officeDocument/2006/relationships/hyperlink" Target="https://arcprize.org/play?task=dbc1a6ce" TargetMode="External"/><Relationship Id="rId153" Type="http://schemas.openxmlformats.org/officeDocument/2006/relationships/hyperlink" Target="https://arcprize.org/play?task=72ca375d" TargetMode="External"/><Relationship Id="rId152" Type="http://schemas.openxmlformats.org/officeDocument/2006/relationships/hyperlink" Target="https://arcprize.org/play?task=d4f3cd78" TargetMode="External"/><Relationship Id="rId151" Type="http://schemas.openxmlformats.org/officeDocument/2006/relationships/hyperlink" Target="https://arcprize.org/play?task=00d62c1b" TargetMode="External"/><Relationship Id="rId158" Type="http://schemas.openxmlformats.org/officeDocument/2006/relationships/hyperlink" Target="https://arcprize.org/play?task=67a423a3" TargetMode="External"/><Relationship Id="rId157" Type="http://schemas.openxmlformats.org/officeDocument/2006/relationships/hyperlink" Target="https://arcprize.org/play?task=6855a6e4" TargetMode="External"/><Relationship Id="rId156" Type="http://schemas.openxmlformats.org/officeDocument/2006/relationships/hyperlink" Target="https://arcprize.org/play?task=a48eeaf7" TargetMode="External"/><Relationship Id="rId155" Type="http://schemas.openxmlformats.org/officeDocument/2006/relationships/hyperlink" Target="https://arcprize.org/play?task=a65b410d" TargetMode="External"/><Relationship Id="rId107" Type="http://schemas.openxmlformats.org/officeDocument/2006/relationships/hyperlink" Target="https://arcprize.org/play?task=264363fd" TargetMode="External"/><Relationship Id="rId106" Type="http://schemas.openxmlformats.org/officeDocument/2006/relationships/hyperlink" Target="https://arcprize.org/play?task=d07ae81c" TargetMode="External"/><Relationship Id="rId105" Type="http://schemas.openxmlformats.org/officeDocument/2006/relationships/hyperlink" Target="https://arcprize.org/play?task=a8c38be5" TargetMode="External"/><Relationship Id="rId104" Type="http://schemas.openxmlformats.org/officeDocument/2006/relationships/hyperlink" Target="https://arcprize.org/play?task=b190f7f5" TargetMode="External"/><Relationship Id="rId109" Type="http://schemas.openxmlformats.org/officeDocument/2006/relationships/hyperlink" Target="https://arcprize.org/play?task=7447852a" TargetMode="External"/><Relationship Id="rId108" Type="http://schemas.openxmlformats.org/officeDocument/2006/relationships/hyperlink" Target="https://arcprize.org/play?task=d9fac9be" TargetMode="External"/><Relationship Id="rId103" Type="http://schemas.openxmlformats.org/officeDocument/2006/relationships/hyperlink" Target="https://arcprize.org/play?task=0962bcdd" TargetMode="External"/><Relationship Id="rId102" Type="http://schemas.openxmlformats.org/officeDocument/2006/relationships/hyperlink" Target="https://arcprize.org/play?task=d2abd087" TargetMode="External"/><Relationship Id="rId101" Type="http://schemas.openxmlformats.org/officeDocument/2006/relationships/hyperlink" Target="https://arcprize.org/play?task=d06dbe63" TargetMode="External"/><Relationship Id="rId100" Type="http://schemas.openxmlformats.org/officeDocument/2006/relationships/hyperlink" Target="https://arcprize.org/play?task=6c434453" TargetMode="External"/><Relationship Id="rId129" Type="http://schemas.openxmlformats.org/officeDocument/2006/relationships/hyperlink" Target="https://arcprize.org/play?task=6ecd11f4" TargetMode="External"/><Relationship Id="rId128" Type="http://schemas.openxmlformats.org/officeDocument/2006/relationships/hyperlink" Target="https://arcprize.org/play?task=3befdf3e" TargetMode="External"/><Relationship Id="rId127" Type="http://schemas.openxmlformats.org/officeDocument/2006/relationships/hyperlink" Target="https://arcprize.org/play?task=63613498" TargetMode="External"/><Relationship Id="rId126" Type="http://schemas.openxmlformats.org/officeDocument/2006/relationships/hyperlink" Target="https://arcprize.org/play?task=fcc82909" TargetMode="External"/><Relationship Id="rId121" Type="http://schemas.openxmlformats.org/officeDocument/2006/relationships/hyperlink" Target="https://arcprize.org/play?task=1f876c06" TargetMode="External"/><Relationship Id="rId120" Type="http://schemas.openxmlformats.org/officeDocument/2006/relationships/hyperlink" Target="https://arcprize.org/play?task=de1cd16c" TargetMode="External"/><Relationship Id="rId125" Type="http://schemas.openxmlformats.org/officeDocument/2006/relationships/hyperlink" Target="https://arcprize.org/play?task=83302e8f" TargetMode="External"/><Relationship Id="rId124" Type="http://schemas.openxmlformats.org/officeDocument/2006/relationships/hyperlink" Target="https://arcprize.org/play?task=7837ac64" TargetMode="External"/><Relationship Id="rId123" Type="http://schemas.openxmlformats.org/officeDocument/2006/relationships/hyperlink" Target="https://arcprize.org/play?task=a8d7556c" TargetMode="External"/><Relationship Id="rId122" Type="http://schemas.openxmlformats.org/officeDocument/2006/relationships/hyperlink" Target="https://arcprize.org/play?task=ea32f347" TargetMode="External"/><Relationship Id="rId118" Type="http://schemas.openxmlformats.org/officeDocument/2006/relationships/hyperlink" Target="https://arcprize.org/play?task=5c0a986e" TargetMode="External"/><Relationship Id="rId117" Type="http://schemas.openxmlformats.org/officeDocument/2006/relationships/hyperlink" Target="https://arcprize.org/play?task=42a50994" TargetMode="External"/><Relationship Id="rId116" Type="http://schemas.openxmlformats.org/officeDocument/2006/relationships/hyperlink" Target="https://arcprize.org/play?task=a3325580" TargetMode="External"/><Relationship Id="rId115" Type="http://schemas.openxmlformats.org/officeDocument/2006/relationships/hyperlink" Target="https://arcprize.org/play?task=239be575" TargetMode="External"/><Relationship Id="rId119" Type="http://schemas.openxmlformats.org/officeDocument/2006/relationships/hyperlink" Target="https://arcprize.org/play?task=3de23699" TargetMode="External"/><Relationship Id="rId110" Type="http://schemas.openxmlformats.org/officeDocument/2006/relationships/hyperlink" Target="https://arcprize.org/play?task=a68b268e" TargetMode="External"/><Relationship Id="rId114" Type="http://schemas.openxmlformats.org/officeDocument/2006/relationships/hyperlink" Target="https://arcprize.org/play?task=e179c5f4" TargetMode="External"/><Relationship Id="rId113" Type="http://schemas.openxmlformats.org/officeDocument/2006/relationships/hyperlink" Target="https://arcprize.org/play?task=a61f2674" TargetMode="External"/><Relationship Id="rId112" Type="http://schemas.openxmlformats.org/officeDocument/2006/relationships/hyperlink" Target="https://arcprize.org/play?task=47c1f68c" TargetMode="External"/><Relationship Id="rId111" Type="http://schemas.openxmlformats.org/officeDocument/2006/relationships/hyperlink" Target="https://arcprize.org/play?task=d90796e8" TargetMode="External"/><Relationship Id="rId404" Type="http://schemas.openxmlformats.org/officeDocument/2006/relationships/hyperlink" Target="https://arcprize.org/play?task=c9e6f938" TargetMode="External"/><Relationship Id="rId403" Type="http://schemas.openxmlformats.org/officeDocument/2006/relationships/hyperlink" Target="https://arcprize.org/play?task=6d0aefbc" TargetMode="External"/><Relationship Id="rId402" Type="http://schemas.openxmlformats.org/officeDocument/2006/relationships/hyperlink" Target="https://arcprize.org/play?task=67a3c6ac" TargetMode="External"/><Relationship Id="rId401" Type="http://schemas.openxmlformats.org/officeDocument/2006/relationships/hyperlink" Target="https://arcprize.org/play?task=8be77c9e" TargetMode="External"/><Relationship Id="rId406" Type="http://schemas.openxmlformats.org/officeDocument/2006/relationships/drawing" Target="../drawings/drawing6.xml"/><Relationship Id="rId405" Type="http://schemas.openxmlformats.org/officeDocument/2006/relationships/hyperlink" Target="https://arcprize.org/play?task=3c9b0459" TargetMode="External"/><Relationship Id="rId400" Type="http://schemas.openxmlformats.org/officeDocument/2006/relationships/hyperlink" Target="https://arcprize.org/play?task=6fa7a44f"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github.com/Seek64/NeurIPS-Code-Golf-2025" TargetMode="External"/><Relationship Id="rId3" Type="http://schemas.openxmlformats.org/officeDocument/2006/relationships/hyperlink" Target="https://docs.google.com/spreadsheets/d/1mjz6tYb2caNHD6-PktIrHBdiJda5TjXRqKcUaiTQc4E/edit?pli=1&amp;gid=310481599" TargetMode="External"/><Relationship Id="rId4" Type="http://schemas.openxmlformats.org/officeDocument/2006/relationships/hyperlink" Target="https://github.com/xsot/google-code-golf-2025" TargetMode="External"/><Relationship Id="rId5" Type="http://schemas.openxmlformats.org/officeDocument/2006/relationships/drawing" Target="../drawings/drawing7.xml"/><Relationship Id="rId6"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392" Type="http://schemas.openxmlformats.org/officeDocument/2006/relationships/hyperlink" Target="https://arcprize.org/play?task=3906de3d" TargetMode="External"/><Relationship Id="rId391" Type="http://schemas.openxmlformats.org/officeDocument/2006/relationships/hyperlink" Target="https://arcprize.org/play?task=3428a4f5" TargetMode="External"/><Relationship Id="rId390" Type="http://schemas.openxmlformats.org/officeDocument/2006/relationships/hyperlink" Target="https://arcprize.org/play?task=a48eeaf7" TargetMode="External"/><Relationship Id="rId1" Type="http://schemas.openxmlformats.org/officeDocument/2006/relationships/hyperlink" Target="https://arcprize.org/play?task=36fdfd69" TargetMode="External"/><Relationship Id="rId2" Type="http://schemas.openxmlformats.org/officeDocument/2006/relationships/hyperlink" Target="https://arcprize.org/play?task=2dee498d" TargetMode="External"/><Relationship Id="rId3" Type="http://schemas.openxmlformats.org/officeDocument/2006/relationships/hyperlink" Target="https://arcprize.org/play?task=178fcbfb" TargetMode="External"/><Relationship Id="rId4" Type="http://schemas.openxmlformats.org/officeDocument/2006/relationships/hyperlink" Target="https://arcprize.org/play?task=0e206a2e" TargetMode="External"/><Relationship Id="rId9" Type="http://schemas.openxmlformats.org/officeDocument/2006/relationships/hyperlink" Target="https://arcprize.org/play?task=3befdf3e" TargetMode="External"/><Relationship Id="rId385" Type="http://schemas.openxmlformats.org/officeDocument/2006/relationships/hyperlink" Target="https://arcprize.org/play?task=6430c8c4" TargetMode="External"/><Relationship Id="rId384" Type="http://schemas.openxmlformats.org/officeDocument/2006/relationships/hyperlink" Target="https://arcprize.org/play?task=a3325580" TargetMode="External"/><Relationship Id="rId383" Type="http://schemas.openxmlformats.org/officeDocument/2006/relationships/hyperlink" Target="https://arcprize.org/play?task=f76d97a5" TargetMode="External"/><Relationship Id="rId382" Type="http://schemas.openxmlformats.org/officeDocument/2006/relationships/hyperlink" Target="https://arcprize.org/play?task=1cf80156" TargetMode="External"/><Relationship Id="rId5" Type="http://schemas.openxmlformats.org/officeDocument/2006/relationships/hyperlink" Target="https://arcprize.org/play?task=39e1d7f9" TargetMode="External"/><Relationship Id="rId389" Type="http://schemas.openxmlformats.org/officeDocument/2006/relationships/hyperlink" Target="https://arcprize.org/play?task=2281f1f4" TargetMode="External"/><Relationship Id="rId6" Type="http://schemas.openxmlformats.org/officeDocument/2006/relationships/hyperlink" Target="https://arcprize.org/play?task=3618c87e" TargetMode="External"/><Relationship Id="rId388" Type="http://schemas.openxmlformats.org/officeDocument/2006/relationships/hyperlink" Target="https://arcprize.org/play?task=0520fde7" TargetMode="External"/><Relationship Id="rId7" Type="http://schemas.openxmlformats.org/officeDocument/2006/relationships/hyperlink" Target="https://arcprize.org/play?task=363442ee" TargetMode="External"/><Relationship Id="rId387" Type="http://schemas.openxmlformats.org/officeDocument/2006/relationships/hyperlink" Target="https://arcprize.org/play?task=a3df8b1e" TargetMode="External"/><Relationship Id="rId8" Type="http://schemas.openxmlformats.org/officeDocument/2006/relationships/hyperlink" Target="https://arcprize.org/play?task=228f6490" TargetMode="External"/><Relationship Id="rId386" Type="http://schemas.openxmlformats.org/officeDocument/2006/relationships/hyperlink" Target="https://arcprize.org/play?task=0d3d703e" TargetMode="External"/><Relationship Id="rId381" Type="http://schemas.openxmlformats.org/officeDocument/2006/relationships/hyperlink" Target="https://arcprize.org/play?task=a2fd1cf0" TargetMode="External"/><Relationship Id="rId380" Type="http://schemas.openxmlformats.org/officeDocument/2006/relationships/hyperlink" Target="https://arcprize.org/play?task=1b2d62fb" TargetMode="External"/><Relationship Id="rId379" Type="http://schemas.openxmlformats.org/officeDocument/2006/relationships/hyperlink" Target="https://arcprize.org/play?task=7468f01a" TargetMode="External"/><Relationship Id="rId374" Type="http://schemas.openxmlformats.org/officeDocument/2006/relationships/hyperlink" Target="https://arcprize.org/play?task=e3497940" TargetMode="External"/><Relationship Id="rId373" Type="http://schemas.openxmlformats.org/officeDocument/2006/relationships/hyperlink" Target="https://arcprize.org/play?task=ce4f8723" TargetMode="External"/><Relationship Id="rId372" Type="http://schemas.openxmlformats.org/officeDocument/2006/relationships/hyperlink" Target="https://arcprize.org/play?task=9d9215db" TargetMode="External"/><Relationship Id="rId371" Type="http://schemas.openxmlformats.org/officeDocument/2006/relationships/hyperlink" Target="https://arcprize.org/play?task=3ac3eb23" TargetMode="External"/><Relationship Id="rId378" Type="http://schemas.openxmlformats.org/officeDocument/2006/relationships/hyperlink" Target="https://arcprize.org/play?task=a1570a43" TargetMode="External"/><Relationship Id="rId377" Type="http://schemas.openxmlformats.org/officeDocument/2006/relationships/hyperlink" Target="https://arcprize.org/play?task=017c7c7b" TargetMode="External"/><Relationship Id="rId376" Type="http://schemas.openxmlformats.org/officeDocument/2006/relationships/hyperlink" Target="https://arcprize.org/play?task=1b2d62fb" TargetMode="External"/><Relationship Id="rId375" Type="http://schemas.openxmlformats.org/officeDocument/2006/relationships/hyperlink" Target="https://arcprize.org/play?task=9f236235" TargetMode="External"/><Relationship Id="rId396" Type="http://schemas.openxmlformats.org/officeDocument/2006/relationships/hyperlink" Target="https://arcprize.org/play?task=a5f85a15" TargetMode="External"/><Relationship Id="rId395" Type="http://schemas.openxmlformats.org/officeDocument/2006/relationships/hyperlink" Target="https://arcprize.org/play?task=54d82841" TargetMode="External"/><Relationship Id="rId394" Type="http://schemas.openxmlformats.org/officeDocument/2006/relationships/hyperlink" Target="https://arcprize.org/play?task=eb5a1d5d" TargetMode="External"/><Relationship Id="rId393" Type="http://schemas.openxmlformats.org/officeDocument/2006/relationships/hyperlink" Target="https://arcprize.org/play?task=a5313dff" TargetMode="External"/><Relationship Id="rId399" Type="http://schemas.openxmlformats.org/officeDocument/2006/relationships/hyperlink" Target="https://arcprize.org/play?task=a61ba2ce" TargetMode="External"/><Relationship Id="rId398" Type="http://schemas.openxmlformats.org/officeDocument/2006/relationships/hyperlink" Target="https://arcprize.org/play?task=5582e5ca" TargetMode="External"/><Relationship Id="rId397" Type="http://schemas.openxmlformats.org/officeDocument/2006/relationships/hyperlink" Target="https://arcprize.org/play?task=2013d3e2" TargetMode="External"/><Relationship Id="rId40" Type="http://schemas.openxmlformats.org/officeDocument/2006/relationships/hyperlink" Target="https://arcprize.org/play?task=1f0c79e5" TargetMode="External"/><Relationship Id="rId42" Type="http://schemas.openxmlformats.org/officeDocument/2006/relationships/hyperlink" Target="https://arcprize.org/play?task=67a3c6ac" TargetMode="External"/><Relationship Id="rId41" Type="http://schemas.openxmlformats.org/officeDocument/2006/relationships/hyperlink" Target="https://arcprize.org/play?task=4290ef0e" TargetMode="External"/><Relationship Id="rId44" Type="http://schemas.openxmlformats.org/officeDocument/2006/relationships/hyperlink" Target="https://arcprize.org/play?task=1c786137" TargetMode="External"/><Relationship Id="rId43" Type="http://schemas.openxmlformats.org/officeDocument/2006/relationships/hyperlink" Target="https://arcprize.org/play?task=1fad071e" TargetMode="External"/><Relationship Id="rId46" Type="http://schemas.openxmlformats.org/officeDocument/2006/relationships/hyperlink" Target="https://arcprize.org/play?task=68b16354" TargetMode="External"/><Relationship Id="rId45" Type="http://schemas.openxmlformats.org/officeDocument/2006/relationships/hyperlink" Target="https://arcprize.org/play?task=42a50994" TargetMode="External"/><Relationship Id="rId48" Type="http://schemas.openxmlformats.org/officeDocument/2006/relationships/hyperlink" Target="https://arcprize.org/play?task=150deff5" TargetMode="External"/><Relationship Id="rId47" Type="http://schemas.openxmlformats.org/officeDocument/2006/relationships/hyperlink" Target="https://arcprize.org/play?task=22eb0ac0" TargetMode="External"/><Relationship Id="rId49" Type="http://schemas.openxmlformats.org/officeDocument/2006/relationships/hyperlink" Target="https://arcprize.org/play?task=4347f46a" TargetMode="External"/><Relationship Id="rId31" Type="http://schemas.openxmlformats.org/officeDocument/2006/relationships/hyperlink" Target="https://arcprize.org/play?task=bdad9b1f" TargetMode="External"/><Relationship Id="rId30" Type="http://schemas.openxmlformats.org/officeDocument/2006/relationships/hyperlink" Target="https://arcprize.org/play?task=5bd6f4ac" TargetMode="External"/><Relationship Id="rId33" Type="http://schemas.openxmlformats.org/officeDocument/2006/relationships/hyperlink" Target="https://arcprize.org/play?task=4093f84a" TargetMode="External"/><Relationship Id="rId32" Type="http://schemas.openxmlformats.org/officeDocument/2006/relationships/hyperlink" Target="https://arcprize.org/play?task=00d62c1b" TargetMode="External"/><Relationship Id="rId35" Type="http://schemas.openxmlformats.org/officeDocument/2006/relationships/hyperlink" Target="https://arcprize.org/play?task=cdecee7f" TargetMode="External"/><Relationship Id="rId34" Type="http://schemas.openxmlformats.org/officeDocument/2006/relationships/hyperlink" Target="https://arcprize.org/play?task=6150a2bd" TargetMode="External"/><Relationship Id="rId37" Type="http://schemas.openxmlformats.org/officeDocument/2006/relationships/hyperlink" Target="https://arcprize.org/play?task=41e4d17e" TargetMode="External"/><Relationship Id="rId36" Type="http://schemas.openxmlformats.org/officeDocument/2006/relationships/hyperlink" Target="https://arcprize.org/play?task=ecdecbb3" TargetMode="External"/><Relationship Id="rId39" Type="http://schemas.openxmlformats.org/officeDocument/2006/relationships/hyperlink" Target="https://arcprize.org/play?task=662c240a" TargetMode="External"/><Relationship Id="rId38" Type="http://schemas.openxmlformats.org/officeDocument/2006/relationships/hyperlink" Target="https://arcprize.org/play?task=62c24649" TargetMode="External"/><Relationship Id="rId20" Type="http://schemas.openxmlformats.org/officeDocument/2006/relationships/hyperlink" Target="https://arcprize.org/play?task=22233c11" TargetMode="External"/><Relationship Id="rId22" Type="http://schemas.openxmlformats.org/officeDocument/2006/relationships/hyperlink" Target="https://arcprize.org/play?task=496994bd" TargetMode="External"/><Relationship Id="rId21" Type="http://schemas.openxmlformats.org/officeDocument/2006/relationships/hyperlink" Target="https://arcprize.org/play?task=3eda0437" TargetMode="External"/><Relationship Id="rId24" Type="http://schemas.openxmlformats.org/officeDocument/2006/relationships/hyperlink" Target="https://arcprize.org/play?task=3345333e" TargetMode="External"/><Relationship Id="rId23" Type="http://schemas.openxmlformats.org/officeDocument/2006/relationships/hyperlink" Target="https://arcprize.org/play?task=017c7c7b" TargetMode="External"/><Relationship Id="rId26" Type="http://schemas.openxmlformats.org/officeDocument/2006/relationships/hyperlink" Target="https://arcprize.org/play?task=4c4377d9" TargetMode="External"/><Relationship Id="rId25" Type="http://schemas.openxmlformats.org/officeDocument/2006/relationships/hyperlink" Target="https://arcprize.org/play?task=3f7978a0" TargetMode="External"/><Relationship Id="rId28" Type="http://schemas.openxmlformats.org/officeDocument/2006/relationships/hyperlink" Target="https://arcprize.org/play?task=1f85a75f" TargetMode="External"/><Relationship Id="rId27" Type="http://schemas.openxmlformats.org/officeDocument/2006/relationships/hyperlink" Target="https://arcprize.org/play?task=5582e5ca" TargetMode="External"/><Relationship Id="rId29" Type="http://schemas.openxmlformats.org/officeDocument/2006/relationships/hyperlink" Target="https://arcprize.org/play?task=40853293" TargetMode="External"/><Relationship Id="rId11" Type="http://schemas.openxmlformats.org/officeDocument/2006/relationships/hyperlink" Target="https://arcprize.org/play?task=9565186b" TargetMode="External"/><Relationship Id="rId10" Type="http://schemas.openxmlformats.org/officeDocument/2006/relationships/hyperlink" Target="https://arcprize.org/play?task=3af2c5a8" TargetMode="External"/><Relationship Id="rId13" Type="http://schemas.openxmlformats.org/officeDocument/2006/relationships/hyperlink" Target="https://arcprize.org/play?task=3de23699" TargetMode="External"/><Relationship Id="rId12" Type="http://schemas.openxmlformats.org/officeDocument/2006/relationships/hyperlink" Target="https://arcprize.org/play?task=045e512c" TargetMode="External"/><Relationship Id="rId15" Type="http://schemas.openxmlformats.org/officeDocument/2006/relationships/hyperlink" Target="https://arcprize.org/play?task=a85d4709" TargetMode="External"/><Relationship Id="rId14" Type="http://schemas.openxmlformats.org/officeDocument/2006/relationships/hyperlink" Target="https://arcprize.org/play?task=3c9b0459" TargetMode="External"/><Relationship Id="rId17" Type="http://schemas.openxmlformats.org/officeDocument/2006/relationships/hyperlink" Target="https://arcprize.org/play?task=3e980e27" TargetMode="External"/><Relationship Id="rId16" Type="http://schemas.openxmlformats.org/officeDocument/2006/relationships/hyperlink" Target="https://arcprize.org/play?task=c8cbb738" TargetMode="External"/><Relationship Id="rId19" Type="http://schemas.openxmlformats.org/officeDocument/2006/relationships/hyperlink" Target="https://arcprize.org/play?task=dae9d2b5" TargetMode="External"/><Relationship Id="rId18" Type="http://schemas.openxmlformats.org/officeDocument/2006/relationships/hyperlink" Target="https://arcprize.org/play?task=44f52bb0" TargetMode="External"/><Relationship Id="rId84" Type="http://schemas.openxmlformats.org/officeDocument/2006/relationships/hyperlink" Target="https://arcprize.org/play?task=025d127b" TargetMode="External"/><Relationship Id="rId83" Type="http://schemas.openxmlformats.org/officeDocument/2006/relationships/hyperlink" Target="https://arcprize.org/play?task=25d8a9c8" TargetMode="External"/><Relationship Id="rId86" Type="http://schemas.openxmlformats.org/officeDocument/2006/relationships/hyperlink" Target="https://arcprize.org/play?task=ed36ccf7" TargetMode="External"/><Relationship Id="rId85" Type="http://schemas.openxmlformats.org/officeDocument/2006/relationships/hyperlink" Target="https://arcprize.org/play?task=4938f0c2" TargetMode="External"/><Relationship Id="rId88" Type="http://schemas.openxmlformats.org/officeDocument/2006/relationships/hyperlink" Target="https://arcprize.org/play?task=29ec7d0e" TargetMode="External"/><Relationship Id="rId87" Type="http://schemas.openxmlformats.org/officeDocument/2006/relationships/hyperlink" Target="https://arcprize.org/play?task=ea786f4a" TargetMode="External"/><Relationship Id="rId89" Type="http://schemas.openxmlformats.org/officeDocument/2006/relationships/hyperlink" Target="https://arcprize.org/play?task=49d1d64f" TargetMode="External"/><Relationship Id="rId80" Type="http://schemas.openxmlformats.org/officeDocument/2006/relationships/hyperlink" Target="https://arcprize.org/play?task=05f2a901" TargetMode="External"/><Relationship Id="rId82" Type="http://schemas.openxmlformats.org/officeDocument/2006/relationships/hyperlink" Target="https://arcprize.org/play?task=d10ecb37" TargetMode="External"/><Relationship Id="rId81" Type="http://schemas.openxmlformats.org/officeDocument/2006/relationships/hyperlink" Target="https://arcprize.org/play?task=484b58aa" TargetMode="External"/><Relationship Id="rId73" Type="http://schemas.openxmlformats.org/officeDocument/2006/relationships/hyperlink" Target="https://arcprize.org/play?task=469497ad" TargetMode="External"/><Relationship Id="rId72" Type="http://schemas.openxmlformats.org/officeDocument/2006/relationships/hyperlink" Target="https://arcprize.org/play?task=28e73c20" TargetMode="External"/><Relationship Id="rId75" Type="http://schemas.openxmlformats.org/officeDocument/2006/relationships/hyperlink" Target="https://arcprize.org/play?task=a699fb00" TargetMode="External"/><Relationship Id="rId74" Type="http://schemas.openxmlformats.org/officeDocument/2006/relationships/hyperlink" Target="https://arcprize.org/play?task=beb8660c" TargetMode="External"/><Relationship Id="rId77" Type="http://schemas.openxmlformats.org/officeDocument/2006/relationships/hyperlink" Target="https://arcprize.org/play?task=47c1f68c" TargetMode="External"/><Relationship Id="rId76" Type="http://schemas.openxmlformats.org/officeDocument/2006/relationships/hyperlink" Target="https://arcprize.org/play?task=321b1fc6" TargetMode="External"/><Relationship Id="rId79" Type="http://schemas.openxmlformats.org/officeDocument/2006/relationships/hyperlink" Target="https://arcprize.org/play?task=eb281b96" TargetMode="External"/><Relationship Id="rId78" Type="http://schemas.openxmlformats.org/officeDocument/2006/relationships/hyperlink" Target="https://arcprize.org/play?task=c9e6f938" TargetMode="External"/><Relationship Id="rId71" Type="http://schemas.openxmlformats.org/officeDocument/2006/relationships/hyperlink" Target="https://arcprize.org/play?task=9ecd008a" TargetMode="External"/><Relationship Id="rId70" Type="http://schemas.openxmlformats.org/officeDocument/2006/relationships/hyperlink" Target="https://arcprize.org/play?task=a416b8f3" TargetMode="External"/><Relationship Id="rId62" Type="http://schemas.openxmlformats.org/officeDocument/2006/relationships/hyperlink" Target="https://arcprize.org/play?task=8be77c9e" TargetMode="External"/><Relationship Id="rId61" Type="http://schemas.openxmlformats.org/officeDocument/2006/relationships/hyperlink" Target="https://arcprize.org/play?task=447fd412" TargetMode="External"/><Relationship Id="rId64" Type="http://schemas.openxmlformats.org/officeDocument/2006/relationships/hyperlink" Target="https://arcprize.org/play?task=32597951" TargetMode="External"/><Relationship Id="rId63" Type="http://schemas.openxmlformats.org/officeDocument/2006/relationships/hyperlink" Target="https://arcprize.org/play?task=f8ff0b80" TargetMode="External"/><Relationship Id="rId66" Type="http://schemas.openxmlformats.org/officeDocument/2006/relationships/hyperlink" Target="https://arcprize.org/play?task=9dfd6313" TargetMode="External"/><Relationship Id="rId65" Type="http://schemas.openxmlformats.org/officeDocument/2006/relationships/hyperlink" Target="https://arcprize.org/play?task=44d8ac46" TargetMode="External"/><Relationship Id="rId68" Type="http://schemas.openxmlformats.org/officeDocument/2006/relationships/hyperlink" Target="https://arcprize.org/play?task=29623171" TargetMode="External"/><Relationship Id="rId67" Type="http://schemas.openxmlformats.org/officeDocument/2006/relationships/hyperlink" Target="https://arcprize.org/play?task=a79310a0" TargetMode="External"/><Relationship Id="rId60" Type="http://schemas.openxmlformats.org/officeDocument/2006/relationships/hyperlink" Target="https://arcprize.org/play?task=a64e4611" TargetMode="External"/><Relationship Id="rId69" Type="http://schemas.openxmlformats.org/officeDocument/2006/relationships/hyperlink" Target="https://arcprize.org/play?task=4612dd53" TargetMode="External"/><Relationship Id="rId51" Type="http://schemas.openxmlformats.org/officeDocument/2006/relationships/hyperlink" Target="https://arcprize.org/play?task=8d5021e8" TargetMode="External"/><Relationship Id="rId50" Type="http://schemas.openxmlformats.org/officeDocument/2006/relationships/hyperlink" Target="https://arcprize.org/play?task=6d0aefbc" TargetMode="External"/><Relationship Id="rId53" Type="http://schemas.openxmlformats.org/officeDocument/2006/relationships/hyperlink" Target="https://arcprize.org/play?task=444801d8" TargetMode="External"/><Relationship Id="rId52" Type="http://schemas.openxmlformats.org/officeDocument/2006/relationships/hyperlink" Target="https://arcprize.org/play?task=1a07d186" TargetMode="External"/><Relationship Id="rId55" Type="http://schemas.openxmlformats.org/officeDocument/2006/relationships/hyperlink" Target="https://arcprize.org/play?task=f8b3ba0a" TargetMode="External"/><Relationship Id="rId54" Type="http://schemas.openxmlformats.org/officeDocument/2006/relationships/hyperlink" Target="https://arcprize.org/play?task=6fa7a44f" TargetMode="External"/><Relationship Id="rId57" Type="http://schemas.openxmlformats.org/officeDocument/2006/relationships/hyperlink" Target="https://arcprize.org/play?task=445eab21" TargetMode="External"/><Relationship Id="rId56" Type="http://schemas.openxmlformats.org/officeDocument/2006/relationships/hyperlink" Target="https://arcprize.org/play?task=11852cab" TargetMode="External"/><Relationship Id="rId59" Type="http://schemas.openxmlformats.org/officeDocument/2006/relationships/hyperlink" Target="https://arcprize.org/play?task=bd4472b8" TargetMode="External"/><Relationship Id="rId58" Type="http://schemas.openxmlformats.org/officeDocument/2006/relationships/hyperlink" Target="https://arcprize.org/play?task=74dd1130" TargetMode="External"/><Relationship Id="rId349" Type="http://schemas.openxmlformats.org/officeDocument/2006/relationships/hyperlink" Target="https://arcprize.org/play?task=99b1bc43" TargetMode="External"/><Relationship Id="rId348" Type="http://schemas.openxmlformats.org/officeDocument/2006/relationships/hyperlink" Target="https://arcprize.org/play?task=952a094c" TargetMode="External"/><Relationship Id="rId347" Type="http://schemas.openxmlformats.org/officeDocument/2006/relationships/hyperlink" Target="https://arcprize.org/play?task=fafffa47" TargetMode="External"/><Relationship Id="rId346" Type="http://schemas.openxmlformats.org/officeDocument/2006/relationships/hyperlink" Target="https://arcprize.org/play?task=49d1d64f" TargetMode="External"/><Relationship Id="rId341" Type="http://schemas.openxmlformats.org/officeDocument/2006/relationships/hyperlink" Target="https://arcprize.org/play?task=ba26e723" TargetMode="External"/><Relationship Id="rId340" Type="http://schemas.openxmlformats.org/officeDocument/2006/relationships/hyperlink" Target="https://arcprize.org/play?task=b91ae062" TargetMode="External"/><Relationship Id="rId345" Type="http://schemas.openxmlformats.org/officeDocument/2006/relationships/hyperlink" Target="https://arcprize.org/play?task=941d9a10" TargetMode="External"/><Relationship Id="rId344" Type="http://schemas.openxmlformats.org/officeDocument/2006/relationships/hyperlink" Target="https://arcprize.org/play?task=cf98881b" TargetMode="External"/><Relationship Id="rId343" Type="http://schemas.openxmlformats.org/officeDocument/2006/relationships/hyperlink" Target="https://arcprize.org/play?task=29ec7d0e" TargetMode="External"/><Relationship Id="rId342" Type="http://schemas.openxmlformats.org/officeDocument/2006/relationships/hyperlink" Target="https://arcprize.org/play?task=93b581b8" TargetMode="External"/><Relationship Id="rId338" Type="http://schemas.openxmlformats.org/officeDocument/2006/relationships/hyperlink" Target="https://arcprize.org/play?task=9565186b" TargetMode="External"/><Relationship Id="rId337" Type="http://schemas.openxmlformats.org/officeDocument/2006/relationships/hyperlink" Target="https://arcprize.org/play?task=9edfc990" TargetMode="External"/><Relationship Id="rId336" Type="http://schemas.openxmlformats.org/officeDocument/2006/relationships/hyperlink" Target="https://arcprize.org/play?task=91714a58" TargetMode="External"/><Relationship Id="rId335" Type="http://schemas.openxmlformats.org/officeDocument/2006/relationships/hyperlink" Target="https://arcprize.org/play?task=6430c8c4" TargetMode="External"/><Relationship Id="rId339" Type="http://schemas.openxmlformats.org/officeDocument/2006/relationships/hyperlink" Target="https://arcprize.org/play?task=928ad970" TargetMode="External"/><Relationship Id="rId330" Type="http://schemas.openxmlformats.org/officeDocument/2006/relationships/hyperlink" Target="https://arcprize.org/play?task=913fb3ed" TargetMode="External"/><Relationship Id="rId334" Type="http://schemas.openxmlformats.org/officeDocument/2006/relationships/hyperlink" Target="https://arcprize.org/play?task=b8cdaf2b" TargetMode="External"/><Relationship Id="rId333" Type="http://schemas.openxmlformats.org/officeDocument/2006/relationships/hyperlink" Target="https://arcprize.org/play?task=91413438" TargetMode="External"/><Relationship Id="rId332" Type="http://schemas.openxmlformats.org/officeDocument/2006/relationships/hyperlink" Target="https://arcprize.org/play?task=3428a4f5" TargetMode="External"/><Relationship Id="rId331" Type="http://schemas.openxmlformats.org/officeDocument/2006/relationships/hyperlink" Target="https://arcprize.org/play?task=508bd3b6" TargetMode="External"/><Relationship Id="rId370" Type="http://schemas.openxmlformats.org/officeDocument/2006/relationships/hyperlink" Target="https://arcprize.org/play?task=2281f1f4" TargetMode="External"/><Relationship Id="rId369" Type="http://schemas.openxmlformats.org/officeDocument/2006/relationships/hyperlink" Target="https://arcprize.org/play?task=9af7a82c" TargetMode="External"/><Relationship Id="rId368" Type="http://schemas.openxmlformats.org/officeDocument/2006/relationships/hyperlink" Target="https://arcprize.org/play?task=1e32b0e9" TargetMode="External"/><Relationship Id="rId363" Type="http://schemas.openxmlformats.org/officeDocument/2006/relationships/hyperlink" Target="https://arcprize.org/play?task=99fa7670" TargetMode="External"/><Relationship Id="rId362" Type="http://schemas.openxmlformats.org/officeDocument/2006/relationships/hyperlink" Target="https://arcprize.org/play?task=e9afcf9a" TargetMode="External"/><Relationship Id="rId361" Type="http://schemas.openxmlformats.org/officeDocument/2006/relationships/hyperlink" Target="https://arcprize.org/play?task=3bdb4ada" TargetMode="External"/><Relationship Id="rId360" Type="http://schemas.openxmlformats.org/officeDocument/2006/relationships/hyperlink" Target="https://arcprize.org/play?task=99b1bc43" TargetMode="External"/><Relationship Id="rId367" Type="http://schemas.openxmlformats.org/officeDocument/2006/relationships/hyperlink" Target="https://arcprize.org/play?task=f5b8619d" TargetMode="External"/><Relationship Id="rId366" Type="http://schemas.openxmlformats.org/officeDocument/2006/relationships/hyperlink" Target="https://arcprize.org/play?task=9aec4887" TargetMode="External"/><Relationship Id="rId365" Type="http://schemas.openxmlformats.org/officeDocument/2006/relationships/hyperlink" Target="https://arcprize.org/play?task=ff28f65a" TargetMode="External"/><Relationship Id="rId364" Type="http://schemas.openxmlformats.org/officeDocument/2006/relationships/hyperlink" Target="https://arcprize.org/play?task=94f9d214" TargetMode="External"/><Relationship Id="rId95" Type="http://schemas.openxmlformats.org/officeDocument/2006/relationships/hyperlink" Target="https://arcprize.org/play?task=272f95fa" TargetMode="External"/><Relationship Id="rId94" Type="http://schemas.openxmlformats.org/officeDocument/2006/relationships/hyperlink" Target="https://arcprize.org/play?task=90f3ed37" TargetMode="External"/><Relationship Id="rId97" Type="http://schemas.openxmlformats.org/officeDocument/2006/relationships/hyperlink" Target="https://arcprize.org/play?task=e73095fd" TargetMode="External"/><Relationship Id="rId96" Type="http://schemas.openxmlformats.org/officeDocument/2006/relationships/hyperlink" Target="https://arcprize.org/play?task=4c5c2cf0" TargetMode="External"/><Relationship Id="rId99" Type="http://schemas.openxmlformats.org/officeDocument/2006/relationships/hyperlink" Target="https://arcprize.org/play?task=50846271" TargetMode="External"/><Relationship Id="rId98" Type="http://schemas.openxmlformats.org/officeDocument/2006/relationships/hyperlink" Target="https://arcprize.org/play?task=3bdb4ada" TargetMode="External"/><Relationship Id="rId91" Type="http://schemas.openxmlformats.org/officeDocument/2006/relationships/hyperlink" Target="https://arcprize.org/play?task=e3497940" TargetMode="External"/><Relationship Id="rId90" Type="http://schemas.openxmlformats.org/officeDocument/2006/relationships/hyperlink" Target="https://arcprize.org/play?task=f25ffba3" TargetMode="External"/><Relationship Id="rId93" Type="http://schemas.openxmlformats.org/officeDocument/2006/relationships/hyperlink" Target="https://arcprize.org/play?task=4be741c5" TargetMode="External"/><Relationship Id="rId92" Type="http://schemas.openxmlformats.org/officeDocument/2006/relationships/hyperlink" Target="https://arcprize.org/play?task=2dd70a9a" TargetMode="External"/><Relationship Id="rId359" Type="http://schemas.openxmlformats.org/officeDocument/2006/relationships/hyperlink" Target="https://arcprize.org/play?task=d406998b" TargetMode="External"/><Relationship Id="rId358" Type="http://schemas.openxmlformats.org/officeDocument/2006/relationships/hyperlink" Target="https://arcprize.org/play?task=fafffa47" TargetMode="External"/><Relationship Id="rId357" Type="http://schemas.openxmlformats.org/officeDocument/2006/relationships/hyperlink" Target="https://arcprize.org/play?task=98cf29f8" TargetMode="External"/><Relationship Id="rId352" Type="http://schemas.openxmlformats.org/officeDocument/2006/relationships/hyperlink" Target="https://arcprize.org/play?task=ac0a08a4" TargetMode="External"/><Relationship Id="rId351" Type="http://schemas.openxmlformats.org/officeDocument/2006/relationships/hyperlink" Target="https://arcprize.org/play?task=95990924" TargetMode="External"/><Relationship Id="rId350" Type="http://schemas.openxmlformats.org/officeDocument/2006/relationships/hyperlink" Target="https://arcprize.org/play?task=a699fb00" TargetMode="External"/><Relationship Id="rId356" Type="http://schemas.openxmlformats.org/officeDocument/2006/relationships/hyperlink" Target="https://arcprize.org/play?task=c3e719e8" TargetMode="External"/><Relationship Id="rId355" Type="http://schemas.openxmlformats.org/officeDocument/2006/relationships/hyperlink" Target="https://arcprize.org/play?task=be94b721" TargetMode="External"/><Relationship Id="rId354" Type="http://schemas.openxmlformats.org/officeDocument/2006/relationships/hyperlink" Target="https://arcprize.org/play?task=97a05b5b" TargetMode="External"/><Relationship Id="rId353" Type="http://schemas.openxmlformats.org/officeDocument/2006/relationships/hyperlink" Target="https://arcprize.org/play?task=bbc9ae5d" TargetMode="External"/><Relationship Id="rId305" Type="http://schemas.openxmlformats.org/officeDocument/2006/relationships/hyperlink" Target="https://arcprize.org/play?task=9edfc990" TargetMode="External"/><Relationship Id="rId304" Type="http://schemas.openxmlformats.org/officeDocument/2006/relationships/hyperlink" Target="https://arcprize.org/play?task=8eb1be9a" TargetMode="External"/><Relationship Id="rId303" Type="http://schemas.openxmlformats.org/officeDocument/2006/relationships/hyperlink" Target="https://arcprize.org/play?task=890034e9" TargetMode="External"/><Relationship Id="rId302" Type="http://schemas.openxmlformats.org/officeDocument/2006/relationships/hyperlink" Target="https://arcprize.org/play?task=97999447" TargetMode="External"/><Relationship Id="rId309" Type="http://schemas.openxmlformats.org/officeDocument/2006/relationships/hyperlink" Target="https://arcprize.org/play?task=8d510a79" TargetMode="External"/><Relationship Id="rId308" Type="http://schemas.openxmlformats.org/officeDocument/2006/relationships/hyperlink" Target="https://arcprize.org/play?task=c1d99e64" TargetMode="External"/><Relationship Id="rId307" Type="http://schemas.openxmlformats.org/officeDocument/2006/relationships/hyperlink" Target="https://arcprize.org/play?task=d406998b" TargetMode="External"/><Relationship Id="rId306" Type="http://schemas.openxmlformats.org/officeDocument/2006/relationships/hyperlink" Target="https://arcprize.org/play?task=8a004b2b" TargetMode="External"/><Relationship Id="rId301" Type="http://schemas.openxmlformats.org/officeDocument/2006/relationships/hyperlink" Target="https://arcprize.org/play?task=46f33fce" TargetMode="External"/><Relationship Id="rId300" Type="http://schemas.openxmlformats.org/officeDocument/2006/relationships/hyperlink" Target="https://arcprize.org/play?task=88a62173" TargetMode="External"/><Relationship Id="rId327" Type="http://schemas.openxmlformats.org/officeDocument/2006/relationships/hyperlink" Target="https://arcprize.org/play?task=90f3ed37" TargetMode="External"/><Relationship Id="rId326" Type="http://schemas.openxmlformats.org/officeDocument/2006/relationships/hyperlink" Target="https://arcprize.org/play?task=f8b3ba0a" TargetMode="External"/><Relationship Id="rId325" Type="http://schemas.openxmlformats.org/officeDocument/2006/relationships/hyperlink" Target="https://arcprize.org/play?task=f2829549" TargetMode="External"/><Relationship Id="rId324" Type="http://schemas.openxmlformats.org/officeDocument/2006/relationships/hyperlink" Target="https://arcprize.org/play?task=90c28cc7" TargetMode="External"/><Relationship Id="rId329" Type="http://schemas.openxmlformats.org/officeDocument/2006/relationships/hyperlink" Target="https://arcprize.org/play?task=feca6190" TargetMode="External"/><Relationship Id="rId328" Type="http://schemas.openxmlformats.org/officeDocument/2006/relationships/hyperlink" Target="https://arcprize.org/play?task=007bbfb7" TargetMode="External"/><Relationship Id="rId323" Type="http://schemas.openxmlformats.org/officeDocument/2006/relationships/hyperlink" Target="https://arcprize.org/play?task=ea786f4a" TargetMode="External"/><Relationship Id="rId322" Type="http://schemas.openxmlformats.org/officeDocument/2006/relationships/hyperlink" Target="https://arcprize.org/play?task=e98196ab" TargetMode="External"/><Relationship Id="rId321" Type="http://schemas.openxmlformats.org/officeDocument/2006/relationships/hyperlink" Target="https://arcprize.org/play?task=8f2ea7aa" TargetMode="External"/><Relationship Id="rId320" Type="http://schemas.openxmlformats.org/officeDocument/2006/relationships/hyperlink" Target="https://arcprize.org/play?task=ce4f8723" TargetMode="External"/><Relationship Id="rId316" Type="http://schemas.openxmlformats.org/officeDocument/2006/relationships/hyperlink" Target="https://arcprize.org/play?task=cf98881b" TargetMode="External"/><Relationship Id="rId315" Type="http://schemas.openxmlformats.org/officeDocument/2006/relationships/hyperlink" Target="https://arcprize.org/play?task=8e5a5113" TargetMode="External"/><Relationship Id="rId314" Type="http://schemas.openxmlformats.org/officeDocument/2006/relationships/hyperlink" Target="https://arcprize.org/play?task=9ecd008a" TargetMode="External"/><Relationship Id="rId313" Type="http://schemas.openxmlformats.org/officeDocument/2006/relationships/hyperlink" Target="https://arcprize.org/play?task=9172f3a0" TargetMode="External"/><Relationship Id="rId319" Type="http://schemas.openxmlformats.org/officeDocument/2006/relationships/hyperlink" Target="https://arcprize.org/play?task=d511f180" TargetMode="External"/><Relationship Id="rId318" Type="http://schemas.openxmlformats.org/officeDocument/2006/relationships/hyperlink" Target="https://arcprize.org/play?task=8efcae92" TargetMode="External"/><Relationship Id="rId317" Type="http://schemas.openxmlformats.org/officeDocument/2006/relationships/hyperlink" Target="https://arcprize.org/play?task=aabf363d" TargetMode="External"/><Relationship Id="rId312" Type="http://schemas.openxmlformats.org/officeDocument/2006/relationships/hyperlink" Target="https://arcprize.org/play?task=8e1813be" TargetMode="External"/><Relationship Id="rId311" Type="http://schemas.openxmlformats.org/officeDocument/2006/relationships/hyperlink" Target="https://arcprize.org/play?task=f8ff0b80" TargetMode="External"/><Relationship Id="rId310" Type="http://schemas.openxmlformats.org/officeDocument/2006/relationships/hyperlink" Target="https://arcprize.org/play?task=1bfc4729" TargetMode="External"/><Relationship Id="rId297" Type="http://schemas.openxmlformats.org/officeDocument/2006/relationships/hyperlink" Target="https://arcprize.org/play?task=88a10436" TargetMode="External"/><Relationship Id="rId296" Type="http://schemas.openxmlformats.org/officeDocument/2006/relationships/hyperlink" Target="https://arcprize.org/play?task=363442ee" TargetMode="External"/><Relationship Id="rId295" Type="http://schemas.openxmlformats.org/officeDocument/2006/relationships/hyperlink" Target="https://arcprize.org/play?task=1f85a75f" TargetMode="External"/><Relationship Id="rId294" Type="http://schemas.openxmlformats.org/officeDocument/2006/relationships/hyperlink" Target="https://arcprize.org/play?task=8731374e" TargetMode="External"/><Relationship Id="rId299" Type="http://schemas.openxmlformats.org/officeDocument/2006/relationships/hyperlink" Target="https://arcprize.org/play?task=9172f3a0" TargetMode="External"/><Relationship Id="rId298" Type="http://schemas.openxmlformats.org/officeDocument/2006/relationships/hyperlink" Target="https://arcprize.org/play?task=56ff96f3" TargetMode="External"/><Relationship Id="rId271" Type="http://schemas.openxmlformats.org/officeDocument/2006/relationships/hyperlink" Target="https://arcprize.org/play?task=952a094c" TargetMode="External"/><Relationship Id="rId270" Type="http://schemas.openxmlformats.org/officeDocument/2006/relationships/hyperlink" Target="https://arcprize.org/play?task=810b9b61" TargetMode="External"/><Relationship Id="rId269" Type="http://schemas.openxmlformats.org/officeDocument/2006/relationships/hyperlink" Target="https://arcprize.org/play?task=c59eb873" TargetMode="External"/><Relationship Id="rId264" Type="http://schemas.openxmlformats.org/officeDocument/2006/relationships/hyperlink" Target="https://arcprize.org/play?task=7fe24cdd" TargetMode="External"/><Relationship Id="rId263" Type="http://schemas.openxmlformats.org/officeDocument/2006/relationships/hyperlink" Target="https://arcprize.org/play?task=94f9d214" TargetMode="External"/><Relationship Id="rId262" Type="http://schemas.openxmlformats.org/officeDocument/2006/relationships/hyperlink" Target="https://arcprize.org/play?task=e8593010" TargetMode="External"/><Relationship Id="rId261" Type="http://schemas.openxmlformats.org/officeDocument/2006/relationships/hyperlink" Target="https://arcprize.org/play?task=7f4411dc" TargetMode="External"/><Relationship Id="rId268" Type="http://schemas.openxmlformats.org/officeDocument/2006/relationships/hyperlink" Target="https://arcprize.org/play?task=539a4f51" TargetMode="External"/><Relationship Id="rId267" Type="http://schemas.openxmlformats.org/officeDocument/2006/relationships/hyperlink" Target="https://arcprize.org/play?task=80af3007" TargetMode="External"/><Relationship Id="rId266" Type="http://schemas.openxmlformats.org/officeDocument/2006/relationships/hyperlink" Target="https://arcprize.org/play?task=995c5fa3" TargetMode="External"/><Relationship Id="rId265" Type="http://schemas.openxmlformats.org/officeDocument/2006/relationships/hyperlink" Target="https://arcprize.org/play?task=1caeab9d" TargetMode="External"/><Relationship Id="rId260" Type="http://schemas.openxmlformats.org/officeDocument/2006/relationships/hyperlink" Target="https://arcprize.org/play?task=75b8110e" TargetMode="External"/><Relationship Id="rId259" Type="http://schemas.openxmlformats.org/officeDocument/2006/relationships/hyperlink" Target="https://arcprize.org/play?task=c444b776" TargetMode="External"/><Relationship Id="rId258" Type="http://schemas.openxmlformats.org/officeDocument/2006/relationships/hyperlink" Target="https://arcprize.org/play?task=7e0986d6" TargetMode="External"/><Relationship Id="rId253" Type="http://schemas.openxmlformats.org/officeDocument/2006/relationships/hyperlink" Target="https://arcprize.org/play?task=834ec97d" TargetMode="External"/><Relationship Id="rId252" Type="http://schemas.openxmlformats.org/officeDocument/2006/relationships/hyperlink" Target="https://arcprize.org/play?task=7ddcd7ec" TargetMode="External"/><Relationship Id="rId251" Type="http://schemas.openxmlformats.org/officeDocument/2006/relationships/hyperlink" Target="https://arcprize.org/play?task=23581191" TargetMode="External"/><Relationship Id="rId250" Type="http://schemas.openxmlformats.org/officeDocument/2006/relationships/hyperlink" Target="https://arcprize.org/play?task=3631a71a" TargetMode="External"/><Relationship Id="rId257" Type="http://schemas.openxmlformats.org/officeDocument/2006/relationships/hyperlink" Target="https://arcprize.org/play?task=7468f01a" TargetMode="External"/><Relationship Id="rId256" Type="http://schemas.openxmlformats.org/officeDocument/2006/relationships/hyperlink" Target="https://arcprize.org/play?task=90c28cc7" TargetMode="External"/><Relationship Id="rId255" Type="http://schemas.openxmlformats.org/officeDocument/2006/relationships/hyperlink" Target="https://arcprize.org/play?task=7df24a62" TargetMode="External"/><Relationship Id="rId254" Type="http://schemas.openxmlformats.org/officeDocument/2006/relationships/hyperlink" Target="https://arcprize.org/play?task=5521c0d9" TargetMode="External"/><Relationship Id="rId293" Type="http://schemas.openxmlformats.org/officeDocument/2006/relationships/hyperlink" Target="https://arcprize.org/play?task=27a28665" TargetMode="External"/><Relationship Id="rId292" Type="http://schemas.openxmlformats.org/officeDocument/2006/relationships/hyperlink" Target="https://arcprize.org/play?task=8f2ea7aa" TargetMode="External"/><Relationship Id="rId291" Type="http://schemas.openxmlformats.org/officeDocument/2006/relationships/hyperlink" Target="https://arcprize.org/play?task=868de0fa" TargetMode="External"/><Relationship Id="rId290" Type="http://schemas.openxmlformats.org/officeDocument/2006/relationships/hyperlink" Target="https://arcprize.org/play?task=2013d3e2" TargetMode="External"/><Relationship Id="rId286" Type="http://schemas.openxmlformats.org/officeDocument/2006/relationships/hyperlink" Target="https://arcprize.org/play?task=4522001f" TargetMode="External"/><Relationship Id="rId285" Type="http://schemas.openxmlformats.org/officeDocument/2006/relationships/hyperlink" Target="https://arcprize.org/play?task=855e0971" TargetMode="External"/><Relationship Id="rId284" Type="http://schemas.openxmlformats.org/officeDocument/2006/relationships/hyperlink" Target="https://arcprize.org/play?task=6f8cd79b" TargetMode="External"/><Relationship Id="rId283" Type="http://schemas.openxmlformats.org/officeDocument/2006/relationships/hyperlink" Target="https://arcprize.org/play?task=3f7978a0" TargetMode="External"/><Relationship Id="rId289" Type="http://schemas.openxmlformats.org/officeDocument/2006/relationships/hyperlink" Target="https://arcprize.org/play?task=8403a5d5" TargetMode="External"/><Relationship Id="rId288" Type="http://schemas.openxmlformats.org/officeDocument/2006/relationships/hyperlink" Target="https://arcprize.org/play?task=85c4e7cd" TargetMode="External"/><Relationship Id="rId287" Type="http://schemas.openxmlformats.org/officeDocument/2006/relationships/hyperlink" Target="https://arcprize.org/play?task=d4469b4b" TargetMode="External"/><Relationship Id="rId282" Type="http://schemas.openxmlformats.org/officeDocument/2006/relationships/hyperlink" Target="https://arcprize.org/play?task=846bdb03" TargetMode="External"/><Relationship Id="rId281" Type="http://schemas.openxmlformats.org/officeDocument/2006/relationships/hyperlink" Target="https://arcprize.org/play?task=1cf80156" TargetMode="External"/><Relationship Id="rId280" Type="http://schemas.openxmlformats.org/officeDocument/2006/relationships/hyperlink" Target="https://arcprize.org/play?task=ef135b50" TargetMode="External"/><Relationship Id="rId275" Type="http://schemas.openxmlformats.org/officeDocument/2006/relationships/hyperlink" Target="https://arcprize.org/play?task=1f642eb9" TargetMode="External"/><Relationship Id="rId274" Type="http://schemas.openxmlformats.org/officeDocument/2006/relationships/hyperlink" Target="https://arcprize.org/play?task=99fa7670" TargetMode="External"/><Relationship Id="rId273" Type="http://schemas.openxmlformats.org/officeDocument/2006/relationships/hyperlink" Target="https://arcprize.org/play?task=83302e8f" TargetMode="External"/><Relationship Id="rId272" Type="http://schemas.openxmlformats.org/officeDocument/2006/relationships/hyperlink" Target="https://arcprize.org/play?task=f5b8619d" TargetMode="External"/><Relationship Id="rId279" Type="http://schemas.openxmlformats.org/officeDocument/2006/relationships/hyperlink" Target="https://arcprize.org/play?task=8403a5d5" TargetMode="External"/><Relationship Id="rId278" Type="http://schemas.openxmlformats.org/officeDocument/2006/relationships/hyperlink" Target="https://arcprize.org/play?task=ff805c23" TargetMode="External"/><Relationship Id="rId277" Type="http://schemas.openxmlformats.org/officeDocument/2006/relationships/hyperlink" Target="https://arcprize.org/play?task=dc1df850" TargetMode="External"/><Relationship Id="rId276" Type="http://schemas.openxmlformats.org/officeDocument/2006/relationships/hyperlink" Target="https://arcprize.org/play?task=834ec97d" TargetMode="External"/><Relationship Id="rId228" Type="http://schemas.openxmlformats.org/officeDocument/2006/relationships/hyperlink" Target="https://arcprize.org/play?task=746b3537" TargetMode="External"/><Relationship Id="rId227" Type="http://schemas.openxmlformats.org/officeDocument/2006/relationships/hyperlink" Target="https://arcprize.org/play?task=23b5c85d" TargetMode="External"/><Relationship Id="rId226" Type="http://schemas.openxmlformats.org/officeDocument/2006/relationships/hyperlink" Target="https://arcprize.org/play?task=e26a3af2" TargetMode="External"/><Relationship Id="rId225" Type="http://schemas.openxmlformats.org/officeDocument/2006/relationships/hyperlink" Target="https://arcprize.org/play?task=7447852a" TargetMode="External"/><Relationship Id="rId229" Type="http://schemas.openxmlformats.org/officeDocument/2006/relationships/hyperlink" Target="https://arcprize.org/play?task=25ff71a9" TargetMode="External"/><Relationship Id="rId220" Type="http://schemas.openxmlformats.org/officeDocument/2006/relationships/hyperlink" Target="https://arcprize.org/play?task=d23f8c26" TargetMode="External"/><Relationship Id="rId224" Type="http://schemas.openxmlformats.org/officeDocument/2006/relationships/hyperlink" Target="https://arcprize.org/play?task=1b60fb0c" TargetMode="External"/><Relationship Id="rId223" Type="http://schemas.openxmlformats.org/officeDocument/2006/relationships/hyperlink" Target="https://arcprize.org/play?task=d13f3404" TargetMode="External"/><Relationship Id="rId222" Type="http://schemas.openxmlformats.org/officeDocument/2006/relationships/hyperlink" Target="https://arcprize.org/play?task=73251a56" TargetMode="External"/><Relationship Id="rId221" Type="http://schemas.openxmlformats.org/officeDocument/2006/relationships/hyperlink" Target="https://arcprize.org/play?task=c3f564a4" TargetMode="External"/><Relationship Id="rId217" Type="http://schemas.openxmlformats.org/officeDocument/2006/relationships/hyperlink" Target="https://arcprize.org/play?task=22168020" TargetMode="External"/><Relationship Id="rId216" Type="http://schemas.openxmlformats.org/officeDocument/2006/relationships/hyperlink" Target="https://arcprize.org/play?task=72322fa7" TargetMode="External"/><Relationship Id="rId215" Type="http://schemas.openxmlformats.org/officeDocument/2006/relationships/hyperlink" Target="https://arcprize.org/play?task=a68b268e" TargetMode="External"/><Relationship Id="rId214" Type="http://schemas.openxmlformats.org/officeDocument/2006/relationships/hyperlink" Target="https://arcprize.org/play?task=3ac3eb23" TargetMode="External"/><Relationship Id="rId219" Type="http://schemas.openxmlformats.org/officeDocument/2006/relationships/hyperlink" Target="https://arcprize.org/play?task=72ca375d" TargetMode="External"/><Relationship Id="rId218" Type="http://schemas.openxmlformats.org/officeDocument/2006/relationships/hyperlink" Target="https://arcprize.org/play?task=d037b0a7" TargetMode="External"/><Relationship Id="rId213" Type="http://schemas.openxmlformats.org/officeDocument/2006/relationships/hyperlink" Target="https://arcprize.org/play?task=6ecd11f4" TargetMode="External"/><Relationship Id="rId212" Type="http://schemas.openxmlformats.org/officeDocument/2006/relationships/hyperlink" Target="https://arcprize.org/play?task=46f33fce" TargetMode="External"/><Relationship Id="rId211" Type="http://schemas.openxmlformats.org/officeDocument/2006/relationships/hyperlink" Target="https://arcprize.org/play?task=d037b0a7" TargetMode="External"/><Relationship Id="rId210" Type="http://schemas.openxmlformats.org/officeDocument/2006/relationships/hyperlink" Target="https://arcprize.org/play?task=6e82a1ae" TargetMode="External"/><Relationship Id="rId249" Type="http://schemas.openxmlformats.org/officeDocument/2006/relationships/hyperlink" Target="https://arcprize.org/play?task=7c008303" TargetMode="External"/><Relationship Id="rId248" Type="http://schemas.openxmlformats.org/officeDocument/2006/relationships/hyperlink" Target="https://arcprize.org/play?task=137eaa0f" TargetMode="External"/><Relationship Id="rId247" Type="http://schemas.openxmlformats.org/officeDocument/2006/relationships/hyperlink" Target="https://arcprize.org/play?task=868de0fa" TargetMode="External"/><Relationship Id="rId242" Type="http://schemas.openxmlformats.org/officeDocument/2006/relationships/hyperlink" Target="https://arcprize.org/play?task=39a8645d" TargetMode="External"/><Relationship Id="rId241" Type="http://schemas.openxmlformats.org/officeDocument/2006/relationships/hyperlink" Target="https://arcprize.org/play?task=4093f84a" TargetMode="External"/><Relationship Id="rId240" Type="http://schemas.openxmlformats.org/officeDocument/2006/relationships/hyperlink" Target="https://arcprize.org/play?task=7837ac64" TargetMode="External"/><Relationship Id="rId246" Type="http://schemas.openxmlformats.org/officeDocument/2006/relationships/hyperlink" Target="https://arcprize.org/play?task=7b7f7511" TargetMode="External"/><Relationship Id="rId245" Type="http://schemas.openxmlformats.org/officeDocument/2006/relationships/hyperlink" Target="https://arcprize.org/play?task=82819916" TargetMode="External"/><Relationship Id="rId244" Type="http://schemas.openxmlformats.org/officeDocument/2006/relationships/hyperlink" Target="https://arcprize.org/play?task=f9012d9b" TargetMode="External"/><Relationship Id="rId243" Type="http://schemas.openxmlformats.org/officeDocument/2006/relationships/hyperlink" Target="https://arcprize.org/play?task=7b6016b9" TargetMode="External"/><Relationship Id="rId239" Type="http://schemas.openxmlformats.org/officeDocument/2006/relationships/hyperlink" Target="https://arcprize.org/play?task=253bf280" TargetMode="External"/><Relationship Id="rId238" Type="http://schemas.openxmlformats.org/officeDocument/2006/relationships/hyperlink" Target="https://arcprize.org/play?task=93b581b8" TargetMode="External"/><Relationship Id="rId237" Type="http://schemas.openxmlformats.org/officeDocument/2006/relationships/hyperlink" Target="https://arcprize.org/play?task=780d0b14" TargetMode="External"/><Relationship Id="rId236" Type="http://schemas.openxmlformats.org/officeDocument/2006/relationships/hyperlink" Target="https://arcprize.org/play?task=22168020" TargetMode="External"/><Relationship Id="rId231" Type="http://schemas.openxmlformats.org/officeDocument/2006/relationships/hyperlink" Target="https://arcprize.org/play?task=776ffc46" TargetMode="External"/><Relationship Id="rId230" Type="http://schemas.openxmlformats.org/officeDocument/2006/relationships/hyperlink" Target="https://arcprize.org/play?task=3bd67248" TargetMode="External"/><Relationship Id="rId235" Type="http://schemas.openxmlformats.org/officeDocument/2006/relationships/hyperlink" Target="https://arcprize.org/play?task=5daaa586" TargetMode="External"/><Relationship Id="rId234" Type="http://schemas.openxmlformats.org/officeDocument/2006/relationships/hyperlink" Target="https://arcprize.org/play?task=77fdfe62" TargetMode="External"/><Relationship Id="rId233" Type="http://schemas.openxmlformats.org/officeDocument/2006/relationships/hyperlink" Target="https://arcprize.org/play?task=6d75e8bb" TargetMode="External"/><Relationship Id="rId232" Type="http://schemas.openxmlformats.org/officeDocument/2006/relationships/hyperlink" Target="https://arcprize.org/play?task=d631b094" TargetMode="External"/><Relationship Id="rId206" Type="http://schemas.openxmlformats.org/officeDocument/2006/relationships/hyperlink" Target="https://arcprize.org/play?task=1190e5a7" TargetMode="External"/><Relationship Id="rId205" Type="http://schemas.openxmlformats.org/officeDocument/2006/relationships/hyperlink" Target="https://arcprize.org/play?task=c59eb873" TargetMode="External"/><Relationship Id="rId204" Type="http://schemas.openxmlformats.org/officeDocument/2006/relationships/hyperlink" Target="https://arcprize.org/play?task=6e02f1e3" TargetMode="External"/><Relationship Id="rId203" Type="http://schemas.openxmlformats.org/officeDocument/2006/relationships/hyperlink" Target="https://arcprize.org/play?task=2dc579da" TargetMode="External"/><Relationship Id="rId209" Type="http://schemas.openxmlformats.org/officeDocument/2006/relationships/hyperlink" Target="https://arcprize.org/play?task=05269061" TargetMode="External"/><Relationship Id="rId208" Type="http://schemas.openxmlformats.org/officeDocument/2006/relationships/hyperlink" Target="https://arcprize.org/play?task=1190e5a7" TargetMode="External"/><Relationship Id="rId207" Type="http://schemas.openxmlformats.org/officeDocument/2006/relationships/hyperlink" Target="https://arcprize.org/play?task=6e19193c" TargetMode="External"/><Relationship Id="rId202" Type="http://schemas.openxmlformats.org/officeDocument/2006/relationships/hyperlink" Target="https://arcprize.org/play?task=28bf18c6" TargetMode="External"/><Relationship Id="rId201" Type="http://schemas.openxmlformats.org/officeDocument/2006/relationships/hyperlink" Target="https://arcprize.org/play?task=6d58a25d" TargetMode="External"/><Relationship Id="rId200" Type="http://schemas.openxmlformats.org/officeDocument/2006/relationships/hyperlink" Target="https://arcprize.org/play?task=2bee17df" TargetMode="External"/><Relationship Id="rId190" Type="http://schemas.openxmlformats.org/officeDocument/2006/relationships/hyperlink" Target="https://arcprize.org/play?task=ce22a75a" TargetMode="External"/><Relationship Id="rId194" Type="http://schemas.openxmlformats.org/officeDocument/2006/relationships/hyperlink" Target="https://arcprize.org/play?task=10fcaaa3" TargetMode="External"/><Relationship Id="rId193" Type="http://schemas.openxmlformats.org/officeDocument/2006/relationships/hyperlink" Target="https://arcprize.org/play?task=dc433765" TargetMode="External"/><Relationship Id="rId192" Type="http://schemas.openxmlformats.org/officeDocument/2006/relationships/hyperlink" Target="https://arcprize.org/play?task=6cdd2623" TargetMode="External"/><Relationship Id="rId191" Type="http://schemas.openxmlformats.org/officeDocument/2006/relationships/hyperlink" Target="https://arcprize.org/play?task=ba97ae07" TargetMode="External"/><Relationship Id="rId187" Type="http://schemas.openxmlformats.org/officeDocument/2006/relationships/hyperlink" Target="https://arcprize.org/play?task=6d75e8bb" TargetMode="External"/><Relationship Id="rId186" Type="http://schemas.openxmlformats.org/officeDocument/2006/relationships/hyperlink" Target="https://arcprize.org/play?task=6b9890af" TargetMode="External"/><Relationship Id="rId185" Type="http://schemas.openxmlformats.org/officeDocument/2006/relationships/hyperlink" Target="https://arcprize.org/play?task=2c608aff" TargetMode="External"/><Relationship Id="rId184" Type="http://schemas.openxmlformats.org/officeDocument/2006/relationships/hyperlink" Target="https://arcprize.org/play?task=4258a5f9" TargetMode="External"/><Relationship Id="rId189" Type="http://schemas.openxmlformats.org/officeDocument/2006/relationships/hyperlink" Target="https://arcprize.org/play?task=6c434453" TargetMode="External"/><Relationship Id="rId188" Type="http://schemas.openxmlformats.org/officeDocument/2006/relationships/hyperlink" Target="https://arcprize.org/play?task=54d9e175" TargetMode="External"/><Relationship Id="rId183" Type="http://schemas.openxmlformats.org/officeDocument/2006/relationships/hyperlink" Target="https://arcprize.org/play?task=6aa20dc0" TargetMode="External"/><Relationship Id="rId182" Type="http://schemas.openxmlformats.org/officeDocument/2006/relationships/hyperlink" Target="https://arcprize.org/play?task=2204b7a8" TargetMode="External"/><Relationship Id="rId181" Type="http://schemas.openxmlformats.org/officeDocument/2006/relationships/hyperlink" Target="https://arcprize.org/play?task=995c5fa3" TargetMode="External"/><Relationship Id="rId180" Type="http://schemas.openxmlformats.org/officeDocument/2006/relationships/hyperlink" Target="https://arcprize.org/play?task=6a1e5592" TargetMode="External"/><Relationship Id="rId176" Type="http://schemas.openxmlformats.org/officeDocument/2006/relationships/hyperlink" Target="https://arcprize.org/play?task=08ed6ac7" TargetMode="External"/><Relationship Id="rId175" Type="http://schemas.openxmlformats.org/officeDocument/2006/relationships/hyperlink" Target="https://arcprize.org/play?task=623ea044" TargetMode="External"/><Relationship Id="rId174" Type="http://schemas.openxmlformats.org/officeDocument/2006/relationships/hyperlink" Target="https://arcprize.org/play?task=6855a6e4" TargetMode="External"/><Relationship Id="rId173" Type="http://schemas.openxmlformats.org/officeDocument/2006/relationships/hyperlink" Target="https://arcprize.org/play?task=2bcee788" TargetMode="External"/><Relationship Id="rId179" Type="http://schemas.openxmlformats.org/officeDocument/2006/relationships/hyperlink" Target="https://arcprize.org/play?task=178fcbfb" TargetMode="External"/><Relationship Id="rId178" Type="http://schemas.openxmlformats.org/officeDocument/2006/relationships/hyperlink" Target="https://arcprize.org/play?task=7b7f7511" TargetMode="External"/><Relationship Id="rId177" Type="http://schemas.openxmlformats.org/officeDocument/2006/relationships/hyperlink" Target="https://arcprize.org/play?task=694f12f3" TargetMode="External"/><Relationship Id="rId198" Type="http://schemas.openxmlformats.org/officeDocument/2006/relationships/hyperlink" Target="https://arcprize.org/play?task=6d0160f0" TargetMode="External"/><Relationship Id="rId197" Type="http://schemas.openxmlformats.org/officeDocument/2006/relationships/hyperlink" Target="https://arcprize.org/play?task=1caeab9d" TargetMode="External"/><Relationship Id="rId196" Type="http://schemas.openxmlformats.org/officeDocument/2006/relationships/hyperlink" Target="https://arcprize.org/play?task=82819916" TargetMode="External"/><Relationship Id="rId195" Type="http://schemas.openxmlformats.org/officeDocument/2006/relationships/hyperlink" Target="https://arcprize.org/play?task=6cf79266" TargetMode="External"/><Relationship Id="rId199" Type="http://schemas.openxmlformats.org/officeDocument/2006/relationships/hyperlink" Target="https://arcprize.org/play?task=05269061" TargetMode="External"/><Relationship Id="rId150" Type="http://schemas.openxmlformats.org/officeDocument/2006/relationships/hyperlink" Target="https://arcprize.org/play?task=63613498" TargetMode="External"/><Relationship Id="rId149" Type="http://schemas.openxmlformats.org/officeDocument/2006/relationships/hyperlink" Target="https://arcprize.org/play?task=1bfc4729" TargetMode="External"/><Relationship Id="rId148" Type="http://schemas.openxmlformats.org/officeDocument/2006/relationships/hyperlink" Target="https://arcprize.org/play?task=d364b489" TargetMode="External"/><Relationship Id="rId143" Type="http://schemas.openxmlformats.org/officeDocument/2006/relationships/hyperlink" Target="https://arcprize.org/play?task=239be575" TargetMode="External"/><Relationship Id="rId142" Type="http://schemas.openxmlformats.org/officeDocument/2006/relationships/hyperlink" Target="https://arcprize.org/play?task=ae4f1146" TargetMode="External"/><Relationship Id="rId141" Type="http://schemas.openxmlformats.org/officeDocument/2006/relationships/hyperlink" Target="https://arcprize.org/play?task=5daaa586" TargetMode="External"/><Relationship Id="rId140" Type="http://schemas.openxmlformats.org/officeDocument/2006/relationships/hyperlink" Target="https://arcprize.org/play?task=09629e4f" TargetMode="External"/><Relationship Id="rId147" Type="http://schemas.openxmlformats.org/officeDocument/2006/relationships/hyperlink" Target="https://arcprize.org/play?task=623ea044" TargetMode="External"/><Relationship Id="rId146" Type="http://schemas.openxmlformats.org/officeDocument/2006/relationships/hyperlink" Target="https://arcprize.org/play?task=4258a5f9" TargetMode="External"/><Relationship Id="rId145" Type="http://schemas.openxmlformats.org/officeDocument/2006/relationships/hyperlink" Target="https://arcprize.org/play?task=c0f76784" TargetMode="External"/><Relationship Id="rId144" Type="http://schemas.openxmlformats.org/officeDocument/2006/relationships/hyperlink" Target="https://arcprize.org/play?task=60b61512" TargetMode="External"/><Relationship Id="rId139" Type="http://schemas.openxmlformats.org/officeDocument/2006/relationships/hyperlink" Target="https://arcprize.org/play?task=5117e062" TargetMode="External"/><Relationship Id="rId138" Type="http://schemas.openxmlformats.org/officeDocument/2006/relationships/hyperlink" Target="https://arcprize.org/play?task=5c2c9af4" TargetMode="External"/><Relationship Id="rId137" Type="http://schemas.openxmlformats.org/officeDocument/2006/relationships/hyperlink" Target="https://arcprize.org/play?task=4522001f" TargetMode="External"/><Relationship Id="rId132" Type="http://schemas.openxmlformats.org/officeDocument/2006/relationships/hyperlink" Target="https://arcprize.org/play?task=5ad4f10b" TargetMode="External"/><Relationship Id="rId131" Type="http://schemas.openxmlformats.org/officeDocument/2006/relationships/hyperlink" Target="https://arcprize.org/play?task=794b24be" TargetMode="External"/><Relationship Id="rId130" Type="http://schemas.openxmlformats.org/officeDocument/2006/relationships/hyperlink" Target="https://arcprize.org/play?task=780d0b14" TargetMode="External"/><Relationship Id="rId136" Type="http://schemas.openxmlformats.org/officeDocument/2006/relationships/hyperlink" Target="https://arcprize.org/play?task=40853293" TargetMode="External"/><Relationship Id="rId135" Type="http://schemas.openxmlformats.org/officeDocument/2006/relationships/hyperlink" Target="https://arcprize.org/play?task=5c0a986e" TargetMode="External"/><Relationship Id="rId134" Type="http://schemas.openxmlformats.org/officeDocument/2006/relationships/hyperlink" Target="https://arcprize.org/play?task=0a938d79" TargetMode="External"/><Relationship Id="rId133" Type="http://schemas.openxmlformats.org/officeDocument/2006/relationships/hyperlink" Target="https://arcprize.org/play?task=e48d4e1a" TargetMode="External"/><Relationship Id="rId172" Type="http://schemas.openxmlformats.org/officeDocument/2006/relationships/hyperlink" Target="https://arcprize.org/play?task=4be741c5" TargetMode="External"/><Relationship Id="rId171" Type="http://schemas.openxmlformats.org/officeDocument/2006/relationships/hyperlink" Target="https://arcprize.org/play?task=681b3aeb" TargetMode="External"/><Relationship Id="rId170" Type="http://schemas.openxmlformats.org/officeDocument/2006/relationships/hyperlink" Target="https://arcprize.org/play?task=0ca9ddb6" TargetMode="External"/><Relationship Id="rId165" Type="http://schemas.openxmlformats.org/officeDocument/2006/relationships/hyperlink" Target="https://arcprize.org/play?task=6773b310" TargetMode="External"/><Relationship Id="rId164" Type="http://schemas.openxmlformats.org/officeDocument/2006/relationships/hyperlink" Target="https://arcprize.org/play?task=ae4f1146" TargetMode="External"/><Relationship Id="rId163" Type="http://schemas.openxmlformats.org/officeDocument/2006/relationships/hyperlink" Target="https://arcprize.org/play?task=a740d043" TargetMode="External"/><Relationship Id="rId162" Type="http://schemas.openxmlformats.org/officeDocument/2006/relationships/hyperlink" Target="https://arcprize.org/play?task=673ef223" TargetMode="External"/><Relationship Id="rId169" Type="http://schemas.openxmlformats.org/officeDocument/2006/relationships/hyperlink" Target="https://arcprize.org/play?task=feca6190" TargetMode="External"/><Relationship Id="rId168" Type="http://schemas.openxmlformats.org/officeDocument/2006/relationships/hyperlink" Target="https://arcprize.org/play?task=67a423a3" TargetMode="External"/><Relationship Id="rId167" Type="http://schemas.openxmlformats.org/officeDocument/2006/relationships/hyperlink" Target="https://arcprize.org/play?task=28bf18c6" TargetMode="External"/><Relationship Id="rId166" Type="http://schemas.openxmlformats.org/officeDocument/2006/relationships/hyperlink" Target="https://arcprize.org/play?task=ddf7fa4f" TargetMode="External"/><Relationship Id="rId161" Type="http://schemas.openxmlformats.org/officeDocument/2006/relationships/hyperlink" Target="https://arcprize.org/play?task=3631a71a" TargetMode="External"/><Relationship Id="rId160" Type="http://schemas.openxmlformats.org/officeDocument/2006/relationships/hyperlink" Target="https://arcprize.org/play?task=9af7a82c" TargetMode="External"/><Relationship Id="rId159" Type="http://schemas.openxmlformats.org/officeDocument/2006/relationships/hyperlink" Target="https://arcprize.org/play?task=67385a82" TargetMode="External"/><Relationship Id="rId154" Type="http://schemas.openxmlformats.org/officeDocument/2006/relationships/hyperlink" Target="https://arcprize.org/play?task=1f642eb9" TargetMode="External"/><Relationship Id="rId153" Type="http://schemas.openxmlformats.org/officeDocument/2006/relationships/hyperlink" Target="https://arcprize.org/play?task=6455b5f5" TargetMode="External"/><Relationship Id="rId152" Type="http://schemas.openxmlformats.org/officeDocument/2006/relationships/hyperlink" Target="https://arcprize.org/play?task=c444b776" TargetMode="External"/><Relationship Id="rId151" Type="http://schemas.openxmlformats.org/officeDocument/2006/relationships/hyperlink" Target="https://arcprize.org/play?task=05f2a901" TargetMode="External"/><Relationship Id="rId158" Type="http://schemas.openxmlformats.org/officeDocument/2006/relationships/hyperlink" Target="https://arcprize.org/play?task=48d8fb45" TargetMode="External"/><Relationship Id="rId157" Type="http://schemas.openxmlformats.org/officeDocument/2006/relationships/hyperlink" Target="https://arcprize.org/play?task=88a62173" TargetMode="External"/><Relationship Id="rId156" Type="http://schemas.openxmlformats.org/officeDocument/2006/relationships/hyperlink" Target="https://arcprize.org/play?task=662c240a" TargetMode="External"/><Relationship Id="rId155" Type="http://schemas.openxmlformats.org/officeDocument/2006/relationships/hyperlink" Target="https://arcprize.org/play?task=25d487eb" TargetMode="External"/><Relationship Id="rId509" Type="http://schemas.openxmlformats.org/officeDocument/2006/relationships/hyperlink" Target="https://arcprize.org/play?task=74dd1130" TargetMode="External"/><Relationship Id="rId508" Type="http://schemas.openxmlformats.org/officeDocument/2006/relationships/hyperlink" Target="https://arcprize.org/play?task=d22278a0" TargetMode="External"/><Relationship Id="rId503" Type="http://schemas.openxmlformats.org/officeDocument/2006/relationships/hyperlink" Target="https://arcprize.org/play?task=68b16354" TargetMode="External"/><Relationship Id="rId502" Type="http://schemas.openxmlformats.org/officeDocument/2006/relationships/hyperlink" Target="https://arcprize.org/play?task=d07ae81c" TargetMode="External"/><Relationship Id="rId501" Type="http://schemas.openxmlformats.org/officeDocument/2006/relationships/hyperlink" Target="https://arcprize.org/play?task=67a3c6ac" TargetMode="External"/><Relationship Id="rId500" Type="http://schemas.openxmlformats.org/officeDocument/2006/relationships/hyperlink" Target="https://arcprize.org/play?task=d06dbe63" TargetMode="External"/><Relationship Id="rId507" Type="http://schemas.openxmlformats.org/officeDocument/2006/relationships/hyperlink" Target="https://arcprize.org/play?task=6fa7a44f" TargetMode="External"/><Relationship Id="rId506" Type="http://schemas.openxmlformats.org/officeDocument/2006/relationships/hyperlink" Target="https://arcprize.org/play?task=d13f3404" TargetMode="External"/><Relationship Id="rId505" Type="http://schemas.openxmlformats.org/officeDocument/2006/relationships/hyperlink" Target="https://arcprize.org/play?task=6d0aefbc" TargetMode="External"/><Relationship Id="rId504" Type="http://schemas.openxmlformats.org/officeDocument/2006/relationships/hyperlink" Target="https://arcprize.org/play?task=d0f5fe59" TargetMode="External"/><Relationship Id="rId525" Type="http://schemas.openxmlformats.org/officeDocument/2006/relationships/hyperlink" Target="https://arcprize.org/play?task=f25ffba3" TargetMode="External"/><Relationship Id="rId524" Type="http://schemas.openxmlformats.org/officeDocument/2006/relationships/hyperlink" Target="https://arcprize.org/play?task=d6ad076f" TargetMode="External"/><Relationship Id="rId523" Type="http://schemas.openxmlformats.org/officeDocument/2006/relationships/hyperlink" Target="https://arcprize.org/play?task=ed36ccf7" TargetMode="External"/><Relationship Id="rId522" Type="http://schemas.openxmlformats.org/officeDocument/2006/relationships/hyperlink" Target="https://arcprize.org/play?task=d687bc17" TargetMode="External"/><Relationship Id="rId529" Type="http://schemas.openxmlformats.org/officeDocument/2006/relationships/hyperlink" Target="https://arcprize.org/play?task=d9f24cd1" TargetMode="External"/><Relationship Id="rId528" Type="http://schemas.openxmlformats.org/officeDocument/2006/relationships/hyperlink" Target="https://arcprize.org/play?task=d90796e8" TargetMode="External"/><Relationship Id="rId527" Type="http://schemas.openxmlformats.org/officeDocument/2006/relationships/hyperlink" Target="https://arcprize.org/play?task=d8c310e9" TargetMode="External"/><Relationship Id="rId526" Type="http://schemas.openxmlformats.org/officeDocument/2006/relationships/hyperlink" Target="https://arcprize.org/play?task=d89b689b" TargetMode="External"/><Relationship Id="rId521" Type="http://schemas.openxmlformats.org/officeDocument/2006/relationships/hyperlink" Target="https://arcprize.org/play?task=d10ecb37" TargetMode="External"/><Relationship Id="rId520" Type="http://schemas.openxmlformats.org/officeDocument/2006/relationships/hyperlink" Target="https://arcprize.org/play?task=d5d6de2d" TargetMode="External"/><Relationship Id="rId519" Type="http://schemas.openxmlformats.org/officeDocument/2006/relationships/hyperlink" Target="https://arcprize.org/play?task=c9e6f938" TargetMode="External"/><Relationship Id="rId514" Type="http://schemas.openxmlformats.org/officeDocument/2006/relationships/hyperlink" Target="https://arcprize.org/play?task=d43fd935" TargetMode="External"/><Relationship Id="rId513" Type="http://schemas.openxmlformats.org/officeDocument/2006/relationships/hyperlink" Target="https://arcprize.org/play?task=9dfd6313" TargetMode="External"/><Relationship Id="rId512" Type="http://schemas.openxmlformats.org/officeDocument/2006/relationships/hyperlink" Target="https://arcprize.org/play?task=d364b489" TargetMode="External"/><Relationship Id="rId511" Type="http://schemas.openxmlformats.org/officeDocument/2006/relationships/hyperlink" Target="https://arcprize.org/play?task=8be77c9e" TargetMode="External"/><Relationship Id="rId518" Type="http://schemas.openxmlformats.org/officeDocument/2006/relationships/hyperlink" Target="https://arcprize.org/play?task=d4f3cd78" TargetMode="External"/><Relationship Id="rId517" Type="http://schemas.openxmlformats.org/officeDocument/2006/relationships/hyperlink" Target="https://arcprize.org/play?task=beb8660c" TargetMode="External"/><Relationship Id="rId516" Type="http://schemas.openxmlformats.org/officeDocument/2006/relationships/hyperlink" Target="https://arcprize.org/play?task=d4a91cb9" TargetMode="External"/><Relationship Id="rId515" Type="http://schemas.openxmlformats.org/officeDocument/2006/relationships/hyperlink" Target="https://arcprize.org/play?task=a416b8f3" TargetMode="External"/><Relationship Id="rId510" Type="http://schemas.openxmlformats.org/officeDocument/2006/relationships/hyperlink" Target="https://arcprize.org/play?task=d2abd087" TargetMode="External"/><Relationship Id="rId107" Type="http://schemas.openxmlformats.org/officeDocument/2006/relationships/hyperlink" Target="https://arcprize.org/play?task=0dfd9992" TargetMode="External"/><Relationship Id="rId106" Type="http://schemas.openxmlformats.org/officeDocument/2006/relationships/hyperlink" Target="https://arcprize.org/play?task=6e19193c" TargetMode="External"/><Relationship Id="rId105" Type="http://schemas.openxmlformats.org/officeDocument/2006/relationships/hyperlink" Target="https://arcprize.org/play?task=50cb2852" TargetMode="External"/><Relationship Id="rId104" Type="http://schemas.openxmlformats.org/officeDocument/2006/relationships/hyperlink" Target="https://arcprize.org/play?task=31aa019c" TargetMode="External"/><Relationship Id="rId109" Type="http://schemas.openxmlformats.org/officeDocument/2006/relationships/hyperlink" Target="https://arcprize.org/play?task=a1570a43" TargetMode="External"/><Relationship Id="rId108" Type="http://schemas.openxmlformats.org/officeDocument/2006/relationships/hyperlink" Target="https://arcprize.org/play?task=5117e062" TargetMode="External"/><Relationship Id="rId103" Type="http://schemas.openxmlformats.org/officeDocument/2006/relationships/hyperlink" Target="https://arcprize.org/play?task=4290ef0e" TargetMode="External"/><Relationship Id="rId102" Type="http://schemas.openxmlformats.org/officeDocument/2006/relationships/hyperlink" Target="https://arcprize.org/play?task=508bd3b6" TargetMode="External"/><Relationship Id="rId101" Type="http://schemas.openxmlformats.org/officeDocument/2006/relationships/hyperlink" Target="https://arcprize.org/play?task=1f876c06" TargetMode="External"/><Relationship Id="rId100" Type="http://schemas.openxmlformats.org/officeDocument/2006/relationships/hyperlink" Target="https://arcprize.org/play?task=b2862040" TargetMode="External"/><Relationship Id="rId129" Type="http://schemas.openxmlformats.org/officeDocument/2006/relationships/hyperlink" Target="https://arcprize.org/play?task=57aa92db" TargetMode="External"/><Relationship Id="rId128" Type="http://schemas.openxmlformats.org/officeDocument/2006/relationships/hyperlink" Target="https://arcprize.org/play?task=234bbc79" TargetMode="External"/><Relationship Id="rId127" Type="http://schemas.openxmlformats.org/officeDocument/2006/relationships/hyperlink" Target="https://arcprize.org/play?task=4938f0c2" TargetMode="External"/><Relationship Id="rId126" Type="http://schemas.openxmlformats.org/officeDocument/2006/relationships/hyperlink" Target="https://arcprize.org/play?task=56ff96f3" TargetMode="External"/><Relationship Id="rId121" Type="http://schemas.openxmlformats.org/officeDocument/2006/relationships/hyperlink" Target="https://arcprize.org/play?task=6d0160f0" TargetMode="External"/><Relationship Id="rId120" Type="http://schemas.openxmlformats.org/officeDocument/2006/relationships/hyperlink" Target="https://arcprize.org/play?task=543a7ed5" TargetMode="External"/><Relationship Id="rId125" Type="http://schemas.openxmlformats.org/officeDocument/2006/relationships/hyperlink" Target="https://arcprize.org/play?task=0b148d64" TargetMode="External"/><Relationship Id="rId124" Type="http://schemas.openxmlformats.org/officeDocument/2006/relationships/hyperlink" Target="https://arcprize.org/play?task=e50d258f" TargetMode="External"/><Relationship Id="rId123" Type="http://schemas.openxmlformats.org/officeDocument/2006/relationships/hyperlink" Target="https://arcprize.org/play?task=56dc2b01" TargetMode="External"/><Relationship Id="rId122" Type="http://schemas.openxmlformats.org/officeDocument/2006/relationships/hyperlink" Target="https://arcprize.org/play?task=06df4c85" TargetMode="External"/><Relationship Id="rId118" Type="http://schemas.openxmlformats.org/officeDocument/2006/relationships/hyperlink" Target="https://arcprize.org/play?task=f8a8fe49" TargetMode="External"/><Relationship Id="rId117" Type="http://schemas.openxmlformats.org/officeDocument/2006/relationships/hyperlink" Target="https://arcprize.org/play?task=53b68214" TargetMode="External"/><Relationship Id="rId116" Type="http://schemas.openxmlformats.org/officeDocument/2006/relationships/hyperlink" Target="https://arcprize.org/play?task=46442a0e" TargetMode="External"/><Relationship Id="rId115" Type="http://schemas.openxmlformats.org/officeDocument/2006/relationships/hyperlink" Target="https://arcprize.org/play?task=91413438" TargetMode="External"/><Relationship Id="rId119" Type="http://schemas.openxmlformats.org/officeDocument/2006/relationships/hyperlink" Target="https://arcprize.org/play?task=0962bcdd" TargetMode="External"/><Relationship Id="rId110" Type="http://schemas.openxmlformats.org/officeDocument/2006/relationships/hyperlink" Target="https://arcprize.org/play?task=3aa6fb7a" TargetMode="External"/><Relationship Id="rId114" Type="http://schemas.openxmlformats.org/officeDocument/2006/relationships/hyperlink" Target="https://arcprize.org/play?task=539a4f51" TargetMode="External"/><Relationship Id="rId113" Type="http://schemas.openxmlformats.org/officeDocument/2006/relationships/hyperlink" Target="https://arcprize.org/play?task=dc433765" TargetMode="External"/><Relationship Id="rId112" Type="http://schemas.openxmlformats.org/officeDocument/2006/relationships/hyperlink" Target="https://arcprize.org/play?task=ae3edfdc" TargetMode="External"/><Relationship Id="rId111" Type="http://schemas.openxmlformats.org/officeDocument/2006/relationships/hyperlink" Target="https://arcprize.org/play?task=5168d44c" TargetMode="External"/><Relationship Id="rId547" Type="http://schemas.openxmlformats.org/officeDocument/2006/relationships/hyperlink" Target="https://arcprize.org/play?task=e6721834" TargetMode="External"/><Relationship Id="rId546" Type="http://schemas.openxmlformats.org/officeDocument/2006/relationships/hyperlink" Target="https://arcprize.org/play?task=e50d258f" TargetMode="External"/><Relationship Id="rId545" Type="http://schemas.openxmlformats.org/officeDocument/2006/relationships/hyperlink" Target="https://arcprize.org/play?task=e509e548" TargetMode="External"/><Relationship Id="rId544" Type="http://schemas.openxmlformats.org/officeDocument/2006/relationships/hyperlink" Target="https://arcprize.org/play?task=e5062a87" TargetMode="External"/><Relationship Id="rId549" Type="http://schemas.openxmlformats.org/officeDocument/2006/relationships/hyperlink" Target="https://arcprize.org/play?task=e76a88a6" TargetMode="External"/><Relationship Id="rId548" Type="http://schemas.openxmlformats.org/officeDocument/2006/relationships/hyperlink" Target="https://arcprize.org/play?task=e73095fd" TargetMode="External"/><Relationship Id="rId543" Type="http://schemas.openxmlformats.org/officeDocument/2006/relationships/hyperlink" Target="https://arcprize.org/play?task=e48d4e1a" TargetMode="External"/><Relationship Id="rId542" Type="http://schemas.openxmlformats.org/officeDocument/2006/relationships/hyperlink" Target="https://arcprize.org/play?task=e40b9e2f" TargetMode="External"/><Relationship Id="rId541" Type="http://schemas.openxmlformats.org/officeDocument/2006/relationships/hyperlink" Target="https://arcprize.org/play?task=e26a3af2" TargetMode="External"/><Relationship Id="rId540" Type="http://schemas.openxmlformats.org/officeDocument/2006/relationships/hyperlink" Target="https://arcprize.org/play?task=e21d9049" TargetMode="External"/><Relationship Id="rId536" Type="http://schemas.openxmlformats.org/officeDocument/2006/relationships/hyperlink" Target="https://arcprize.org/play?task=ddf7fa4f" TargetMode="External"/><Relationship Id="rId535" Type="http://schemas.openxmlformats.org/officeDocument/2006/relationships/hyperlink" Target="https://arcprize.org/play?task=dc1df850" TargetMode="External"/><Relationship Id="rId534" Type="http://schemas.openxmlformats.org/officeDocument/2006/relationships/hyperlink" Target="https://arcprize.org/play?task=dc0a314f" TargetMode="External"/><Relationship Id="rId533" Type="http://schemas.openxmlformats.org/officeDocument/2006/relationships/hyperlink" Target="https://arcprize.org/play?task=dbc1a6ce" TargetMode="External"/><Relationship Id="rId539" Type="http://schemas.openxmlformats.org/officeDocument/2006/relationships/hyperlink" Target="https://arcprize.org/play?task=e179c5f4" TargetMode="External"/><Relationship Id="rId538" Type="http://schemas.openxmlformats.org/officeDocument/2006/relationships/hyperlink" Target="https://arcprize.org/play?task=ded97339" TargetMode="External"/><Relationship Id="rId537" Type="http://schemas.openxmlformats.org/officeDocument/2006/relationships/hyperlink" Target="https://arcprize.org/play?task=de1cd16c" TargetMode="External"/><Relationship Id="rId532" Type="http://schemas.openxmlformats.org/officeDocument/2006/relationships/hyperlink" Target="https://arcprize.org/play?task=db93a21d" TargetMode="External"/><Relationship Id="rId531" Type="http://schemas.openxmlformats.org/officeDocument/2006/relationships/hyperlink" Target="https://arcprize.org/play?task=db3e9e38" TargetMode="External"/><Relationship Id="rId530" Type="http://schemas.openxmlformats.org/officeDocument/2006/relationships/hyperlink" Target="https://arcprize.org/play?task=d9fac9be" TargetMode="External"/><Relationship Id="rId566" Type="http://schemas.openxmlformats.org/officeDocument/2006/relationships/drawing" Target="../drawings/drawing8.xml"/><Relationship Id="rId561" Type="http://schemas.openxmlformats.org/officeDocument/2006/relationships/hyperlink" Target="https://arcprize.org/play?task=f8a8fe49" TargetMode="External"/><Relationship Id="rId560" Type="http://schemas.openxmlformats.org/officeDocument/2006/relationships/hyperlink" Target="https://arcprize.org/play?task=f35d900a" TargetMode="External"/><Relationship Id="rId565" Type="http://schemas.openxmlformats.org/officeDocument/2006/relationships/hyperlink" Target="https://arcprize.org/play?task=fcc82909" TargetMode="External"/><Relationship Id="rId564" Type="http://schemas.openxmlformats.org/officeDocument/2006/relationships/hyperlink" Target="https://arcprize.org/play?task=fcb5c309" TargetMode="External"/><Relationship Id="rId563" Type="http://schemas.openxmlformats.org/officeDocument/2006/relationships/hyperlink" Target="https://arcprize.org/play?task=f9012d9b" TargetMode="External"/><Relationship Id="rId562" Type="http://schemas.openxmlformats.org/officeDocument/2006/relationships/hyperlink" Target="https://arcprize.org/play?task=f8c80d96" TargetMode="External"/><Relationship Id="rId558" Type="http://schemas.openxmlformats.org/officeDocument/2006/relationships/hyperlink" Target="https://arcprize.org/play?task=f1cefba8" TargetMode="External"/><Relationship Id="rId557" Type="http://schemas.openxmlformats.org/officeDocument/2006/relationships/hyperlink" Target="https://arcprize.org/play?task=f15e1fac" TargetMode="External"/><Relationship Id="rId556" Type="http://schemas.openxmlformats.org/officeDocument/2006/relationships/hyperlink" Target="https://arcprize.org/play?task=ef135b50" TargetMode="External"/><Relationship Id="rId555" Type="http://schemas.openxmlformats.org/officeDocument/2006/relationships/hyperlink" Target="https://arcprize.org/play?task=ec883f72" TargetMode="External"/><Relationship Id="rId559" Type="http://schemas.openxmlformats.org/officeDocument/2006/relationships/hyperlink" Target="https://arcprize.org/play?task=f25fbde4" TargetMode="External"/><Relationship Id="rId550" Type="http://schemas.openxmlformats.org/officeDocument/2006/relationships/hyperlink" Target="https://arcprize.org/play?task=e8593010" TargetMode="External"/><Relationship Id="rId554" Type="http://schemas.openxmlformats.org/officeDocument/2006/relationships/hyperlink" Target="https://arcprize.org/play?task=eb5a1d5d" TargetMode="External"/><Relationship Id="rId553" Type="http://schemas.openxmlformats.org/officeDocument/2006/relationships/hyperlink" Target="https://arcprize.org/play?task=ea32f347" TargetMode="External"/><Relationship Id="rId552" Type="http://schemas.openxmlformats.org/officeDocument/2006/relationships/hyperlink" Target="https://arcprize.org/play?task=e9614598" TargetMode="External"/><Relationship Id="rId551" Type="http://schemas.openxmlformats.org/officeDocument/2006/relationships/hyperlink" Target="https://arcprize.org/play?task=e8dc4411" TargetMode="External"/><Relationship Id="rId495" Type="http://schemas.openxmlformats.org/officeDocument/2006/relationships/hyperlink" Target="https://arcprize.org/play?task=5bd6f4ac" TargetMode="External"/><Relationship Id="rId494" Type="http://schemas.openxmlformats.org/officeDocument/2006/relationships/hyperlink" Target="https://arcprize.org/play?task=ce22a75a" TargetMode="External"/><Relationship Id="rId493" Type="http://schemas.openxmlformats.org/officeDocument/2006/relationships/hyperlink" Target="https://arcprize.org/play?task=4c4377d9" TargetMode="External"/><Relationship Id="rId492" Type="http://schemas.openxmlformats.org/officeDocument/2006/relationships/hyperlink" Target="https://arcprize.org/play?task=cdecee7f" TargetMode="External"/><Relationship Id="rId499" Type="http://schemas.openxmlformats.org/officeDocument/2006/relationships/hyperlink" Target="https://arcprize.org/play?task=62c24649" TargetMode="External"/><Relationship Id="rId498" Type="http://schemas.openxmlformats.org/officeDocument/2006/relationships/hyperlink" Target="https://arcprize.org/play?task=ce9e57f2" TargetMode="External"/><Relationship Id="rId497" Type="http://schemas.openxmlformats.org/officeDocument/2006/relationships/hyperlink" Target="https://arcprize.org/play?task=6150a2bd" TargetMode="External"/><Relationship Id="rId496" Type="http://schemas.openxmlformats.org/officeDocument/2006/relationships/hyperlink" Target="https://arcprize.org/play?task=ce602527" TargetMode="External"/><Relationship Id="rId409" Type="http://schemas.openxmlformats.org/officeDocument/2006/relationships/hyperlink" Target="https://arcprize.org/play?task=746b3537" TargetMode="External"/><Relationship Id="rId404" Type="http://schemas.openxmlformats.org/officeDocument/2006/relationships/hyperlink" Target="https://arcprize.org/play?task=bda2d7a6" TargetMode="External"/><Relationship Id="rId403" Type="http://schemas.openxmlformats.org/officeDocument/2006/relationships/hyperlink" Target="https://arcprize.org/play?task=794b24be" TargetMode="External"/><Relationship Id="rId402" Type="http://schemas.openxmlformats.org/officeDocument/2006/relationships/hyperlink" Target="https://arcprize.org/play?task=a61f2674" TargetMode="External"/><Relationship Id="rId401" Type="http://schemas.openxmlformats.org/officeDocument/2006/relationships/hyperlink" Target="https://arcprize.org/play?task=8eb1be9a" TargetMode="External"/><Relationship Id="rId408" Type="http://schemas.openxmlformats.org/officeDocument/2006/relationships/hyperlink" Target="https://arcprize.org/play?task=a740d043" TargetMode="External"/><Relationship Id="rId407" Type="http://schemas.openxmlformats.org/officeDocument/2006/relationships/hyperlink" Target="https://arcprize.org/play?task=d631b094" TargetMode="External"/><Relationship Id="rId406" Type="http://schemas.openxmlformats.org/officeDocument/2006/relationships/hyperlink" Target="https://arcprize.org/play?task=0d3d703e" TargetMode="External"/><Relationship Id="rId405" Type="http://schemas.openxmlformats.org/officeDocument/2006/relationships/hyperlink" Target="https://arcprize.org/play?task=a65b410d" TargetMode="External"/><Relationship Id="rId400" Type="http://schemas.openxmlformats.org/officeDocument/2006/relationships/hyperlink" Target="https://arcprize.org/play?task=48d8fb45" TargetMode="External"/><Relationship Id="rId469" Type="http://schemas.openxmlformats.org/officeDocument/2006/relationships/hyperlink" Target="https://arcprize.org/play?task=963e52fc" TargetMode="External"/><Relationship Id="rId468" Type="http://schemas.openxmlformats.org/officeDocument/2006/relationships/hyperlink" Target="https://arcprize.org/play?task=b782dc8a" TargetMode="External"/><Relationship Id="rId467" Type="http://schemas.openxmlformats.org/officeDocument/2006/relationships/hyperlink" Target="https://arcprize.org/play?task=8d5021e8" TargetMode="External"/><Relationship Id="rId462" Type="http://schemas.openxmlformats.org/officeDocument/2006/relationships/hyperlink" Target="https://arcprize.org/play?task=b6afb2da" TargetMode="External"/><Relationship Id="rId461" Type="http://schemas.openxmlformats.org/officeDocument/2006/relationships/hyperlink" Target="https://arcprize.org/play?task=25d8a9c8" TargetMode="External"/><Relationship Id="rId460" Type="http://schemas.openxmlformats.org/officeDocument/2006/relationships/hyperlink" Target="https://arcprize.org/play?task=b60334d2" TargetMode="External"/><Relationship Id="rId466" Type="http://schemas.openxmlformats.org/officeDocument/2006/relationships/hyperlink" Target="https://arcprize.org/play?task=b775ac94" TargetMode="External"/><Relationship Id="rId465" Type="http://schemas.openxmlformats.org/officeDocument/2006/relationships/hyperlink" Target="https://arcprize.org/play?task=67e8384a" TargetMode="External"/><Relationship Id="rId464" Type="http://schemas.openxmlformats.org/officeDocument/2006/relationships/hyperlink" Target="https://arcprize.org/play?task=b7249182" TargetMode="External"/><Relationship Id="rId463" Type="http://schemas.openxmlformats.org/officeDocument/2006/relationships/hyperlink" Target="https://arcprize.org/play?task=25ff71a9" TargetMode="External"/><Relationship Id="rId459" Type="http://schemas.openxmlformats.org/officeDocument/2006/relationships/hyperlink" Target="https://arcprize.org/play?task=1fad071e" TargetMode="External"/><Relationship Id="rId458" Type="http://schemas.openxmlformats.org/officeDocument/2006/relationships/hyperlink" Target="https://arcprize.org/play?task=b548a754" TargetMode="External"/><Relationship Id="rId457" Type="http://schemas.openxmlformats.org/officeDocument/2006/relationships/hyperlink" Target="https://arcprize.org/play?task=d23f8c26" TargetMode="External"/><Relationship Id="rId456" Type="http://schemas.openxmlformats.org/officeDocument/2006/relationships/hyperlink" Target="https://arcprize.org/play?task=b527c5c6" TargetMode="External"/><Relationship Id="rId451" Type="http://schemas.openxmlformats.org/officeDocument/2006/relationships/hyperlink" Target="https://arcprize.org/play?task=54d82841" TargetMode="External"/><Relationship Id="rId450" Type="http://schemas.openxmlformats.org/officeDocument/2006/relationships/hyperlink" Target="https://arcprize.org/play?task=b27ca6d3" TargetMode="External"/><Relationship Id="rId455" Type="http://schemas.openxmlformats.org/officeDocument/2006/relationships/hyperlink" Target="https://arcprize.org/play?task=c8f0f002" TargetMode="External"/><Relationship Id="rId454" Type="http://schemas.openxmlformats.org/officeDocument/2006/relationships/hyperlink" Target="https://arcprize.org/play?task=c9f8e694" TargetMode="External"/><Relationship Id="rId453" Type="http://schemas.openxmlformats.org/officeDocument/2006/relationships/hyperlink" Target="https://arcprize.org/play?task=b2862040" TargetMode="External"/><Relationship Id="rId452" Type="http://schemas.openxmlformats.org/officeDocument/2006/relationships/hyperlink" Target="https://arcprize.org/play?task=760b3cac" TargetMode="External"/><Relationship Id="rId491" Type="http://schemas.openxmlformats.org/officeDocument/2006/relationships/hyperlink" Target="https://arcprize.org/play?task=496994bd" TargetMode="External"/><Relationship Id="rId490" Type="http://schemas.openxmlformats.org/officeDocument/2006/relationships/hyperlink" Target="https://arcprize.org/play?task=cbded52d" TargetMode="External"/><Relationship Id="rId489" Type="http://schemas.openxmlformats.org/officeDocument/2006/relationships/hyperlink" Target="https://arcprize.org/play?task=44f52bb0" TargetMode="External"/><Relationship Id="rId484" Type="http://schemas.openxmlformats.org/officeDocument/2006/relationships/hyperlink" Target="https://arcprize.org/play?task=c0f76784" TargetMode="External"/><Relationship Id="rId483" Type="http://schemas.openxmlformats.org/officeDocument/2006/relationships/hyperlink" Target="https://arcprize.org/play?task=3618c87e" TargetMode="External"/><Relationship Id="rId482" Type="http://schemas.openxmlformats.org/officeDocument/2006/relationships/hyperlink" Target="https://arcprize.org/play?task=bdad9b1f" TargetMode="External"/><Relationship Id="rId481" Type="http://schemas.openxmlformats.org/officeDocument/2006/relationships/hyperlink" Target="https://arcprize.org/play?task=2dee498d" TargetMode="External"/><Relationship Id="rId488" Type="http://schemas.openxmlformats.org/officeDocument/2006/relationships/hyperlink" Target="https://arcprize.org/play?task=caa06a1f" TargetMode="External"/><Relationship Id="rId487" Type="http://schemas.openxmlformats.org/officeDocument/2006/relationships/hyperlink" Target="https://arcprize.org/play?task=3c9b0459" TargetMode="External"/><Relationship Id="rId486" Type="http://schemas.openxmlformats.org/officeDocument/2006/relationships/hyperlink" Target="https://arcprize.org/play?task=c909285e" TargetMode="External"/><Relationship Id="rId485" Type="http://schemas.openxmlformats.org/officeDocument/2006/relationships/hyperlink" Target="https://arcprize.org/play?task=3af2c5a8" TargetMode="External"/><Relationship Id="rId480" Type="http://schemas.openxmlformats.org/officeDocument/2006/relationships/hyperlink" Target="https://arcprize.org/play?task=bc1d5164" TargetMode="External"/><Relationship Id="rId479" Type="http://schemas.openxmlformats.org/officeDocument/2006/relationships/hyperlink" Target="https://arcprize.org/play?task=1e0a9b12" TargetMode="External"/><Relationship Id="rId478" Type="http://schemas.openxmlformats.org/officeDocument/2006/relationships/hyperlink" Target="https://arcprize.org/play?task=bb43febb" TargetMode="External"/><Relationship Id="rId473" Type="http://schemas.openxmlformats.org/officeDocument/2006/relationships/hyperlink" Target="https://arcprize.org/play?task=b1948b0a" TargetMode="External"/><Relationship Id="rId472" Type="http://schemas.openxmlformats.org/officeDocument/2006/relationships/hyperlink" Target="https://arcprize.org/play?task=b8cdaf2b" TargetMode="External"/><Relationship Id="rId471" Type="http://schemas.openxmlformats.org/officeDocument/2006/relationships/hyperlink" Target="https://arcprize.org/play?task=a79310a0" TargetMode="External"/><Relationship Id="rId470" Type="http://schemas.openxmlformats.org/officeDocument/2006/relationships/hyperlink" Target="https://arcprize.org/play?task=b8825c91" TargetMode="External"/><Relationship Id="rId477" Type="http://schemas.openxmlformats.org/officeDocument/2006/relationships/hyperlink" Target="https://arcprize.org/play?task=cce03e0d" TargetMode="External"/><Relationship Id="rId476" Type="http://schemas.openxmlformats.org/officeDocument/2006/relationships/hyperlink" Target="https://arcprize.org/play?task=b94a9452" TargetMode="External"/><Relationship Id="rId475" Type="http://schemas.openxmlformats.org/officeDocument/2006/relationships/hyperlink" Target="https://arcprize.org/play?task=c9f8e694" TargetMode="External"/><Relationship Id="rId474" Type="http://schemas.openxmlformats.org/officeDocument/2006/relationships/hyperlink" Target="https://arcprize.org/play?task=b91ae062" TargetMode="External"/><Relationship Id="rId426" Type="http://schemas.openxmlformats.org/officeDocument/2006/relationships/hyperlink" Target="https://arcprize.org/play?task=aba27056" TargetMode="External"/><Relationship Id="rId425" Type="http://schemas.openxmlformats.org/officeDocument/2006/relationships/hyperlink" Target="https://arcprize.org/play?task=5614dbcf" TargetMode="External"/><Relationship Id="rId424" Type="http://schemas.openxmlformats.org/officeDocument/2006/relationships/hyperlink" Target="https://arcprize.org/play?task=760b3cac" TargetMode="External"/><Relationship Id="rId423" Type="http://schemas.openxmlformats.org/officeDocument/2006/relationships/hyperlink" Target="https://arcprize.org/play?task=a9f96cdd" TargetMode="External"/><Relationship Id="rId429" Type="http://schemas.openxmlformats.org/officeDocument/2006/relationships/hyperlink" Target="https://arcprize.org/play?task=ac0a08a4" TargetMode="External"/><Relationship Id="rId428" Type="http://schemas.openxmlformats.org/officeDocument/2006/relationships/hyperlink" Target="https://arcprize.org/play?task=bd4472b8" TargetMode="External"/><Relationship Id="rId427" Type="http://schemas.openxmlformats.org/officeDocument/2006/relationships/hyperlink" Target="https://arcprize.org/play?task=aabf363d" TargetMode="External"/><Relationship Id="rId422" Type="http://schemas.openxmlformats.org/officeDocument/2006/relationships/hyperlink" Target="https://arcprize.org/play?task=0520fde7" TargetMode="External"/><Relationship Id="rId421" Type="http://schemas.openxmlformats.org/officeDocument/2006/relationships/hyperlink" Target="https://arcprize.org/play?task=85c4e7cd" TargetMode="External"/><Relationship Id="rId420" Type="http://schemas.openxmlformats.org/officeDocument/2006/relationships/hyperlink" Target="https://arcprize.org/play?task=a8d7556c" TargetMode="External"/><Relationship Id="rId415" Type="http://schemas.openxmlformats.org/officeDocument/2006/relationships/hyperlink" Target="https://arcprize.org/play?task=23b5c85d" TargetMode="External"/><Relationship Id="rId414" Type="http://schemas.openxmlformats.org/officeDocument/2006/relationships/hyperlink" Target="https://arcprize.org/play?task=a87f7484" TargetMode="External"/><Relationship Id="rId413" Type="http://schemas.openxmlformats.org/officeDocument/2006/relationships/hyperlink" Target="https://arcprize.org/play?task=f2829549" TargetMode="External"/><Relationship Id="rId412" Type="http://schemas.openxmlformats.org/officeDocument/2006/relationships/hyperlink" Target="https://arcprize.org/play?task=29c11459" TargetMode="External"/><Relationship Id="rId419" Type="http://schemas.openxmlformats.org/officeDocument/2006/relationships/hyperlink" Target="https://arcprize.org/play?task=d511f180" TargetMode="External"/><Relationship Id="rId418" Type="http://schemas.openxmlformats.org/officeDocument/2006/relationships/hyperlink" Target="https://arcprize.org/play?task=cce03e0d" TargetMode="External"/><Relationship Id="rId417" Type="http://schemas.openxmlformats.org/officeDocument/2006/relationships/hyperlink" Target="https://arcprize.org/play?task=a8c38be5" TargetMode="External"/><Relationship Id="rId416" Type="http://schemas.openxmlformats.org/officeDocument/2006/relationships/hyperlink" Target="https://arcprize.org/play?task=29c11459" TargetMode="External"/><Relationship Id="rId411" Type="http://schemas.openxmlformats.org/officeDocument/2006/relationships/hyperlink" Target="https://arcprize.org/play?task=a78176bb" TargetMode="External"/><Relationship Id="rId410" Type="http://schemas.openxmlformats.org/officeDocument/2006/relationships/hyperlink" Target="https://arcprize.org/play?task=e98196ab" TargetMode="External"/><Relationship Id="rId448" Type="http://schemas.openxmlformats.org/officeDocument/2006/relationships/hyperlink" Target="https://arcprize.org/play?task=6f8cd79b" TargetMode="External"/><Relationship Id="rId447" Type="http://schemas.openxmlformats.org/officeDocument/2006/relationships/hyperlink" Target="https://arcprize.org/play?task=b230c067" TargetMode="External"/><Relationship Id="rId446" Type="http://schemas.openxmlformats.org/officeDocument/2006/relationships/hyperlink" Target="https://arcprize.org/play?task=b9b7f026" TargetMode="External"/><Relationship Id="rId445" Type="http://schemas.openxmlformats.org/officeDocument/2006/relationships/hyperlink" Target="https://arcprize.org/play?task=3bd67248" TargetMode="External"/><Relationship Id="rId449" Type="http://schemas.openxmlformats.org/officeDocument/2006/relationships/hyperlink" Target="https://arcprize.org/play?task=eb281b96" TargetMode="External"/><Relationship Id="rId440" Type="http://schemas.openxmlformats.org/officeDocument/2006/relationships/hyperlink" Target="https://arcprize.org/play?task=22eb0ac0" TargetMode="External"/><Relationship Id="rId444" Type="http://schemas.openxmlformats.org/officeDocument/2006/relationships/hyperlink" Target="https://arcprize.org/play?task=b190f7f5" TargetMode="External"/><Relationship Id="rId443" Type="http://schemas.openxmlformats.org/officeDocument/2006/relationships/hyperlink" Target="https://arcprize.org/play?task=a85d4709" TargetMode="External"/><Relationship Id="rId442" Type="http://schemas.openxmlformats.org/officeDocument/2006/relationships/hyperlink" Target="https://arcprize.org/play?task=23581191" TargetMode="External"/><Relationship Id="rId441" Type="http://schemas.openxmlformats.org/officeDocument/2006/relationships/hyperlink" Target="https://arcprize.org/play?task=b0c4d837" TargetMode="External"/><Relationship Id="rId437" Type="http://schemas.openxmlformats.org/officeDocument/2006/relationships/hyperlink" Target="https://arcprize.org/play?task=007bbfb7" TargetMode="External"/><Relationship Id="rId436" Type="http://schemas.openxmlformats.org/officeDocument/2006/relationships/hyperlink" Target="https://arcprize.org/play?task=bbc9ae5d" TargetMode="External"/><Relationship Id="rId435" Type="http://schemas.openxmlformats.org/officeDocument/2006/relationships/hyperlink" Target="https://arcprize.org/play?task=aedd82e4" TargetMode="External"/><Relationship Id="rId434" Type="http://schemas.openxmlformats.org/officeDocument/2006/relationships/hyperlink" Target="https://arcprize.org/play?task=dae9d2b5" TargetMode="External"/><Relationship Id="rId439" Type="http://schemas.openxmlformats.org/officeDocument/2006/relationships/hyperlink" Target="https://arcprize.org/play?task=f76d97a5" TargetMode="External"/><Relationship Id="rId438" Type="http://schemas.openxmlformats.org/officeDocument/2006/relationships/hyperlink" Target="https://arcprize.org/play?task=af902bf9" TargetMode="External"/><Relationship Id="rId433" Type="http://schemas.openxmlformats.org/officeDocument/2006/relationships/hyperlink" Target="https://arcprize.org/play?task=bb43febb" TargetMode="External"/><Relationship Id="rId432" Type="http://schemas.openxmlformats.org/officeDocument/2006/relationships/hyperlink" Target="https://arcprize.org/play?task=ae3edfdc" TargetMode="External"/><Relationship Id="rId431" Type="http://schemas.openxmlformats.org/officeDocument/2006/relationships/hyperlink" Target="https://arcprize.org/play?task=be94b721" TargetMode="External"/><Relationship Id="rId430" Type="http://schemas.openxmlformats.org/officeDocument/2006/relationships/hyperlink" Target="https://arcprize.org/play?task=e9afcf9a"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16.0"/>
    <col customWidth="1" min="2" max="2" width="13.25"/>
    <col customWidth="1" min="26" max="26" width="12.63"/>
  </cols>
  <sheetData>
    <row r="1" ht="43.5" customHeight="1">
      <c r="A1" s="1"/>
      <c r="B1" s="2" t="s">
        <v>0</v>
      </c>
      <c r="C1" s="1" t="s">
        <v>1</v>
      </c>
      <c r="D1" s="3" t="s">
        <v>2</v>
      </c>
      <c r="E1" s="1" t="s">
        <v>3</v>
      </c>
      <c r="F1" s="4" t="s">
        <v>4</v>
      </c>
      <c r="G1" s="1" t="s">
        <v>5</v>
      </c>
      <c r="H1" s="1" t="s">
        <v>6</v>
      </c>
      <c r="I1" s="1" t="s">
        <v>7</v>
      </c>
      <c r="J1" s="1" t="s">
        <v>8</v>
      </c>
      <c r="K1" s="1" t="s">
        <v>9</v>
      </c>
      <c r="L1" s="1" t="s">
        <v>10</v>
      </c>
      <c r="M1" s="5" t="s">
        <v>11</v>
      </c>
      <c r="N1" s="1" t="s">
        <v>12</v>
      </c>
      <c r="O1" s="1" t="s">
        <v>13</v>
      </c>
      <c r="P1" s="1" t="s">
        <v>14</v>
      </c>
      <c r="Q1" s="1" t="s">
        <v>15</v>
      </c>
      <c r="R1" s="5"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c r="AS1" s="1" t="s">
        <v>42</v>
      </c>
      <c r="AT1" s="1" t="s">
        <v>43</v>
      </c>
      <c r="AU1" s="1" t="s">
        <v>44</v>
      </c>
      <c r="AV1" s="1" t="s">
        <v>45</v>
      </c>
      <c r="AW1" s="1" t="s">
        <v>46</v>
      </c>
      <c r="AX1" s="1" t="s">
        <v>47</v>
      </c>
      <c r="AY1" s="6" t="s">
        <v>48</v>
      </c>
      <c r="AZ1" s="1"/>
      <c r="BA1" s="1"/>
      <c r="BB1" s="1"/>
      <c r="BC1" s="1"/>
    </row>
    <row r="2">
      <c r="A2" s="7" t="s">
        <v>49</v>
      </c>
      <c r="B2" s="8">
        <f t="array" ref="B2">LET(
  result, SUM(IF(ISNUMBER(B12:B411), IF((2500 - B12:B411) &gt; 1, 2500 - B12:B411, 1), 0)),
  IF(result = 0, "", result)
)</f>
        <v>962070</v>
      </c>
      <c r="C2" s="8">
        <f t="array" ref="C2">LET(
  result, SUM(IF(ISNUMBER(C12:C411), IF((2500 - C12:C411) &gt; 1, 2500 - C12:C411, 1), 0)),
  IF(result = 0, "", result)
)</f>
        <v>913684</v>
      </c>
      <c r="D2" s="8">
        <f t="array" ref="D2">LET(
  result, SUM(IF(ISNUMBER(D12:D411), IF((2500 - D12:D411) &gt; 1, 2500 - D12:D411, 1), 0)),
  IF(result = 0, "", result)
)</f>
        <v>961784</v>
      </c>
      <c r="E2" s="8">
        <f t="array" ref="E2">LET(
  result, SUM(IF(ISNUMBER(E12:E411), IF((2500 - E12:E411) &gt; 1, 2500 - E12:E411, 1), 0)),
  IF(result = 0, "", result)
)</f>
        <v>913549</v>
      </c>
      <c r="F2" s="8">
        <f t="array" ref="F2">LET(
  result, SUM(IF(ISNUMBER(F12:F411), IF((2500 - F12:F411) &gt; 1, 2500 - F12:F411, 1), 0)),
  IF(result = 0, "", result)
)</f>
        <v>961805</v>
      </c>
      <c r="G2" s="8">
        <f t="array" ref="G2">LET(
  result, SUM(IF(ISNUMBER(G12:G411), IF((2500 - G12:G411) &gt; 1, 2500 - G12:G411, 1), 0)),
  IF(result = 0, "", result)
)</f>
        <v>906884</v>
      </c>
      <c r="H2" s="8">
        <f t="array" ref="H2">LET(
  result, SUM(IF(ISNUMBER(H12:H411), IF((2500 - H12:H411) &gt; 1, 2500 - H12:H411, 1), 0)),
  IF(result = 0, "", result)
)</f>
        <v>370321</v>
      </c>
      <c r="I2" s="8">
        <f t="array" ref="I2">LET(
  result, SUM(IF(ISNUMBER(I12:I411), IF((2500 - I12:I411) &gt; 1, 2500 - I12:I411, 1), 0)),
  IF(result = 0, "", result)
)</f>
        <v>431944</v>
      </c>
      <c r="J2" s="8">
        <f t="array" ref="J2">LET(
  result, SUM(IF(ISNUMBER(J12:J411), IF((2500 - J12:J411) &gt; 1, 2500 - J12:J411, 1), 0)),
  IF(result = 0, "", result)
)</f>
        <v>957177</v>
      </c>
      <c r="K2" s="8">
        <f t="array" ref="K2">LET(
  result, SUM(IF(ISNUMBER(K12:K411), IF((2500 - K12:K411) &gt; 1, 2500 - K12:K411, 1), 0)),
  IF(result = 0, "", result)
)</f>
        <v>954571</v>
      </c>
      <c r="L2" s="8">
        <f t="array" ref="L2">LET(
  result, SUM(IF(ISNUMBER(L12:L411), IF((2500 - L12:L411) &gt; 1, 2500 - L12:L411, 1), 0)),
  IF(result = 0, "", result)
)</f>
        <v>949303</v>
      </c>
      <c r="M2" s="8">
        <f t="array" ref="M2">LET(
  result, SUM(IF(ISNUMBER(M12:M411), IF((2500 - M12:M411) &gt; 1, 2500 - M12:M411, 1), 0)),
  IF(result = 0, "", result)
)</f>
        <v>956015</v>
      </c>
      <c r="N2" s="8">
        <f t="array" ref="N2">LET(
  result, SUM(IF(ISNUMBER(N12:N411), IF((2500 - N12:N411) &gt; 1, 2500 - N12:N411, 1), 0)),
  IF(result = 0, "", result)
)</f>
        <v>28848</v>
      </c>
      <c r="O2" s="8">
        <f t="array" ref="O2">LET(
  result, SUM(IF(ISNUMBER(O12:O411), IF((2500 - O12:O411) &gt; 1, 2500 - O12:O411, 1), 0)),
  IF(result = 0, "", result)
)</f>
        <v>12089</v>
      </c>
      <c r="P2" s="8">
        <f t="array" ref="P2">LET(
  result, SUM(IF(ISNUMBER(P12:P411), IF((2500 - P12:P411) &gt; 1, 2500 - P12:P411, 1), 0)),
  IF(result = 0, "", result)
)</f>
        <v>78588</v>
      </c>
      <c r="Q2" s="8">
        <f t="array" ref="Q2">LET(
  result, SUM(IF(ISNUMBER(Q12:Q411), IF((2500 - Q12:Q411) &gt; 1, 2500 - Q12:Q411, 1), 0)),
  IF(result = 0, "", result)
)</f>
        <v>874327</v>
      </c>
      <c r="R2" s="8">
        <f t="array" ref="R2">LET(
  result, SUM(IF(ISNUMBER(R12:R411), IF((2500 - R12:R411) &gt; 1, 2500 - R12:R411, 1), 0)),
  IF(result = 0, "", result)
)</f>
        <v>953336</v>
      </c>
      <c r="S2" s="8">
        <f t="array" ref="S2">LET(
  result, SUM(IF(ISNUMBER(S12:S411), IF((2500 - S12:S411) &gt; 1, 2500 - S12:S411, 1), 0)),
  IF(result = 0, "", result)
)</f>
        <v>393322</v>
      </c>
      <c r="T2" s="8">
        <f t="array" ref="T2">LET(
  result, SUM(IF(ISNUMBER(T12:T411), IF((2500 - T12:T411) &gt; 1, 2500 - T12:T411, 1), 0)),
  IF(result = 0, "", result)
)</f>
        <v>457334</v>
      </c>
      <c r="U2" s="8">
        <f t="array" ref="U2">LET(
  result, SUM(IF(ISNUMBER(U12:U411), IF((2500 - U12:U411) &gt; 1, 2500 - U12:U411, 1), 0)),
  IF(result = 0, "", result)
)</f>
        <v>655906</v>
      </c>
      <c r="V2" s="8">
        <f t="array" ref="V2">LET(
  result, SUM(IF(ISNUMBER(V12:V411), IF((2500 - V12:V411) &gt; 1, 2500 - V12:V411, 1), 0)),
  IF(result = 0, "", result)
)</f>
        <v>520740</v>
      </c>
      <c r="W2" s="8">
        <f t="array" ref="W2">LET(
  result, SUM(IF(ISNUMBER(W12:W411), IF((2500 - W12:W411) &gt; 1, 2500 - W12:W411, 1), 0)),
  IF(result = 0, "", result)
)</f>
        <v>752260</v>
      </c>
      <c r="X2" s="8">
        <f t="array" ref="X2">LET(
  result, SUM(IF(ISNUMBER(X12:X411), IF((2500 - X12:X411) &gt; 1, 2500 - X12:X411, 1), 0)),
  IF(result = 0, "", result)
)</f>
        <v>604366</v>
      </c>
      <c r="Y2" s="8">
        <f t="array" ref="Y2">LET(
  result, SUM(IF(ISNUMBER(Y12:Y411), IF((2500 - Y12:Y411) &gt; 1, 2500 - Y12:Y411, 1), 0)),
  IF(result = 0, "", result)
)</f>
        <v>897188</v>
      </c>
      <c r="Z2" s="8">
        <f t="array" ref="Z2">LET(
  result, SUM(IF(ISNUMBER(Z12:Z411), IF((2500 - Z12:Z411) &gt; 1, 2500 - Z12:Z411, 1), 0)),
  IF(result = 0, "", result)
)</f>
        <v>955424</v>
      </c>
      <c r="AA2" s="8">
        <f t="array" ref="AA2">LET(
  result, SUM(IF(ISNUMBER(AA12:AA411), IF((2500 - AA12:AA411) &gt; 1, 2500 - AA12:AA411, 1), 0)),
  IF(result = 0, "", result)
)</f>
        <v>22314</v>
      </c>
      <c r="AB2" s="8">
        <f t="array" ref="AB2">LET(
  result, SUM(IF(ISNUMBER(AB12:AB411), IF((2500 - AB12:AB411) &gt; 1, 2500 - AB12:AB411, 1), 0)),
  IF(result = 0, "", result)
)</f>
        <v>916667</v>
      </c>
      <c r="AC2" s="8">
        <f t="array" ref="AC2">LET(
  result, SUM(IF(ISNUMBER(AC12:AC411), IF((2500 - AC12:AC411) &gt; 1, 2500 - AC12:AC411, 1), 0)),
  IF(result = 0, "", result)
)</f>
        <v>912476</v>
      </c>
      <c r="AD2" s="8">
        <f t="array" ref="AD2">LET(
  result, SUM(IF(ISNUMBER(AD12:AD411), IF((2500 - AD12:AD411) &gt; 1, 2500 - AD12:AD411, 1), 0)),
  IF(result = 0, "", result)
)</f>
        <v>241721</v>
      </c>
      <c r="AE2" s="8">
        <f t="array" ref="AE2">LET(
  result, SUM(IF(ISNUMBER(AE12:AE411), IF((2500 - AE12:AE411) &gt; 1, 2500 - AE12:AE411, 1), 0)),
  IF(result = 0, "", result)
)</f>
        <v>924381</v>
      </c>
      <c r="AF2" s="8">
        <f t="array" ref="AF2">LET(
  result, SUM(IF(ISNUMBER(AF12:AF411), IF((2500 - AF12:AF411) &gt; 1, 2500 - AF12:AF411, 1), 0)),
  IF(result = 0, "", result)
)</f>
        <v>894624</v>
      </c>
      <c r="AG2" s="8">
        <f t="array" ref="AG2">LET(
  result, SUM(IF(ISNUMBER(AG12:AG411), IF((2500 - AG12:AG411) &gt; 1, 2500 - AG12:AG411, 1), 0)),
  IF(result = 0, "", result)
)</f>
        <v>610357</v>
      </c>
      <c r="AH2" s="8">
        <f t="array" ref="AH2">LET(
  result, SUM(IF(ISNUMBER(AH12:AH411), IF((2500 - AH12:AH411) &gt; 1, 2500 - AH12:AH411, 1), 0)),
  IF(result = 0, "", result)
)</f>
        <v>941084</v>
      </c>
      <c r="AI2" s="8">
        <f t="array" ref="AI2">LET(
  result, SUM(IF(ISNUMBER(AI12:AI411), IF((2500 - AI12:AI411) &gt; 1, 2500 - AI12:AI411, 1), 0)),
  IF(result = 0, "", result)
)</f>
        <v>944525</v>
      </c>
      <c r="AJ2" s="8">
        <f t="array" ref="AJ2">LET(
  result, SUM(IF(ISNUMBER(AJ12:AJ411), IF((2500 - AJ12:AJ411) &gt; 1, 2500 - AJ12:AJ411, 1), 0)),
  IF(result = 0, "", result)
)</f>
        <v>927316</v>
      </c>
      <c r="AK2" s="8">
        <f t="array" ref="AK2">LET(
  result, SUM(IF(ISNUMBER(AK12:AK411), IF((2500 - AK12:AK411) &gt; 1, 2500 - AK12:AK411, 1), 0)),
  IF(result = 0, "", result)
)</f>
        <v>241578</v>
      </c>
      <c r="AL2" s="8">
        <f t="array" ref="AL2">LET(
  result, SUM(IF(ISNUMBER(AL12:AL411), IF((2500 - AL12:AL411) &gt; 1, 2500 - AL12:AL411, 1), 0)),
  IF(result = 0, "", result)
)</f>
        <v>931043</v>
      </c>
      <c r="AM2" s="8">
        <f t="array" ref="AM2">LET(
  result, SUM(IF(ISNUMBER(AM12:AM411), IF((2500 - AM12:AM411) &gt; 1, 2500 - AM12:AM411, 1), 0)),
  IF(result = 0, "", result)
)</f>
        <v>945772</v>
      </c>
      <c r="AN2" s="8">
        <f t="array" ref="AN2">LET(
  result, SUM(IF(ISNUMBER(AN12:AN411), IF((2500 - AN12:AN411) &gt; 1, 2500 - AN12:AN411, 1), 0)),
  IF(result = 0, "", result)
)</f>
        <v>913322</v>
      </c>
      <c r="AO2" s="8">
        <f t="array" ref="AO2">LET(
  result, SUM(IF(ISNUMBER(AO12:AO411), IF((2500 - AO12:AO411) &gt; 1, 2500 - AO12:AO411, 1), 0)),
  IF(result = 0, "", result)
)</f>
        <v>957513</v>
      </c>
      <c r="AP2" s="8">
        <f t="array" ref="AP2">LET(
  result, SUM(IF(ISNUMBER(AP12:AP411), IF((2500 - AP12:AP411) &gt; 1, 2500 - AP12:AP411, 1), 0)),
  IF(result = 0, "", result)
)</f>
        <v>937943</v>
      </c>
      <c r="AQ2" s="8">
        <f t="array" ref="AQ2">LET(
  result, SUM(IF(ISNUMBER(AQ12:AQ411), IF((2500 - AQ12:AQ411) &gt; 1, 2500 - AQ12:AQ411, 1), 0)),
  IF(result = 0, "", result)
)</f>
        <v>944204</v>
      </c>
      <c r="AR2" s="8" t="str">
        <f t="array" ref="AR2">LET(
  result, SUM(IF(ISNUMBER(AR13:AR411), IF((2500 - AR13:AR411) &gt; 1, 2500 - AR13:AR411, 1), 0)),
  IF(result = 0, "", result)
)</f>
        <v/>
      </c>
      <c r="AS2" s="8">
        <f t="array" ref="AS2">LET(
  result, SUM(IF(ISNUMBER(AS12:AS411), IF((2500 - AS12:AS411) &gt; 1, 2500 - AS12:AS411, 1), 0)),
  IF(result = 0, "", result)
)</f>
        <v>951260</v>
      </c>
      <c r="AT2" s="8">
        <f t="array" ref="AT2">LET(
  result, SUM(IF(ISNUMBER(AT12:AT411), IF((2500 - AT12:AT411) &gt; 1, 2500 - AT12:AT411, 1), 0)),
  IF(result = 0, "", result)
)</f>
        <v>925835</v>
      </c>
      <c r="AU2" s="8">
        <f t="array" ref="AU2">LET(
  result, SUM(IF(ISNUMBER(AU12:AU411), IF((2500 - AU12:AU411) &gt; 1, 2500 - AU12:AU411, 1), 0)),
  IF(result = 0, "", result)
)</f>
        <v>957568</v>
      </c>
      <c r="AV2" s="8">
        <f t="array" ref="AV2">LET(
  result, SUM(IF(ISNUMBER(AV12:AV411), IF((2500 - AV12:AV411) &gt; 1, 2500 - AV12:AV411, 1), 0)),
  IF(result = 0, "", result)
)</f>
        <v>957810</v>
      </c>
      <c r="AW2" s="8">
        <f t="array" ref="AW2">LET(
  result, SUM(IF(ISNUMBER(AW12:AW411), IF((2500 - AW12:AW411) &gt; 1, 2500 - AW12:AW411, 1), 0)),
  IF(result = 0, "", result)
)</f>
        <v>956458</v>
      </c>
      <c r="AX2" s="8">
        <f t="array" ref="AX2">LET(
  result, SUM(IF(ISNUMBER(AX12:AX411), IF((2500 - AX12:AX411) &gt; 1, 2500 - AX12:AX411, 1), 0)),
  IF(result = 0, "", result)
)</f>
        <v>954246</v>
      </c>
      <c r="AY2" s="8">
        <f t="array" ref="AY2">LET(
  result, SUM(IF(ISNUMBER(AY12:AY411), IF((2500 - AY12:AY411) &gt; 1, 2500 - AY12:AY411, 1), 0)),
  IF(result = 0, "", result)
)</f>
        <v>963477</v>
      </c>
      <c r="AZ2" s="8" t="str">
        <f t="array" ref="AZ2">LET(
  result, SUM(IF(ISNUMBER(AZ12:AZ411), IF((2500 - AZ12:AZ411) &gt; 1, 2500 - AZ12:AZ411, 1), 0)),
  IF(result = 0, "", result)
)</f>
        <v/>
      </c>
      <c r="BA2" s="8" t="str">
        <f t="array" ref="BA2">LET(
  result, SUM(IF(ISNUMBER(BA12:BA411), IF((2500 - BA12:BA411) &gt; 1, 2500 - BA12:BA411, 1), 0)),
  IF(result = 0, "", result)
)</f>
        <v/>
      </c>
      <c r="BB2" s="8" t="str">
        <f t="array" ref="BB2">LET(
  result, SUM(IF(ISNUMBER(BB12:BB411), IF((2500 - BB12:BB411) &gt; 1, 2500 - BB12:BB411, 1), 0)),
  IF(result = 0, "", result)
)</f>
        <v/>
      </c>
      <c r="BC2" s="8" t="str">
        <f t="array" ref="BC2">LET(
  result, SUM(IF(ISNUMBER(BC12:BC411), IF((2500 - BC12:BC411) &gt; 1, 2500 - BC12:BC411, 1), 0)),
  IF(result = 0, "", result)
)</f>
        <v/>
      </c>
    </row>
    <row r="3">
      <c r="A3" s="9" t="s">
        <v>50</v>
      </c>
      <c r="B3" s="8" t="str">
        <f>IF(COUNT(B12:B411)=0, "", concatenate("💎",sumproduct(B12:B411=Compilation!$E9:$E408)," 🥇",sumproduct(B12:B411=Compilation!$F9:$F408),"
🥈",sumproduct(B12:B411=Compilation!$G9:$G408)," 🥉",sumproduct(B12:B411=Compilation!$H9:$H408)))</f>
        <v>💎83 🥇231
🥈82 🥉52</v>
      </c>
      <c r="C3" s="8" t="str">
        <f>IF(COUNT(C12:C411)=0, "", concatenate("💎",sumproduct(C12:C411=Compilation!$E9:$E408)," 🥇",sumproduct(C12:C411=Compilation!$F9:$F408),"
🥈",sumproduct(C12:C411=Compilation!$G9:$G408)," 🥉",sumproduct(C12:C411=Compilation!$H9:$H408)))</f>
        <v>💎0 🥇18
🥈0 🥉0</v>
      </c>
      <c r="D3" s="8" t="str">
        <f>IF(COUNT(D12:D411)=0, "", concatenate("💎",sumproduct(D12:D411=Compilation!$E9:$E408)," 🥇",sumproduct(D12:D411=Compilation!$F9:$F408),"
🥈",sumproduct(D12:D411=Compilation!$G9:$G408)," 🥉",sumproduct(D12:D411=Compilation!$H9:$H408)))</f>
        <v>💎71 🥇197
🥈83 🥉52</v>
      </c>
      <c r="E3" s="8" t="str">
        <f>IF(COUNT(E12:E411)=0, "", concatenate("💎",sumproduct(E12:E411=Compilation!$E9:$E408)," 🥇",sumproduct(E12:E411=Compilation!$F9:$F408),"
🥈",sumproduct(E12:E411=Compilation!$G9:$G408)," 🥉",sumproduct(E12:E411=Compilation!$H9:$H408)))</f>
        <v>💎0 🥇18
🥈0 🥉0</v>
      </c>
      <c r="F3" s="8" t="str">
        <f>IF(COUNT(F12:F411)=0, "", concatenate("💎",sumproduct(F12:F411=Compilation!$E9:$E408)," 🥇",sumproduct(F12:F411=Compilation!$F9:$F408),"
🥈",sumproduct(F12:F411=Compilation!$G9:$G408)," 🥉",sumproduct(F12:F411=Compilation!$H9:$H408)))</f>
        <v>💎55 🥇193
🥈99 🥉67</v>
      </c>
      <c r="G3" s="8" t="str">
        <f>IF(COUNT(G12:G411)=0, "", concatenate("💎",sumproduct(G12:G411=Compilation!$E9:$E408)," 🥇",sumproduct(G12:G411=Compilation!$F9:$F408),"
🥈",sumproduct(G12:G411=Compilation!$G9:$G408)," 🥉",sumproduct(G12:G411=Compilation!$H9:$H408)))</f>
        <v>💎0 🥇27
🥈3 🥉0</v>
      </c>
      <c r="H3" s="8" t="str">
        <f>IF(COUNT(H12:H411)=0, "", concatenate("💎",sumproduct(H12:H411=Compilation!$E9:$E408)," 🥇",sumproduct(H12:H411=Compilation!$F9:$F408),"
🥈",sumproduct(H12:H411=Compilation!$G9:$G408)," 🥉",sumproduct(H12:H411=Compilation!$H9:$H408)))</f>
        <v>💎0 🥇37
🥈4 🥉1</v>
      </c>
      <c r="I3" s="8" t="str">
        <f>IF(COUNT(I12:I411)=0, "", concatenate("💎",sumproduct(I12:I411=Compilation!$E9:$E408)," 🥇",sumproduct(I12:I411=Compilation!$F9:$F408),"
🥈",sumproduct(I12:I411=Compilation!$G9:$G408)," 🥉",sumproduct(I12:I411=Compilation!$H9:$H408)))</f>
        <v>💎0 🥇24
🥈5 🥉0</v>
      </c>
      <c r="J3" s="8" t="str">
        <f>IF(COUNT(J12:J411)=0, "", concatenate("💎",sumproduct(J12:J411=Compilation!$E9:$E408)," 🥇",sumproduct(J12:J411=Compilation!$F9:$F408),"
🥈",sumproduct(J12:J411=Compilation!$G9:$G408)," 🥉",sumproduct(J12:J411=Compilation!$H9:$H408)))</f>
        <v>💎1 🥇74
🥈12 🥉7</v>
      </c>
      <c r="K3" s="8" t="str">
        <f>IF(COUNT(K12:K411)=0, "", concatenate("💎",sumproduct(K12:K411=Compilation!$E9:$E408)," 🥇",sumproduct(K12:K411=Compilation!$F9:$F408),"
🥈",sumproduct(K12:K411=Compilation!$G9:$G408)," 🥉",sumproduct(K12:K411=Compilation!$H9:$H408)))</f>
        <v>💎0 🥇58
🥈9 🥉5</v>
      </c>
      <c r="L3" s="8" t="str">
        <f>IF(COUNT(L12:L411)=0, "", concatenate("💎",sumproduct(L12:L411=Compilation!$E9:$E408)," 🥇",sumproduct(L12:L411=Compilation!$F9:$F408),"
🥈",sumproduct(L12:L411=Compilation!$G9:$G408)," 🥉",sumproduct(L12:L411=Compilation!$H9:$H408)))</f>
        <v>💎0 🥇39
🥈5 🥉0</v>
      </c>
      <c r="M3" s="8" t="str">
        <f>IF(COUNT(M12:M411)=0, "", concatenate("💎",sumproduct(M12:M411=Compilation!$E9:$E408)," 🥇",sumproduct(M12:M411=Compilation!$F9:$F408),"
🥈",sumproduct(M12:M411=Compilation!$G9:$G408)," 🥉",sumproduct(M12:M411=Compilation!$H9:$H408)))</f>
        <v>💎1 🥇69
🥈23 🥉17</v>
      </c>
      <c r="N3" s="8" t="str">
        <f>IF(COUNT(N12:N411)=0, "", concatenate("💎",sumproduct(N12:N411=Compilation!$E9:$E408)," 🥇",sumproduct(N12:N411=Compilation!$F9:$F408),"
🥈",sumproduct(N12:N411=Compilation!$G9:$G408)," 🥉",sumproduct(N12:N411=Compilation!$H9:$H408)))</f>
        <v>💎0 🥇2
🥈0 🥉0</v>
      </c>
      <c r="O3" s="8" t="str">
        <f>IF(COUNT(O12:O411)=0, "", concatenate("💎",sumproduct(O12:O411=Compilation!$E9:$E408)," 🥇",sumproduct(O12:O411=Compilation!$F9:$F408),"
🥈",sumproduct(O12:O411=Compilation!$G9:$G408)," 🥉",sumproduct(O12:O411=Compilation!$H9:$H408)))</f>
        <v>💎0 🥇0
🥈0 🥉0</v>
      </c>
      <c r="P3" s="8" t="str">
        <f>IF(COUNT(P12:P411)=0, "", concatenate("💎",sumproduct(P12:P411=Compilation!$E9:$E408)," 🥇",sumproduct(P12:P411=Compilation!$F9:$F408),"
🥈",sumproduct(P12:P411=Compilation!$G9:$G408)," 🥉",sumproduct(P12:P411=Compilation!$H9:$H408)))</f>
        <v>💎0 🥇0
🥈0 🥉0</v>
      </c>
      <c r="Q3" s="8" t="str">
        <f>IF(COUNT(Q12:Q411)=0, "", concatenate("💎",sumproduct(Q12:Q411=Compilation!$E9:$E408)," 🥇",sumproduct(Q12:Q411=Compilation!$F9:$F408),"
🥈",sumproduct(Q12:Q411=Compilation!$G9:$G408)," 🥉",sumproduct(Q12:Q411=Compilation!$H9:$H408)))</f>
        <v>💎0 🥇18
🥈2 🥉0</v>
      </c>
      <c r="R3" s="8" t="str">
        <f>IF(COUNT(R12:R411)=0, "", concatenate("💎",sumproduct(R12:R411=Compilation!$E9:$E408)," 🥇",sumproduct(R12:R411=Compilation!$F9:$F408),"
🥈",sumproduct(R12:R411=Compilation!$G9:$G408)," 🥉",sumproduct(R12:R411=Compilation!$H9:$H408)))</f>
        <v>💎0 🥇32
🥈4 🥉0</v>
      </c>
      <c r="S3" s="8" t="str">
        <f>IF(COUNT(S12:S411)=0, "", concatenate("💎",sumproduct(S12:S411=Compilation!$E9:$E408)," 🥇",sumproduct(S12:S411=Compilation!$F9:$F408),"
🥈",sumproduct(S12:S411=Compilation!$G9:$G408)," 🥉",sumproduct(S12:S411=Compilation!$H9:$H408)))</f>
        <v>💎0 🥇9
🥈3 🥉0</v>
      </c>
      <c r="T3" s="8" t="str">
        <f>IF(COUNT(T12:T411)=0, "", concatenate("💎",sumproduct(T12:T411=Compilation!$E9:$E408)," 🥇",sumproduct(T12:T411=Compilation!$F9:$F408),"
🥈",sumproduct(T12:T411=Compilation!$G9:$G408)," 🥉",sumproduct(T12:T411=Compilation!$H9:$H408)))</f>
        <v>💎0 🥇18
🥈1 🥉0</v>
      </c>
      <c r="U3" s="8" t="str">
        <f>IF(COUNT(U12:U411)=0, "", concatenate("💎",sumproduct(U12:U411=Compilation!$E9:$E408)," 🥇",sumproduct(U12:U411=Compilation!$F9:$F408),"
🥈",sumproduct(U12:U411=Compilation!$G9:$G408)," 🥉",sumproduct(U12:U411=Compilation!$H9:$H408)))</f>
        <v>💎0 🥇12
🥈0 🥉0</v>
      </c>
      <c r="V3" s="8" t="str">
        <f>IF(COUNT(V12:V411)=0, "", concatenate("💎",sumproduct(V12:V411=Compilation!$E9:$E408)," 🥇",sumproduct(V12:V411=Compilation!$F9:$F408),"
🥈",sumproduct(V12:V411=Compilation!$G9:$G408)," 🥉",sumproduct(V12:V411=Compilation!$H9:$H408)))</f>
        <v>💎0 🥇30
🥈4 🥉0</v>
      </c>
      <c r="W3" s="8" t="str">
        <f>IF(COUNT(W12:W411)=0, "", concatenate("💎",sumproduct(W12:W411=Compilation!$E9:$E408)," 🥇",sumproduct(W12:W411=Compilation!$F9:$F408),"
🥈",sumproduct(W12:W411=Compilation!$G9:$G408)," 🥉",sumproduct(W12:W411=Compilation!$H9:$H408)))</f>
        <v>💎2 🥇59
🥈12 🥉12</v>
      </c>
      <c r="X3" s="8" t="str">
        <f>IF(COUNT(X12:X411)=0, "", concatenate("💎",sumproduct(X12:X411=Compilation!$E9:$E408)," 🥇",sumproduct(X12:X411=Compilation!$F9:$F408),"
🥈",sumproduct(X12:X411=Compilation!$G9:$G408)," 🥉",sumproduct(X12:X411=Compilation!$H9:$H408)))</f>
        <v>💎0 🥇10
🥈0 🥉0</v>
      </c>
      <c r="Y3" s="8" t="str">
        <f>IF(COUNT(Y12:Y411)=0, "", concatenate("💎",sumproduct(Y12:Y411=Compilation!$E9:$E408)," 🥇",sumproduct(Y12:Y411=Compilation!$F9:$F408),"
🥈",sumproduct(Y12:Y411=Compilation!$G9:$G408)," 🥉",sumproduct(Y12:Y411=Compilation!$H9:$H408)))</f>
        <v>💎0 🥇11
🥈0 🥉0</v>
      </c>
      <c r="Z3" s="8" t="str">
        <f>IF(COUNT(Z12:Z411)=0, "", concatenate("💎",sumproduct(Z12:Z411=Compilation!$E9:$E408)," 🥇",sumproduct(Z12:Z411=Compilation!$F9:$F408),"
🥈",sumproduct(Z12:Z411=Compilation!$G9:$G408)," 🥉",sumproduct(Z12:Z411=Compilation!$H9:$H408)))</f>
        <v>💎0 🥇61
🥈10 🥉4</v>
      </c>
      <c r="AA3" s="8" t="str">
        <f>IF(COUNT(AA12:AA411)=0, "", concatenate("💎",sumproduct(AA12:AA411=Compilation!$E9:$E408)," 🥇",sumproduct(AA12:AA411=Compilation!$F9:$F408),"
🥈",sumproduct(AA12:AA411=Compilation!$G9:$G408)," 🥉",sumproduct(AA12:AA411=Compilation!$H9:$H408)))</f>
        <v>💎1 🥇1
🥈0 🥉0</v>
      </c>
      <c r="AB3" s="8" t="str">
        <f>IF(COUNT(AB12:AB411)=0, "", concatenate("💎",sumproduct(AB12:AB411=Compilation!$E9:$E408)," 🥇",sumproduct(AB12:AB411=Compilation!$F9:$F408),"
🥈",sumproduct(AB12:AB411=Compilation!$G9:$G408)," 🥉",sumproduct(AB12:AB411=Compilation!$H9:$H408)))</f>
        <v>💎0 🥇11
🥈0 🥉0</v>
      </c>
      <c r="AC3" s="8" t="str">
        <f>IF(COUNT(AC12:AC411)=0, "", concatenate("💎",sumproduct(AC12:AC411=Compilation!$E9:$E408)," 🥇",sumproduct(AC12:AC411=Compilation!$F9:$F408),"
🥈",sumproduct(AC12:AC411=Compilation!$G9:$G408)," 🥉",sumproduct(AC12:AC411=Compilation!$H9:$H408)))</f>
        <v>💎0 🥇16
🥈0 🥉0</v>
      </c>
      <c r="AD3" s="8" t="str">
        <f>IF(COUNT(AD12:AD411)=0, "", concatenate("💎",sumproduct(AD12:AD411=Compilation!$E9:$E408)," 🥇",sumproduct(AD12:AD411=Compilation!$F9:$F408),"
🥈",sumproduct(AD12:AD411=Compilation!$G9:$G408)," 🥉",sumproduct(AD12:AD411=Compilation!$H9:$H408)))</f>
        <v>💎0 🥇28
🥈3 🥉0</v>
      </c>
      <c r="AE3" s="8" t="str">
        <f>IF(COUNT(AE12:AE411)=0, "", concatenate("💎",sumproduct(AE12:AE411=Compilation!$E9:$E408)," 🥇",sumproduct(AE12:AE411=Compilation!$F9:$F408),"
🥈",sumproduct(AE12:AE411=Compilation!$G9:$G408)," 🥉",sumproduct(AE12:AE411=Compilation!$H9:$H408)))</f>
        <v>💎0 🥇19
🥈0 🥉0</v>
      </c>
      <c r="AF3" s="8" t="str">
        <f>IF(COUNT(AF12:AF411)=0, "", concatenate("💎",sumproduct(AF12:AF411=Compilation!$E9:$E408)," 🥇",sumproduct(AF12:AF411=Compilation!$F9:$F408),"
🥈",sumproduct(AF12:AF411=Compilation!$G9:$G408)," 🥉",sumproduct(AF12:AF411=Compilation!$H9:$H408)))</f>
        <v>💎0 🥇11
🥈0 🥉0</v>
      </c>
      <c r="AG3" s="8" t="str">
        <f>IF(COUNT(AG12:AG411)=0, "", concatenate("💎",sumproduct(AG12:AG411=Compilation!$E9:$E408)," 🥇",sumproduct(AG12:AG411=Compilation!$F9:$F408),"
🥈",sumproduct(AG12:AG411=Compilation!$G9:$G408)," 🥉",sumproduct(AG12:AG411=Compilation!$H9:$H408)))</f>
        <v>💎0 🥇17
🥈0 🥉0</v>
      </c>
      <c r="AH3" s="8" t="str">
        <f>IF(COUNT(AH12:AH411)=0, "", concatenate("💎",sumproduct(AH12:AH411=Compilation!$E9:$E408)," 🥇",sumproduct(AH12:AH411=Compilation!$F9:$F408),"
🥈",sumproduct(AH12:AH411=Compilation!$G9:$G408)," 🥉",sumproduct(AH12:AH411=Compilation!$H9:$H408)))</f>
        <v>💎0 🥇34
🥈6 🥉0</v>
      </c>
      <c r="AI3" s="8" t="str">
        <f>IF(COUNT(AI12:AI411)=0, "", concatenate("💎",sumproduct(AI12:AI411=Compilation!$E9:$E408)," 🥇",sumproduct(AI12:AI411=Compilation!$F9:$F408),"
🥈",sumproduct(AI12:AI411=Compilation!$G9:$G408)," 🥉",sumproduct(AI12:AI411=Compilation!$H9:$H408)))</f>
        <v>💎0 🥇29
🥈5 🥉0</v>
      </c>
      <c r="AJ3" s="8" t="str">
        <f>IF(COUNT(AJ12:AJ411)=0, "", concatenate("💎",sumproduct(AJ12:AJ411=Compilation!$E9:$E408)," 🥇",sumproduct(AJ12:AJ411=Compilation!$F9:$F408),"
🥈",sumproduct(AJ12:AJ411=Compilation!$G9:$G408)," 🥉",sumproduct(AJ12:AJ411=Compilation!$H9:$H408)))</f>
        <v>💎0 🥇16
🥈0 🥉0</v>
      </c>
      <c r="AK3" s="8" t="str">
        <f>IF(COUNT(AK12:AK411)=0, "", concatenate("💎",sumproduct(AK12:AK411=Compilation!$E9:$E408)," 🥇",sumproduct(AK12:AK411=Compilation!$F9:$F408),"
🥈",sumproduct(AK12:AK411=Compilation!$G9:$G408)," 🥉",sumproduct(AK12:AK411=Compilation!$H9:$H408)))</f>
        <v>💎0 🥇34
🥈4 🥉1</v>
      </c>
      <c r="AL3" s="8" t="str">
        <f>IF(COUNT(AL12:AL411)=0, "", concatenate("💎",sumproduct(AL12:AL411=Compilation!$E9:$E408)," 🥇",sumproduct(AL12:AL411=Compilation!$F9:$F408),"
🥈",sumproduct(AL12:AL411=Compilation!$G9:$G408)," 🥉",sumproduct(AL12:AL411=Compilation!$H9:$H408)))</f>
        <v>💎0 🥇18
🥈0 🥉0</v>
      </c>
      <c r="AM3" s="8" t="str">
        <f>IF(COUNT(AM12:AM411)=0, "", concatenate("💎",sumproduct(AM12:AM411=Compilation!$E9:$E408)," 🥇",sumproduct(AM12:AM411=Compilation!$F9:$F408),"
🥈",sumproduct(AM12:AM411=Compilation!$G9:$G408)," 🥉",sumproduct(AM12:AM411=Compilation!$H9:$H408)))</f>
        <v>💎1 🥇29
🥈3 🥉1</v>
      </c>
      <c r="AN3" s="8" t="str">
        <f>IF(COUNT(AN12:AN411)=0, "", concatenate("💎",sumproduct(AN12:AN411=Compilation!$E9:$E408)," 🥇",sumproduct(AN12:AN411=Compilation!$F9:$F408),"
🥈",sumproduct(AN12:AN411=Compilation!$G9:$G408)," 🥉",sumproduct(AN12:AN411=Compilation!$H9:$H408)))</f>
        <v>💎0 🥇18
🥈0 🥉0</v>
      </c>
      <c r="AO3" s="8" t="str">
        <f>IF(COUNT(AO12:AO411)=0, "", concatenate("💎",sumproduct(AO12:AO411=Compilation!$E9:$E408)," 🥇",sumproduct(AO12:AO411=Compilation!$F9:$F408),"
🥈",sumproduct(AO12:AO411=Compilation!$G9:$G408)," 🥉",sumproduct(AO12:AO411=Compilation!$H9:$H408)))</f>
        <v>💎10 🥇90
🥈31 🥉19</v>
      </c>
      <c r="AP3" s="8" t="str">
        <f>IF(COUNT(AP12:AP411)=0, "", concatenate("💎",sumproduct(AP12:AP411=Compilation!$E9:$E408)," 🥇",sumproduct(AP12:AP411=Compilation!$F9:$F408),"
🥈",sumproduct(AP12:AP411=Compilation!$G9:$G408)," 🥉",sumproduct(AP12:AP411=Compilation!$H9:$H408)))</f>
        <v>💎0 🥇34
🥈5 🥉0</v>
      </c>
      <c r="AQ3" s="8" t="str">
        <f>IF(COUNT(AQ12:AQ411)=0, "", concatenate("💎",sumproduct(AQ12:AQ411=Compilation!$E9:$E408)," 🥇",sumproduct(AQ12:AQ411=Compilation!$F9:$F408),"
🥈",sumproduct(AQ12:AQ411=Compilation!$G9:$G408)," 🥉",sumproduct(AQ12:AQ411=Compilation!$H9:$H408)))</f>
        <v>💎0 🥇36
🥈4 🥉0</v>
      </c>
      <c r="AR3" s="8" t="str">
        <f>IF(COUNT(AR13:AR411)=0, "", concatenate("💎",sumproduct(AR13:AR411=Compilation!$E9:$E408)," 🥇",sumproduct(AR13:AR411=Compilation!$F9:$F408),"
🥈",sumproduct(AR13:AR411=Compilation!$G9:$G408)," 🥉",sumproduct(AR13:AR411=Compilation!$H9:$H408)))</f>
        <v/>
      </c>
      <c r="AS3" s="8" t="str">
        <f>IF(COUNT(AS12:AS411)=0, "", concatenate("💎",sumproduct(AS12:AS411=Compilation!$E9:$E408)," 🥇",sumproduct(AS12:AS411=Compilation!$F9:$F408),"
🥈",sumproduct(AS12:AS411=Compilation!$G9:$G408)," 🥉",sumproduct(AS12:AS411=Compilation!$H9:$H408)))</f>
        <v>💎0 🥇34
🥈5 🥉0</v>
      </c>
      <c r="AT3" s="8" t="str">
        <f>IF(COUNT(AT12:AT411)=0, "", concatenate("💎",sumproduct(AT12:AT411=Compilation!$E9:$E408)," 🥇",sumproduct(AT12:AT411=Compilation!$F9:$F408),"
🥈",sumproduct(AT12:AT411=Compilation!$G9:$G408)," 🥉",sumproduct(AT12:AT411=Compilation!$H9:$H408)))</f>
        <v>💎0 🥇18
🥈0 🥉0</v>
      </c>
      <c r="AU3" s="8" t="str">
        <f>IF(COUNT(AU12:AU411)=0, "", concatenate("💎",sumproduct(AU12:AU411=Compilation!$E9:$E408)," 🥇",sumproduct(AU12:AU411=Compilation!$F9:$F408),"
🥈",sumproduct(AU12:AU411=Compilation!$G9:$G408)," 🥉",sumproduct(AU12:AU411=Compilation!$H9:$H408)))</f>
        <v>💎0 🥇58
🥈15 🥉10</v>
      </c>
      <c r="AV3" s="8" t="str">
        <f>IF(COUNT(AV12:AV411)=0, "", concatenate("💎",sumproduct(AV12:AV411=Compilation!$E9:$E408)," 🥇",sumproduct(AV12:AV411=Compilation!$F9:$F408),"
🥈",sumproduct(AV12:AV411=Compilation!$G9:$G408)," 🥉",sumproduct(AV12:AV411=Compilation!$H9:$H408)))</f>
        <v>💎3 🥇76
🥈23 🥉13</v>
      </c>
      <c r="AW3" s="8" t="str">
        <f>IF(COUNT(AW12:AW411)=0, "", concatenate("💎",sumproduct(AW12:AW411=Compilation!$E9:$E408)," 🥇",sumproduct(AW12:AW411=Compilation!$F9:$F408),"
🥈",sumproduct(AW12:AW411=Compilation!$G9:$G408)," 🥉",sumproduct(AW12:AW411=Compilation!$H9:$H408)))</f>
        <v>💎3 🥇96
🥈26 🥉13</v>
      </c>
      <c r="AX3" s="8" t="str">
        <f>IF(COUNT(AX12:AX411)=0, "", concatenate("💎",sumproduct(AX12:AX411=Compilation!$E9:$E408)," 🥇",sumproduct(AX12:AX411=Compilation!$F9:$F408),"
🥈",sumproduct(AX12:AX411=Compilation!$G9:$G408)," 🥉",sumproduct(AX12:AX411=Compilation!$H9:$H408)))</f>
        <v>💎0 🥇53
🥈9 🥉5</v>
      </c>
      <c r="AY3" s="8" t="str">
        <f>IF(COUNT(AY12:AY411)=0, "", concatenate("💎",sumproduct(AY12:AY411=Compilation!$E9:$E408)," 🥇",sumproduct(AY12:AY411=Compilation!$F9:$F408),"
🥈",sumproduct(AY12:AY411=Compilation!$G9:$G408)," 🥉",sumproduct(AY12:AY411=Compilation!$H9:$H408)))</f>
        <v>💎186 🥇340
🥈0 🥉0</v>
      </c>
      <c r="AZ3" s="8" t="str">
        <f>IF(COUNT(AZ12:AZ411)=0, "", concatenate("💎",sumproduct(AZ12:AZ411=Compilation!$E9:$E408)," 🥇",sumproduct(AZ12:AZ411=Compilation!$F9:$F408),"
🥈",sumproduct(AZ12:AZ411=Compilation!$G9:$G408)," 🥉",sumproduct(AZ12:AZ411=Compilation!$H9:$H408)))</f>
        <v/>
      </c>
      <c r="BA3" s="8" t="str">
        <f>IF(COUNT(BA12:BA411)=0, "", concatenate("💎",sumproduct(BA12:BA411=Compilation!$E9:$E408)," 🥇",sumproduct(BA12:BA411=Compilation!$F9:$F408),"
🥈",sumproduct(BA12:BA411=Compilation!$G9:$G408)," 🥉",sumproduct(BA12:BA411=Compilation!$H9:$H408)))</f>
        <v/>
      </c>
      <c r="BB3" s="8" t="str">
        <f>IF(COUNT(BB12:BB411)=0, "", concatenate("💎",sumproduct(BB12:BB411=Compilation!$E9:$E408)," 🥇",sumproduct(BB12:BB411=Compilation!$F9:$F408),"
🥈",sumproduct(BB12:BB411=Compilation!$G9:$G408)," 🥉",sumproduct(BB12:BB411=Compilation!$H9:$H408)))</f>
        <v/>
      </c>
      <c r="BC3" s="8" t="str">
        <f>IF(COUNT(BC12:BC411)=0, "", concatenate("💎",sumproduct(BC12:BC411=Compilation!$E9:$E408)," 🥇",sumproduct(BC12:BC411=Compilation!$F9:$F408),"
🥈",sumproduct(BC12:BC411=Compilation!$G9:$G408)," 🥉",sumproduct(BC12:BC411=Compilation!$H9:$H408)))</f>
        <v/>
      </c>
    </row>
    <row r="4">
      <c r="A4" s="7" t="s">
        <v>51</v>
      </c>
      <c r="B4" s="8">
        <f t="shared" ref="B4:AQ4" si="1">LET(
  result, COUNT(B12:B411),
  IF(result = 0, "", result)
)</f>
        <v>400</v>
      </c>
      <c r="C4" s="8">
        <f t="shared" si="1"/>
        <v>400</v>
      </c>
      <c r="D4" s="8">
        <f t="shared" si="1"/>
        <v>400</v>
      </c>
      <c r="E4" s="8">
        <f t="shared" si="1"/>
        <v>400</v>
      </c>
      <c r="F4" s="8">
        <f t="shared" si="1"/>
        <v>400</v>
      </c>
      <c r="G4" s="8">
        <f t="shared" si="1"/>
        <v>400</v>
      </c>
      <c r="H4" s="8">
        <f t="shared" si="1"/>
        <v>152</v>
      </c>
      <c r="I4" s="8">
        <f t="shared" si="1"/>
        <v>180</v>
      </c>
      <c r="J4" s="8">
        <f t="shared" si="1"/>
        <v>400</v>
      </c>
      <c r="K4" s="8">
        <f t="shared" si="1"/>
        <v>400</v>
      </c>
      <c r="L4" s="8">
        <f t="shared" si="1"/>
        <v>400</v>
      </c>
      <c r="M4" s="8">
        <f t="shared" si="1"/>
        <v>400</v>
      </c>
      <c r="N4" s="8">
        <f t="shared" si="1"/>
        <v>12</v>
      </c>
      <c r="O4" s="8">
        <f t="shared" si="1"/>
        <v>5</v>
      </c>
      <c r="P4" s="8">
        <f t="shared" si="1"/>
        <v>33</v>
      </c>
      <c r="Q4" s="8">
        <f t="shared" si="1"/>
        <v>377</v>
      </c>
      <c r="R4" s="8">
        <f t="shared" si="1"/>
        <v>400</v>
      </c>
      <c r="S4" s="8">
        <f t="shared" si="1"/>
        <v>165</v>
      </c>
      <c r="T4" s="8">
        <f t="shared" si="1"/>
        <v>191</v>
      </c>
      <c r="U4" s="8">
        <f t="shared" si="1"/>
        <v>288</v>
      </c>
      <c r="V4" s="8">
        <f t="shared" si="1"/>
        <v>215</v>
      </c>
      <c r="W4" s="8">
        <f t="shared" si="1"/>
        <v>312</v>
      </c>
      <c r="X4" s="8">
        <f t="shared" si="1"/>
        <v>263</v>
      </c>
      <c r="Y4" s="8">
        <f t="shared" si="1"/>
        <v>400</v>
      </c>
      <c r="Z4" s="8">
        <f t="shared" si="1"/>
        <v>400</v>
      </c>
      <c r="AA4" s="8">
        <f t="shared" si="1"/>
        <v>10</v>
      </c>
      <c r="AB4" s="8">
        <f t="shared" si="1"/>
        <v>400</v>
      </c>
      <c r="AC4" s="8">
        <f t="shared" si="1"/>
        <v>400</v>
      </c>
      <c r="AD4" s="8">
        <f t="shared" si="1"/>
        <v>100</v>
      </c>
      <c r="AE4" s="8">
        <f t="shared" si="1"/>
        <v>400</v>
      </c>
      <c r="AF4" s="8">
        <f t="shared" si="1"/>
        <v>398</v>
      </c>
      <c r="AG4" s="8">
        <f t="shared" si="1"/>
        <v>263</v>
      </c>
      <c r="AH4" s="8">
        <f t="shared" si="1"/>
        <v>400</v>
      </c>
      <c r="AI4" s="8">
        <f t="shared" si="1"/>
        <v>400</v>
      </c>
      <c r="AJ4" s="8">
        <f t="shared" si="1"/>
        <v>400</v>
      </c>
      <c r="AK4" s="8">
        <f t="shared" si="1"/>
        <v>99</v>
      </c>
      <c r="AL4" s="8">
        <f t="shared" si="1"/>
        <v>400</v>
      </c>
      <c r="AM4" s="8">
        <f t="shared" si="1"/>
        <v>400</v>
      </c>
      <c r="AN4" s="8">
        <f t="shared" si="1"/>
        <v>400</v>
      </c>
      <c r="AO4" s="8">
        <f t="shared" si="1"/>
        <v>400</v>
      </c>
      <c r="AP4" s="8">
        <f t="shared" si="1"/>
        <v>400</v>
      </c>
      <c r="AQ4" s="8">
        <f t="shared" si="1"/>
        <v>400</v>
      </c>
      <c r="AR4" s="8" t="str">
        <f>LET(
  result, COUNT(AR13:AR411),
  IF(result = 0, "", result)
)</f>
        <v/>
      </c>
      <c r="AS4" s="8">
        <f t="shared" ref="AS4:BC4" si="2">LET(
  result, COUNT(AS12:AS411),
  IF(result = 0, "", result)
)</f>
        <v>400</v>
      </c>
      <c r="AT4" s="8">
        <f t="shared" si="2"/>
        <v>400</v>
      </c>
      <c r="AU4" s="8">
        <f t="shared" si="2"/>
        <v>400</v>
      </c>
      <c r="AV4" s="8">
        <f t="shared" si="2"/>
        <v>400</v>
      </c>
      <c r="AW4" s="8">
        <f t="shared" si="2"/>
        <v>400</v>
      </c>
      <c r="AX4" s="8">
        <f t="shared" si="2"/>
        <v>400</v>
      </c>
      <c r="AY4" s="8">
        <f t="shared" si="2"/>
        <v>400</v>
      </c>
      <c r="AZ4" s="8" t="str">
        <f t="shared" si="2"/>
        <v/>
      </c>
      <c r="BA4" s="8" t="str">
        <f t="shared" si="2"/>
        <v/>
      </c>
      <c r="BB4" s="8" t="str">
        <f t="shared" si="2"/>
        <v/>
      </c>
      <c r="BC4" s="8" t="str">
        <f t="shared" si="2"/>
        <v/>
      </c>
    </row>
    <row r="5">
      <c r="A5" s="7" t="s">
        <v>52</v>
      </c>
      <c r="B5" s="10">
        <f t="shared" ref="B5:AQ5" si="3">LET(
  result, SUM(B12:B411),
  IF(result = 0, "", result)
)</f>
        <v>37930</v>
      </c>
      <c r="C5" s="10">
        <f t="shared" si="3"/>
        <v>86316</v>
      </c>
      <c r="D5" s="10">
        <f t="shared" si="3"/>
        <v>38216</v>
      </c>
      <c r="E5" s="10">
        <f t="shared" si="3"/>
        <v>86451</v>
      </c>
      <c r="F5" s="10">
        <f t="shared" si="3"/>
        <v>38195</v>
      </c>
      <c r="G5" s="10">
        <f t="shared" si="3"/>
        <v>93116</v>
      </c>
      <c r="H5" s="10">
        <f t="shared" si="3"/>
        <v>9679</v>
      </c>
      <c r="I5" s="10">
        <f t="shared" si="3"/>
        <v>18056</v>
      </c>
      <c r="J5" s="10">
        <f t="shared" si="3"/>
        <v>42823</v>
      </c>
      <c r="K5" s="10">
        <f t="shared" si="3"/>
        <v>45429</v>
      </c>
      <c r="L5" s="10">
        <f t="shared" si="3"/>
        <v>50697</v>
      </c>
      <c r="M5" s="10">
        <f t="shared" si="3"/>
        <v>43985</v>
      </c>
      <c r="N5" s="10">
        <f t="shared" si="3"/>
        <v>1152</v>
      </c>
      <c r="O5" s="10">
        <f t="shared" si="3"/>
        <v>411</v>
      </c>
      <c r="P5" s="10">
        <f t="shared" si="3"/>
        <v>3912</v>
      </c>
      <c r="Q5" s="10">
        <f t="shared" si="3"/>
        <v>68173</v>
      </c>
      <c r="R5" s="10">
        <f t="shared" si="3"/>
        <v>46664</v>
      </c>
      <c r="S5" s="10">
        <f t="shared" si="3"/>
        <v>19178</v>
      </c>
      <c r="T5" s="10">
        <f t="shared" si="3"/>
        <v>20166</v>
      </c>
      <c r="U5" s="10">
        <f t="shared" si="3"/>
        <v>64094</v>
      </c>
      <c r="V5" s="10">
        <f t="shared" si="3"/>
        <v>16760</v>
      </c>
      <c r="W5" s="10">
        <f t="shared" si="3"/>
        <v>27740</v>
      </c>
      <c r="X5" s="10">
        <f t="shared" si="3"/>
        <v>54605</v>
      </c>
      <c r="Y5" s="10">
        <f t="shared" si="3"/>
        <v>102812</v>
      </c>
      <c r="Z5" s="10">
        <f t="shared" si="3"/>
        <v>44576</v>
      </c>
      <c r="AA5" s="10">
        <f t="shared" si="3"/>
        <v>2686</v>
      </c>
      <c r="AB5" s="10">
        <f t="shared" si="3"/>
        <v>83333</v>
      </c>
      <c r="AC5" s="10">
        <f t="shared" si="3"/>
        <v>87524</v>
      </c>
      <c r="AD5" s="10">
        <f t="shared" si="3"/>
        <v>8279</v>
      </c>
      <c r="AE5" s="10">
        <f t="shared" si="3"/>
        <v>75619</v>
      </c>
      <c r="AF5" s="10">
        <f t="shared" si="3"/>
        <v>100376</v>
      </c>
      <c r="AG5" s="10">
        <f t="shared" si="3"/>
        <v>47143</v>
      </c>
      <c r="AH5" s="10">
        <f t="shared" si="3"/>
        <v>58916</v>
      </c>
      <c r="AI5" s="10">
        <f t="shared" si="3"/>
        <v>55475</v>
      </c>
      <c r="AJ5" s="10">
        <f t="shared" si="3"/>
        <v>72684</v>
      </c>
      <c r="AK5" s="10">
        <f t="shared" si="3"/>
        <v>5922</v>
      </c>
      <c r="AL5" s="10">
        <f t="shared" si="3"/>
        <v>68957</v>
      </c>
      <c r="AM5" s="10">
        <f t="shared" si="3"/>
        <v>54228</v>
      </c>
      <c r="AN5" s="10">
        <f t="shared" si="3"/>
        <v>86678</v>
      </c>
      <c r="AO5" s="10">
        <f t="shared" si="3"/>
        <v>42487</v>
      </c>
      <c r="AP5" s="10">
        <f t="shared" si="3"/>
        <v>62057</v>
      </c>
      <c r="AQ5" s="10">
        <f t="shared" si="3"/>
        <v>55796</v>
      </c>
      <c r="AR5" s="10" t="str">
        <f>LET(
  result, SUM(AR13:AR411),
  IF(result = 0, "", result)
)</f>
        <v/>
      </c>
      <c r="AS5" s="10">
        <f t="shared" ref="AS5:BC5" si="4">LET(
  result, SUM(AS12:AS411),
  IF(result = 0, "", result)
)</f>
        <v>48740</v>
      </c>
      <c r="AT5" s="10">
        <f t="shared" si="4"/>
        <v>74165</v>
      </c>
      <c r="AU5" s="10">
        <f t="shared" si="4"/>
        <v>42432</v>
      </c>
      <c r="AV5" s="10">
        <f t="shared" si="4"/>
        <v>42190</v>
      </c>
      <c r="AW5" s="10">
        <f t="shared" si="4"/>
        <v>43542</v>
      </c>
      <c r="AX5" s="10">
        <f t="shared" si="4"/>
        <v>45754</v>
      </c>
      <c r="AY5" s="10">
        <f t="shared" si="4"/>
        <v>36523</v>
      </c>
      <c r="AZ5" s="10" t="str">
        <f t="shared" si="4"/>
        <v/>
      </c>
      <c r="BA5" s="10" t="str">
        <f t="shared" si="4"/>
        <v/>
      </c>
      <c r="BB5" s="10" t="str">
        <f t="shared" si="4"/>
        <v/>
      </c>
      <c r="BC5" s="10" t="str">
        <f t="shared" si="4"/>
        <v/>
      </c>
    </row>
    <row r="6">
      <c r="A6" s="7" t="s">
        <v>53</v>
      </c>
      <c r="B6" s="11">
        <f t="shared" ref="B6:AQ6" si="5">IFERROR(AVERAGE(B12:B411), "")
</f>
        <v>94.825</v>
      </c>
      <c r="C6" s="11">
        <f t="shared" si="5"/>
        <v>215.79</v>
      </c>
      <c r="D6" s="11">
        <f t="shared" si="5"/>
        <v>95.54</v>
      </c>
      <c r="E6" s="11">
        <f t="shared" si="5"/>
        <v>216.1275</v>
      </c>
      <c r="F6" s="11">
        <f t="shared" si="5"/>
        <v>95.4875</v>
      </c>
      <c r="G6" s="11">
        <f t="shared" si="5"/>
        <v>232.79</v>
      </c>
      <c r="H6" s="11">
        <f t="shared" si="5"/>
        <v>63.67763158</v>
      </c>
      <c r="I6" s="11">
        <f t="shared" si="5"/>
        <v>100.3111111</v>
      </c>
      <c r="J6" s="11">
        <f t="shared" si="5"/>
        <v>107.0575</v>
      </c>
      <c r="K6" s="11">
        <f t="shared" si="5"/>
        <v>113.5725</v>
      </c>
      <c r="L6" s="11">
        <f t="shared" si="5"/>
        <v>126.7425</v>
      </c>
      <c r="M6" s="11">
        <f t="shared" si="5"/>
        <v>109.9625</v>
      </c>
      <c r="N6" s="11">
        <f t="shared" si="5"/>
        <v>96</v>
      </c>
      <c r="O6" s="11">
        <f t="shared" si="5"/>
        <v>82.2</v>
      </c>
      <c r="P6" s="11">
        <f t="shared" si="5"/>
        <v>118.5454545</v>
      </c>
      <c r="Q6" s="11">
        <f t="shared" si="5"/>
        <v>180.8302387</v>
      </c>
      <c r="R6" s="11">
        <f t="shared" si="5"/>
        <v>116.66</v>
      </c>
      <c r="S6" s="11">
        <f t="shared" si="5"/>
        <v>116.230303</v>
      </c>
      <c r="T6" s="11">
        <f t="shared" si="5"/>
        <v>105.5811518</v>
      </c>
      <c r="U6" s="11">
        <f t="shared" si="5"/>
        <v>222.5486111</v>
      </c>
      <c r="V6" s="11">
        <f t="shared" si="5"/>
        <v>77.95348837</v>
      </c>
      <c r="W6" s="11">
        <f t="shared" si="5"/>
        <v>88.91025641</v>
      </c>
      <c r="X6" s="11">
        <f t="shared" si="5"/>
        <v>207.6235741</v>
      </c>
      <c r="Y6" s="11">
        <f t="shared" si="5"/>
        <v>257.03</v>
      </c>
      <c r="Z6" s="11">
        <f t="shared" si="5"/>
        <v>111.44</v>
      </c>
      <c r="AA6" s="11">
        <f t="shared" si="5"/>
        <v>268.6</v>
      </c>
      <c r="AB6" s="11">
        <f t="shared" si="5"/>
        <v>208.3325</v>
      </c>
      <c r="AC6" s="11">
        <f t="shared" si="5"/>
        <v>218.81</v>
      </c>
      <c r="AD6" s="11">
        <f t="shared" si="5"/>
        <v>82.79</v>
      </c>
      <c r="AE6" s="11">
        <f t="shared" si="5"/>
        <v>189.0475</v>
      </c>
      <c r="AF6" s="11">
        <f t="shared" si="5"/>
        <v>252.201005</v>
      </c>
      <c r="AG6" s="11">
        <f t="shared" si="5"/>
        <v>179.2509506</v>
      </c>
      <c r="AH6" s="11">
        <f t="shared" si="5"/>
        <v>147.29</v>
      </c>
      <c r="AI6" s="11">
        <f t="shared" si="5"/>
        <v>138.6875</v>
      </c>
      <c r="AJ6" s="11">
        <f t="shared" si="5"/>
        <v>181.71</v>
      </c>
      <c r="AK6" s="11">
        <f t="shared" si="5"/>
        <v>59.81818182</v>
      </c>
      <c r="AL6" s="11">
        <f t="shared" si="5"/>
        <v>172.3925</v>
      </c>
      <c r="AM6" s="11">
        <f t="shared" si="5"/>
        <v>135.57</v>
      </c>
      <c r="AN6" s="11">
        <f t="shared" si="5"/>
        <v>216.695</v>
      </c>
      <c r="AO6" s="11">
        <f t="shared" si="5"/>
        <v>106.2175</v>
      </c>
      <c r="AP6" s="11">
        <f t="shared" si="5"/>
        <v>155.1425</v>
      </c>
      <c r="AQ6" s="11">
        <f t="shared" si="5"/>
        <v>139.49</v>
      </c>
      <c r="AR6" s="11" t="str">
        <f>IFERROR(AVERAGE(AR13:AR411), "")
</f>
        <v/>
      </c>
      <c r="AS6" s="11">
        <f t="shared" ref="AS6:BC6" si="6">IFERROR(AVERAGE(AS12:AS411), "")
</f>
        <v>121.85</v>
      </c>
      <c r="AT6" s="11">
        <f t="shared" si="6"/>
        <v>185.4125</v>
      </c>
      <c r="AU6" s="11">
        <f t="shared" si="6"/>
        <v>106.08</v>
      </c>
      <c r="AV6" s="11">
        <f t="shared" si="6"/>
        <v>105.475</v>
      </c>
      <c r="AW6" s="11">
        <f t="shared" si="6"/>
        <v>108.855</v>
      </c>
      <c r="AX6" s="11">
        <f t="shared" si="6"/>
        <v>114.385</v>
      </c>
      <c r="AY6" s="11">
        <f t="shared" si="6"/>
        <v>91.3075</v>
      </c>
      <c r="AZ6" s="11" t="str">
        <f t="shared" si="6"/>
        <v/>
      </c>
      <c r="BA6" s="11" t="str">
        <f t="shared" si="6"/>
        <v/>
      </c>
      <c r="BB6" s="11" t="str">
        <f t="shared" si="6"/>
        <v/>
      </c>
      <c r="BC6" s="11" t="str">
        <f t="shared" si="6"/>
        <v/>
      </c>
    </row>
    <row r="7">
      <c r="A7" s="7" t="s">
        <v>54</v>
      </c>
      <c r="B7" s="12">
        <f t="array" ref="B7">IF(COUNT(B12:B411)=0, "", SUM(IF(ISNUMBER(B12:B411), B12:B411 - Compilation!$F9:$F408)))
</f>
        <v>1127</v>
      </c>
      <c r="C7" s="12">
        <f t="array" ref="C7">IF(COUNT(C12:C411)=0, "", SUM(IF(ISNUMBER(C12:C411), C12:C411 - Compilation!$F9:$F408)))
</f>
        <v>49513</v>
      </c>
      <c r="D7" s="12">
        <f t="array" ref="D7">IF(COUNT(D12:D411)=0, "", SUM(IF(ISNUMBER(D12:D411), D12:D411 - Compilation!$F9:$F408)))
</f>
        <v>1413</v>
      </c>
      <c r="E7" s="12">
        <f t="array" ref="E7">IF(COUNT(E12:E411)=0, "", SUM(IF(ISNUMBER(E12:E411), E12:E411 - Compilation!$F9:$F408)))
</f>
        <v>49648</v>
      </c>
      <c r="F7" s="12">
        <f t="array" ref="F7">IF(COUNT(F12:F411)=0, "", SUM(IF(ISNUMBER(F12:F411), F12:F411 - Compilation!$F9:$F408)))
</f>
        <v>1392</v>
      </c>
      <c r="G7" s="12">
        <f t="array" ref="G7">IF(COUNT(G12:G411)=0, "", SUM(IF(ISNUMBER(G12:G411), G12:G411 - Compilation!$F9:$F408)))
</f>
        <v>56313</v>
      </c>
      <c r="H7" s="12">
        <f t="array" ref="H7">IF(COUNT(H12:H411)=0, "", SUM(IF(ISNUMBER(H12:H411), H12:H411 - Compilation!$F9:$F408)))
</f>
        <v>1477</v>
      </c>
      <c r="I7" s="12">
        <f t="array" ref="I7">IF(COUNT(I12:I411)=0, "", SUM(IF(ISNUMBER(I12:I411), I12:I411 - Compilation!$F9:$F408)))
</f>
        <v>5490</v>
      </c>
      <c r="J7" s="12">
        <f t="array" ref="J7">IF(COUNT(J12:J411)=0, "", SUM(IF(ISNUMBER(J12:J411), J12:J411 - Compilation!$F9:$F408)))
</f>
        <v>6020</v>
      </c>
      <c r="K7" s="12">
        <f t="array" ref="K7">IF(COUNT(K12:K411)=0, "", SUM(IF(ISNUMBER(K12:K411), K12:K411 - Compilation!$F9:$F408)))
</f>
        <v>8626</v>
      </c>
      <c r="L7" s="12">
        <f t="array" ref="L7">IF(COUNT(L12:L411)=0, "", SUM(IF(ISNUMBER(L12:L411), L12:L411 - Compilation!$F9:$F408)))
</f>
        <v>13894</v>
      </c>
      <c r="M7" s="12">
        <f t="array" ref="M7">IF(COUNT(M12:M411)=0, "", SUM(IF(ISNUMBER(M12:M411), M12:M411 - Compilation!$F9:$F408)))
</f>
        <v>7182</v>
      </c>
      <c r="N7" s="12">
        <f t="array" ref="N7">IF(COUNT(N12:N411)=0, "", SUM(IF(ISNUMBER(N12:N411), N12:N411 - Compilation!$F9:$F408)))
</f>
        <v>388</v>
      </c>
      <c r="O7" s="12">
        <f t="array" ref="O7">IF(COUNT(O12:O411)=0, "", SUM(IF(ISNUMBER(O12:O411), O12:O411 - Compilation!$F9:$F408)))
</f>
        <v>117</v>
      </c>
      <c r="P7" s="12">
        <f t="array" ref="P7">IF(COUNT(P12:P411)=0, "", SUM(IF(ISNUMBER(P12:P411), P12:P411 - Compilation!$F9:$F408)))
</f>
        <v>2105</v>
      </c>
      <c r="Q7" s="12">
        <f t="array" ref="Q7">IF(COUNT(Q12:Q411)=0, "", SUM(IF(ISNUMBER(Q12:Q411), Q12:Q411 - Compilation!$F9:$F408)))
</f>
        <v>35617</v>
      </c>
      <c r="R7" s="12">
        <f t="array" ref="R7">IF(COUNT(R12:R411)=0, "", SUM(IF(ISNUMBER(R12:R411), R12:R411 - Compilation!$F9:$F408)))
</f>
        <v>9861</v>
      </c>
      <c r="S7" s="12">
        <f t="array" ref="S7">IF(COUNT(S12:S411)=0, "", SUM(IF(ISNUMBER(S12:S411), S12:S411 - Compilation!$F9:$F408)))
</f>
        <v>8062</v>
      </c>
      <c r="T7" s="12">
        <f t="array" ref="T7">IF(COUNT(T12:T411)=0, "", SUM(IF(ISNUMBER(T12:T411), T12:T411 - Compilation!$F9:$F408)))
</f>
        <v>8384</v>
      </c>
      <c r="U7" s="12">
        <f t="array" ref="U7">IF(COUNT(U12:U411)=0, "", SUM(IF(ISNUMBER(U12:U411), U12:U411 - Compilation!$F9:$F408)))
</f>
        <v>42941</v>
      </c>
      <c r="V7" s="12">
        <f t="array" ref="V7">IF(COUNT(V12:V411)=0, "", SUM(IF(ISNUMBER(V12:V411), V12:V411 - Compilation!$F9:$F408)))
</f>
        <v>3604</v>
      </c>
      <c r="W7" s="12">
        <f t="array" ref="W7">IF(COUNT(W12:W411)=0, "", SUM(IF(ISNUMBER(W12:W411), W12:W411 - Compilation!$F9:$F408)))
</f>
        <v>4091</v>
      </c>
      <c r="X7" s="12">
        <f t="array" ref="X7">IF(COUNT(X12:X411)=0, "", SUM(IF(ISNUMBER(X12:X411), X12:X411 - Compilation!$F9:$F408)))
</f>
        <v>35698</v>
      </c>
      <c r="Y7" s="12">
        <f t="array" ref="Y7">IF(COUNT(Y12:Y411)=0, "", SUM(IF(ISNUMBER(Y12:Y411), Y12:Y411 - Compilation!$F9:$F408)))
</f>
        <v>66009</v>
      </c>
      <c r="Z7" s="12">
        <f t="array" ref="Z7">IF(COUNT(Z12:Z411)=0, "", SUM(IF(ISNUMBER(Z12:Z411), Z12:Z411 - Compilation!$F9:$F408)))
</f>
        <v>7773</v>
      </c>
      <c r="AA7" s="12">
        <f t="array" ref="AA7">IF(COUNT(AA12:AA411)=0, "", SUM(IF(ISNUMBER(AA12:AA411), AA12:AA411 - Compilation!$F9:$F408)))
</f>
        <v>450</v>
      </c>
      <c r="AB7" s="12">
        <f t="array" ref="AB7">IF(COUNT(AB12:AB411)=0, "", SUM(IF(ISNUMBER(AB12:AB411), AB12:AB411 - Compilation!$F9:$F408)))
</f>
        <v>46530</v>
      </c>
      <c r="AC7" s="12">
        <f t="array" ref="AC7">IF(COUNT(AC12:AC411)=0, "", SUM(IF(ISNUMBER(AC12:AC411), AC12:AC411 - Compilation!$F9:$F408)))
</f>
        <v>50721</v>
      </c>
      <c r="AD7" s="12">
        <f t="array" ref="AD7">IF(COUNT(AD12:AD411)=0, "", SUM(IF(ISNUMBER(AD12:AD411), AD12:AD411 - Compilation!$F9:$F408)))
</f>
        <v>2066</v>
      </c>
      <c r="AE7" s="12">
        <f t="array" ref="AE7">IF(COUNT(AE12:AE411)=0, "", SUM(IF(ISNUMBER(AE12:AE411), AE12:AE411 - Compilation!$F9:$F408)))
</f>
        <v>38816</v>
      </c>
      <c r="AF7" s="12">
        <f t="array" ref="AF7">IF(COUNT(AF12:AF411)=0, "", SUM(IF(ISNUMBER(AF12:AF411), AF12:AF411 - Compilation!$F9:$F408)))
</f>
        <v>64026</v>
      </c>
      <c r="AG7" s="12">
        <f t="array" ref="AG7">IF(COUNT(AG12:AG411)=0, "", SUM(IF(ISNUMBER(AG12:AG411), AG12:AG411 - Compilation!$F9:$F408)))
</f>
        <v>27534</v>
      </c>
      <c r="AH7" s="12">
        <f t="array" ref="AH7">IF(COUNT(AH12:AH411)=0, "", SUM(IF(ISNUMBER(AH12:AH411), AH12:AH411 - Compilation!$F9:$F408)))
</f>
        <v>22113</v>
      </c>
      <c r="AI7" s="12">
        <f t="array" ref="AI7">IF(COUNT(AI12:AI411)=0, "", SUM(IF(ISNUMBER(AI12:AI411), AI12:AI411 - Compilation!$F9:$F408)))
</f>
        <v>18672</v>
      </c>
      <c r="AJ7" s="12">
        <f t="array" ref="AJ7">IF(COUNT(AJ12:AJ411)=0, "", SUM(IF(ISNUMBER(AJ12:AJ411), AJ12:AJ411 - Compilation!$F9:$F408)))
</f>
        <v>35881</v>
      </c>
      <c r="AK7" s="12">
        <f t="array" ref="AK7">IF(COUNT(AK12:AK411)=0, "", SUM(IF(ISNUMBER(AK12:AK411), AK12:AK411 - Compilation!$F9:$F408)))
</f>
        <v>728</v>
      </c>
      <c r="AL7" s="12">
        <f t="array" ref="AL7">IF(COUNT(AL12:AL411)=0, "", SUM(IF(ISNUMBER(AL12:AL411), AL12:AL411 - Compilation!$F9:$F408)))
</f>
        <v>32154</v>
      </c>
      <c r="AM7" s="12">
        <f t="array" ref="AM7">IF(COUNT(AM12:AM411)=0, "", SUM(IF(ISNUMBER(AM12:AM411), AM12:AM411 - Compilation!$F9:$F408)))
</f>
        <v>17425</v>
      </c>
      <c r="AN7" s="12">
        <f t="array" ref="AN7">IF(COUNT(AN12:AN411)=0, "", SUM(IF(ISNUMBER(AN12:AN411), AN12:AN411 - Compilation!$F9:$F408)))
</f>
        <v>49875</v>
      </c>
      <c r="AO7" s="12">
        <f t="array" ref="AO7">IF(COUNT(AO12:AO411)=0, "", SUM(IF(ISNUMBER(AO12:AO411), AO12:AO411 - Compilation!$F9:$F408)))
</f>
        <v>5684</v>
      </c>
      <c r="AP7" s="12">
        <f t="array" ref="AP7">IF(COUNT(AP12:AP411)=0, "", SUM(IF(ISNUMBER(AP12:AP411), AP12:AP411 - Compilation!$F9:$F408)))
</f>
        <v>25254</v>
      </c>
      <c r="AQ7" s="12">
        <f t="array" ref="AQ7">IF(COUNT(AQ12:AQ411)=0, "", SUM(IF(ISNUMBER(AQ12:AQ411), AQ12:AQ411 - Compilation!$F9:$F408)))
</f>
        <v>18993</v>
      </c>
      <c r="AR7" s="12" t="str">
        <f t="array" ref="AR7">IF(COUNT(AR13:AR411)=0, "", SUM(IF(ISNUMBER(AR13:AR411), AR13:AR411 - Compilation!$F9:$F408)))
</f>
        <v/>
      </c>
      <c r="AS7" s="12">
        <f t="array" ref="AS7">IF(COUNT(AS12:AS411)=0, "", SUM(IF(ISNUMBER(AS12:AS411), AS12:AS411 - Compilation!$F9:$F408)))
</f>
        <v>11937</v>
      </c>
      <c r="AT7" s="12">
        <f t="array" ref="AT7">IF(COUNT(AT12:AT411)=0, "", SUM(IF(ISNUMBER(AT12:AT411), AT12:AT411 - Compilation!$F9:$F408)))
</f>
        <v>37362</v>
      </c>
      <c r="AU7" s="12">
        <f t="array" ref="AU7">IF(COUNT(AU12:AU411)=0, "", SUM(IF(ISNUMBER(AU12:AU411), AU12:AU411 - Compilation!$F9:$F408)))
</f>
        <v>5629</v>
      </c>
      <c r="AV7" s="12">
        <f t="array" ref="AV7">IF(COUNT(AV12:AV411)=0, "", SUM(IF(ISNUMBER(AV12:AV411), AV12:AV411 - Compilation!$F9:$F408)))
</f>
        <v>5387</v>
      </c>
      <c r="AW7" s="12">
        <f t="array" ref="AW7">IF(COUNT(AW12:AW411)=0, "", SUM(IF(ISNUMBER(AW12:AW411), AW12:AW411 - Compilation!$F9:$F408)))
</f>
        <v>6739</v>
      </c>
      <c r="AX7" s="12">
        <f t="array" ref="AX7">IF(COUNT(AX12:AX411)=0, "", SUM(IF(ISNUMBER(AX12:AX411), AX12:AX411 - Compilation!$F9:$F408)))
</f>
        <v>8951</v>
      </c>
      <c r="AY7" s="12">
        <f t="array" ref="AY7">IF(COUNT(AY12:AY411)=0, "", SUM(IF(ISNUMBER(AY12:AY411), AY12:AY411 - Compilation!$F9:$F408)))
</f>
        <v>-280</v>
      </c>
      <c r="AZ7" s="12" t="str">
        <f t="array" ref="AZ7">IF(COUNT(AZ12:AZ411)=0, "", SUM(IF(ISNUMBER(AZ12:AZ411), AZ12:AZ411 - Compilation!$F9:$F408)))
</f>
        <v/>
      </c>
      <c r="BA7" s="12" t="str">
        <f t="array" ref="BA7">IF(COUNT(BA12:BA411)=0, "", SUM(IF(ISNUMBER(BA12:BA411), BA12:BA411 - Compilation!$F9:$F408)))
</f>
        <v/>
      </c>
      <c r="BB7" s="12" t="str">
        <f t="array" ref="BB7">IF(COUNT(BB12:BB411)=0, "", SUM(IF(ISNUMBER(BB12:BB411), BB12:BB411 - Compilation!$F9:$F408)))
</f>
        <v/>
      </c>
      <c r="BC7" s="12" t="str">
        <f t="array" ref="BC7">IF(COUNT(BC12:BC411)=0, "", SUM(IF(ISNUMBER(BC12:BC411), BC12:BC411 - Compilation!$F9:$F408)))
</f>
        <v/>
      </c>
    </row>
    <row r="8">
      <c r="A8" s="7" t="s">
        <v>55</v>
      </c>
      <c r="B8" s="13">
        <f t="array" ref="B8">IF(COUNT(B12:B411)=0, "", AVERAGE(IF(ISNUMBER(B12:B411), B12:B411 - Compilation!$F9:$F408)))
</f>
        <v>2.8175</v>
      </c>
      <c r="C8" s="13">
        <f t="array" ref="C8">IF(COUNT(C12:C411)=0, "", AVERAGE(IF(ISNUMBER(C12:C411), C12:C411 - Compilation!$F9:$F408)))
</f>
        <v>123.7825</v>
      </c>
      <c r="D8" s="13">
        <f t="array" ref="D8">IF(COUNT(D12:D411)=0, "", AVERAGE(IF(ISNUMBER(D12:D411), D12:D411 - Compilation!$F9:$F408)))
</f>
        <v>3.5325</v>
      </c>
      <c r="E8" s="13">
        <f t="array" ref="E8">IF(COUNT(E12:E411)=0, "", AVERAGE(IF(ISNUMBER(E12:E411), E12:E411 - Compilation!$F9:$F408)))
</f>
        <v>124.12</v>
      </c>
      <c r="F8" s="13">
        <f t="array" ref="F8">IF(COUNT(F12:F411)=0, "", AVERAGE(IF(ISNUMBER(F12:F411), F12:F411 - Compilation!$F9:$F408)))
</f>
        <v>3.48</v>
      </c>
      <c r="G8" s="13">
        <f t="array" ref="G8">IF(COUNT(G12:G411)=0, "", AVERAGE(IF(ISNUMBER(G12:G411), G12:G411 - Compilation!$F9:$F408)))
</f>
        <v>140.7825</v>
      </c>
      <c r="H8" s="13">
        <f t="array" ref="H8">IF(COUNT(H12:H411)=0, "", AVERAGE(IF(ISNUMBER(H12:H411), H12:H411 - Compilation!$F9:$F408)))
</f>
        <v>9.717105263</v>
      </c>
      <c r="I8" s="13">
        <f t="array" ref="I8">IF(COUNT(I12:I411)=0, "", AVERAGE(IF(ISNUMBER(I12:I411), I12:I411 - Compilation!$F9:$F408)))
</f>
        <v>30.5</v>
      </c>
      <c r="J8" s="13">
        <f t="array" ref="J8">IF(COUNT(J12:J411)=0, "", AVERAGE(IF(ISNUMBER(J12:J411), J12:J411 - Compilation!$F9:$F408)))
</f>
        <v>15.05</v>
      </c>
      <c r="K8" s="13">
        <f t="array" ref="K8">IF(COUNT(K12:K411)=0, "", AVERAGE(IF(ISNUMBER(K12:K411), K12:K411 - Compilation!$F9:$F408)))
</f>
        <v>21.565</v>
      </c>
      <c r="L8" s="13">
        <f t="array" ref="L8">IF(COUNT(L12:L411)=0, "", AVERAGE(IF(ISNUMBER(L12:L411), L12:L411 - Compilation!$F9:$F408)))
</f>
        <v>34.735</v>
      </c>
      <c r="M8" s="13">
        <f t="array" ref="M8">IF(COUNT(M12:M411)=0, "", AVERAGE(IF(ISNUMBER(M12:M411), M12:M411 - Compilation!$F9:$F408)))
</f>
        <v>17.955</v>
      </c>
      <c r="N8" s="13">
        <f t="array" ref="N8">IF(COUNT(N12:N411)=0, "", AVERAGE(IF(ISNUMBER(N12:N411), N12:N411 - Compilation!$F9:$F408)))
</f>
        <v>32.33333333</v>
      </c>
      <c r="O8" s="13">
        <f t="array" ref="O8">IF(COUNT(O12:O411)=0, "", AVERAGE(IF(ISNUMBER(O12:O411), O12:O411 - Compilation!$F9:$F408)))
</f>
        <v>23.4</v>
      </c>
      <c r="P8" s="13">
        <f t="array" ref="P8">IF(COUNT(P12:P411)=0, "", AVERAGE(IF(ISNUMBER(P12:P411), P12:P411 - Compilation!$F9:$F408)))
</f>
        <v>63.78787879</v>
      </c>
      <c r="Q8" s="13">
        <f t="array" ref="Q8">IF(COUNT(Q12:Q411)=0, "", AVERAGE(IF(ISNUMBER(Q12:Q411), Q12:Q411 - Compilation!$F9:$F408)))
</f>
        <v>94.47480106</v>
      </c>
      <c r="R8" s="13">
        <f t="array" ref="R8">IF(COUNT(R12:R411)=0, "", AVERAGE(IF(ISNUMBER(R12:R411), R12:R411 - Compilation!$F9:$F408)))
</f>
        <v>24.6525</v>
      </c>
      <c r="S8" s="13">
        <f t="array" ref="S8">IF(COUNT(S12:S411)=0, "", AVERAGE(IF(ISNUMBER(S12:S411), S12:S411 - Compilation!$F9:$F408)))
</f>
        <v>48.86060606</v>
      </c>
      <c r="T8" s="13">
        <f t="array" ref="T8">IF(COUNT(T12:T411)=0, "", AVERAGE(IF(ISNUMBER(T12:T411), T12:T411 - Compilation!$F9:$F408)))
</f>
        <v>43.89528796</v>
      </c>
      <c r="U8" s="13">
        <f t="array" ref="U8">IF(COUNT(U12:U411)=0, "", AVERAGE(IF(ISNUMBER(U12:U411), U12:U411 - Compilation!$F9:$F408)))
</f>
        <v>149.1006944</v>
      </c>
      <c r="V8" s="13">
        <f t="array" ref="V8">IF(COUNT(V12:V411)=0, "", AVERAGE(IF(ISNUMBER(V12:V411), V12:V411 - Compilation!$F9:$F408)))
</f>
        <v>16.7627907</v>
      </c>
      <c r="W8" s="13">
        <f t="array" ref="W8">IF(COUNT(W12:W411)=0, "", AVERAGE(IF(ISNUMBER(W12:W411), W12:W411 - Compilation!$F9:$F408)))
</f>
        <v>13.11217949</v>
      </c>
      <c r="X8" s="13">
        <f t="array" ref="X8">IF(COUNT(X12:X411)=0, "", AVERAGE(IF(ISNUMBER(X12:X411), X12:X411 - Compilation!$F9:$F408)))
</f>
        <v>135.7338403</v>
      </c>
      <c r="Y8" s="13">
        <f t="array" ref="Y8">IF(COUNT(Y12:Y411)=0, "", AVERAGE(IF(ISNUMBER(Y12:Y411), Y12:Y411 - Compilation!$F9:$F408)))
</f>
        <v>165.0225</v>
      </c>
      <c r="Z8" s="13">
        <f t="array" ref="Z8">IF(COUNT(Z12:Z411)=0, "", AVERAGE(IF(ISNUMBER(Z12:Z411), Z12:Z411 - Compilation!$F9:$F408)))
</f>
        <v>19.4325</v>
      </c>
      <c r="AA8" s="13">
        <f t="array" ref="AA8">IF(COUNT(AA12:AA411)=0, "", AVERAGE(IF(ISNUMBER(AA12:AA411), AA12:AA411 - Compilation!$F9:$F408)))
</f>
        <v>45</v>
      </c>
      <c r="AB8" s="13">
        <f t="array" ref="AB8">IF(COUNT(AB12:AB411)=0, "", AVERAGE(IF(ISNUMBER(AB12:AB411), AB12:AB411 - Compilation!$F9:$F408)))
</f>
        <v>116.325</v>
      </c>
      <c r="AC8" s="13">
        <f t="array" ref="AC8">IF(COUNT(AC12:AC411)=0, "", AVERAGE(IF(ISNUMBER(AC12:AC411), AC12:AC411 - Compilation!$F9:$F408)))
</f>
        <v>126.8025</v>
      </c>
      <c r="AD8" s="13">
        <f t="array" ref="AD8">IF(COUNT(AD12:AD411)=0, "", AVERAGE(IF(ISNUMBER(AD12:AD411), AD12:AD411 - Compilation!$F9:$F408)))
</f>
        <v>20.66</v>
      </c>
      <c r="AE8" s="13">
        <f t="array" ref="AE8">IF(COUNT(AE12:AE411)=0, "", AVERAGE(IF(ISNUMBER(AE12:AE411), AE12:AE411 - Compilation!$F9:$F408)))
</f>
        <v>97.04</v>
      </c>
      <c r="AF8" s="13">
        <f t="array" ref="AF8">IF(COUNT(AF12:AF411)=0, "", AVERAGE(IF(ISNUMBER(AF12:AF411), AF12:AF411 - Compilation!$F9:$F408)))
</f>
        <v>160.8693467</v>
      </c>
      <c r="AG8" s="13">
        <f t="array" ref="AG8">IF(COUNT(AG12:AG411)=0, "", AVERAGE(IF(ISNUMBER(AG12:AG411), AG12:AG411 - Compilation!$F9:$F408)))
</f>
        <v>104.6920152</v>
      </c>
      <c r="AH8" s="13">
        <f t="array" ref="AH8">IF(COUNT(AH12:AH411)=0, "", AVERAGE(IF(ISNUMBER(AH12:AH411), AH12:AH411 - Compilation!$F9:$F408)))
</f>
        <v>55.2825</v>
      </c>
      <c r="AI8" s="13">
        <f t="array" ref="AI8">IF(COUNT(AI12:AI411)=0, "", AVERAGE(IF(ISNUMBER(AI12:AI411), AI12:AI411 - Compilation!$F9:$F408)))
</f>
        <v>46.68</v>
      </c>
      <c r="AJ8" s="13">
        <f t="array" ref="AJ8">IF(COUNT(AJ12:AJ411)=0, "", AVERAGE(IF(ISNUMBER(AJ12:AJ411), AJ12:AJ411 - Compilation!$F9:$F408)))
</f>
        <v>89.7025</v>
      </c>
      <c r="AK8" s="13">
        <f t="array" ref="AK8">IF(COUNT(AK12:AK411)=0, "", AVERAGE(IF(ISNUMBER(AK12:AK411), AK12:AK411 - Compilation!$F9:$F408)))
</f>
        <v>7.353535354</v>
      </c>
      <c r="AL8" s="13">
        <f t="array" ref="AL8">IF(COUNT(AL12:AL411)=0, "", AVERAGE(IF(ISNUMBER(AL12:AL411), AL12:AL411 - Compilation!$F9:$F408)))
</f>
        <v>80.385</v>
      </c>
      <c r="AM8" s="13">
        <f t="array" ref="AM8">IF(COUNT(AM12:AM411)=0, "", AVERAGE(IF(ISNUMBER(AM12:AM411), AM12:AM411 - Compilation!$F9:$F408)))
</f>
        <v>43.5625</v>
      </c>
      <c r="AN8" s="13">
        <f t="array" ref="AN8">IF(COUNT(AN12:AN411)=0, "", AVERAGE(IF(ISNUMBER(AN12:AN411), AN12:AN411 - Compilation!$F9:$F408)))
</f>
        <v>124.6875</v>
      </c>
      <c r="AO8" s="13">
        <f t="array" ref="AO8">IF(COUNT(AO12:AO411)=0, "", AVERAGE(IF(ISNUMBER(AO12:AO411), AO12:AO411 - Compilation!$F9:$F408)))
</f>
        <v>14.21</v>
      </c>
      <c r="AP8" s="13">
        <f t="array" ref="AP8">IF(COUNT(AP12:AP411)=0, "", AVERAGE(IF(ISNUMBER(AP12:AP411), AP12:AP411 - Compilation!$F9:$F408)))
</f>
        <v>63.135</v>
      </c>
      <c r="AQ8" s="13">
        <f t="array" ref="AQ8">IF(COUNT(AQ12:AQ411)=0, "", AVERAGE(IF(ISNUMBER(AQ12:AQ411), AQ12:AQ411 - Compilation!$F9:$F408)))
</f>
        <v>47.4825</v>
      </c>
      <c r="AR8" s="13" t="str">
        <f t="array" ref="AR8">IF(COUNT(AR13:AR411)=0, "", AVERAGE(IF(ISNUMBER(AR13:AR411), AR13:AR411 - Compilation!$F9:$F408)))
</f>
        <v/>
      </c>
      <c r="AS8" s="13">
        <f t="array" ref="AS8">IF(COUNT(AS12:AS411)=0, "", AVERAGE(IF(ISNUMBER(AS12:AS411), AS12:AS411 - Compilation!$F9:$F408)))
</f>
        <v>29.8425</v>
      </c>
      <c r="AT8" s="13">
        <f t="array" ref="AT8">IF(COUNT(AT12:AT411)=0, "", AVERAGE(IF(ISNUMBER(AT12:AT411), AT12:AT411 - Compilation!$F9:$F408)))
</f>
        <v>93.405</v>
      </c>
      <c r="AU8" s="13">
        <f t="array" ref="AU8">IF(COUNT(AU12:AU411)=0, "", AVERAGE(IF(ISNUMBER(AU12:AU411), AU12:AU411 - Compilation!$F9:$F408)))
</f>
        <v>14.0725</v>
      </c>
      <c r="AV8" s="13">
        <f t="array" ref="AV8">IF(COUNT(AV12:AV411)=0, "", AVERAGE(IF(ISNUMBER(AV12:AV411), AV12:AV411 - Compilation!$F9:$F408)))
</f>
        <v>13.4675</v>
      </c>
      <c r="AW8" s="13">
        <f t="array" ref="AW8">IF(COUNT(AW12:AW411)=0, "", AVERAGE(IF(ISNUMBER(AW12:AW411), AW12:AW411 - Compilation!$F9:$F408)))
</f>
        <v>16.8475</v>
      </c>
      <c r="AX8" s="13">
        <f t="array" ref="AX8">IF(COUNT(AX12:AX411)=0, "", AVERAGE(IF(ISNUMBER(AX12:AX411), AX12:AX411 - Compilation!$F9:$F408)))
</f>
        <v>22.3775</v>
      </c>
      <c r="AY8" s="13">
        <f t="array" ref="AY8">IF(COUNT(AY12:AY411)=0, "", AVERAGE(IF(ISNUMBER(AY12:AY411), AY12:AY411 - Compilation!$F9:$F408)))
</f>
        <v>-0.7</v>
      </c>
      <c r="AZ8" s="13" t="str">
        <f t="array" ref="AZ8">IF(COUNT(AZ12:AZ411)=0, "", AVERAGE(IF(ISNUMBER(AZ12:AZ411), AZ12:AZ411 - Compilation!$F9:$F408)))
</f>
        <v/>
      </c>
      <c r="BA8" s="13" t="str">
        <f t="array" ref="BA8">IF(COUNT(BA12:BA411)=0, "", AVERAGE(IF(ISNUMBER(BA12:BA411), BA12:BA411 - Compilation!$F9:$F408)))
</f>
        <v/>
      </c>
      <c r="BB8" s="13" t="str">
        <f t="array" ref="BB8">IF(COUNT(BB12:BB411)=0, "", AVERAGE(IF(ISNUMBER(BB12:BB411), BB12:BB411 - Compilation!$F9:$F408)))
</f>
        <v/>
      </c>
      <c r="BC8" s="13" t="str">
        <f t="array" ref="BC8">IF(COUNT(BC12:BC411)=0, "", AVERAGE(IF(ISNUMBER(BC12:BC411), BC12:BC411 - Compilation!$F9:$F408)))
</f>
        <v/>
      </c>
    </row>
    <row r="9">
      <c r="A9" s="7"/>
      <c r="B9" s="14"/>
      <c r="C9" s="14"/>
      <c r="D9" s="14"/>
      <c r="E9" s="14"/>
      <c r="F9" s="14"/>
      <c r="G9" s="15"/>
      <c r="H9" s="15"/>
      <c r="I9" s="15"/>
      <c r="J9" s="15"/>
      <c r="K9" s="15"/>
      <c r="L9" s="15"/>
      <c r="M9" s="15"/>
      <c r="N9" s="15"/>
      <c r="O9" s="15"/>
      <c r="P9" s="15"/>
      <c r="Q9" s="15"/>
      <c r="R9" s="15"/>
      <c r="S9" s="15"/>
      <c r="T9" s="15"/>
      <c r="U9" s="15"/>
      <c r="V9" s="15"/>
      <c r="W9" s="15"/>
      <c r="X9" s="15"/>
      <c r="Y9" s="15"/>
      <c r="Z9" s="16"/>
      <c r="AA9" s="16"/>
      <c r="AB9" s="16"/>
      <c r="AC9" s="16"/>
      <c r="AD9" s="16"/>
      <c r="AE9" s="16"/>
      <c r="AF9" s="16"/>
      <c r="AG9" s="16"/>
      <c r="AH9" s="16"/>
      <c r="AI9" s="16"/>
      <c r="AJ9" s="16"/>
      <c r="AK9" s="16"/>
      <c r="AL9" s="16"/>
      <c r="AM9" s="16"/>
      <c r="AN9" s="16"/>
      <c r="AO9" s="16"/>
      <c r="AP9" s="16"/>
      <c r="AQ9" s="16"/>
    </row>
    <row r="10">
      <c r="A10" s="7"/>
      <c r="B10" s="17"/>
      <c r="C10" s="17"/>
      <c r="D10" s="17"/>
      <c r="E10" s="17"/>
      <c r="F10" s="17"/>
      <c r="G10" s="17"/>
      <c r="H10" s="17"/>
      <c r="I10" s="17"/>
      <c r="J10" s="17"/>
      <c r="K10" s="17"/>
      <c r="L10" s="17"/>
      <c r="M10" s="17"/>
      <c r="N10" s="18"/>
      <c r="O10" s="18"/>
      <c r="P10" s="18"/>
      <c r="Q10" s="18"/>
      <c r="R10" s="18"/>
      <c r="S10" s="18"/>
      <c r="T10" s="18"/>
      <c r="U10" s="18"/>
      <c r="V10" s="18"/>
      <c r="W10" s="18"/>
      <c r="X10" s="18"/>
      <c r="Y10" s="18"/>
      <c r="Z10" s="19"/>
      <c r="AA10" s="19"/>
      <c r="AB10" s="19"/>
      <c r="AC10" s="19"/>
      <c r="AD10" s="19"/>
      <c r="AE10" s="19"/>
      <c r="AF10" s="19"/>
      <c r="AG10" s="19"/>
      <c r="AH10" s="19"/>
      <c r="AI10" s="19"/>
      <c r="AJ10" s="19"/>
      <c r="AK10" s="19"/>
      <c r="AL10" s="19"/>
      <c r="AM10" s="19"/>
      <c r="AN10" s="19"/>
      <c r="AO10" s="19"/>
      <c r="AP10" s="19"/>
      <c r="AQ10" s="19"/>
    </row>
    <row r="11">
      <c r="A11" s="20" t="s">
        <v>56</v>
      </c>
      <c r="B11" s="14"/>
      <c r="C11" s="15"/>
      <c r="D11" s="14"/>
      <c r="E11" s="14"/>
      <c r="F11" s="14"/>
      <c r="G11" s="15"/>
      <c r="H11" s="15"/>
      <c r="I11" s="15"/>
      <c r="J11" s="15"/>
      <c r="K11" s="15"/>
      <c r="L11" s="15"/>
      <c r="M11" s="15"/>
      <c r="N11" s="15"/>
      <c r="O11" s="15"/>
      <c r="P11" s="15"/>
      <c r="Q11" s="15"/>
      <c r="R11" s="15"/>
      <c r="S11" s="15"/>
      <c r="T11" s="14"/>
      <c r="U11" s="15"/>
      <c r="V11" s="15"/>
      <c r="W11" s="15"/>
      <c r="X11" s="15"/>
      <c r="Y11" s="15"/>
      <c r="Z11" s="16"/>
      <c r="AA11" s="16"/>
      <c r="AB11" s="16"/>
      <c r="AC11" s="16"/>
      <c r="AD11" s="16"/>
      <c r="AE11" s="16"/>
      <c r="AF11" s="16"/>
      <c r="AG11" s="16"/>
      <c r="AH11" s="16"/>
      <c r="AI11" s="16"/>
      <c r="AJ11" s="16"/>
      <c r="AK11" s="16"/>
      <c r="AL11" s="16"/>
      <c r="AM11" s="16"/>
      <c r="AN11" s="16"/>
      <c r="AO11" s="16"/>
      <c r="AP11" s="16"/>
      <c r="AQ11" s="16"/>
    </row>
    <row r="12">
      <c r="A12" s="21">
        <f>HYPERLINK("https://arcprize.org/play?task=007bbfb7", 1)</f>
        <v>1</v>
      </c>
      <c r="B12" s="14">
        <v>58.0</v>
      </c>
      <c r="C12" s="14">
        <v>61.0</v>
      </c>
      <c r="D12" s="14">
        <v>58.0</v>
      </c>
      <c r="E12" s="14">
        <v>61.0</v>
      </c>
      <c r="F12" s="22">
        <v>60.0</v>
      </c>
      <c r="G12" s="14">
        <v>61.0</v>
      </c>
      <c r="H12" s="14">
        <v>61.0</v>
      </c>
      <c r="I12" s="14">
        <v>61.0</v>
      </c>
      <c r="J12" s="23">
        <v>58.0</v>
      </c>
      <c r="K12" s="14">
        <v>61.0</v>
      </c>
      <c r="L12" s="14">
        <v>61.0</v>
      </c>
      <c r="M12" s="22">
        <v>60.0</v>
      </c>
      <c r="N12" s="14">
        <v>61.0</v>
      </c>
      <c r="O12" s="14">
        <v>77.0</v>
      </c>
      <c r="P12" s="14">
        <v>105.0</v>
      </c>
      <c r="Q12" s="14">
        <v>61.0</v>
      </c>
      <c r="R12" s="24">
        <v>61.0</v>
      </c>
      <c r="S12" s="14">
        <v>74.0</v>
      </c>
      <c r="T12" s="14">
        <v>71.0</v>
      </c>
      <c r="U12" s="14">
        <v>71.0</v>
      </c>
      <c r="V12" s="14">
        <v>61.0</v>
      </c>
      <c r="W12" s="14">
        <v>61.0</v>
      </c>
      <c r="X12" s="14">
        <v>74.0</v>
      </c>
      <c r="Y12" s="14">
        <v>74.0</v>
      </c>
      <c r="Z12" s="14">
        <v>61.0</v>
      </c>
      <c r="AA12" s="25"/>
      <c r="AB12" s="25">
        <v>74.0</v>
      </c>
      <c r="AC12" s="14">
        <v>61.0</v>
      </c>
      <c r="AD12" s="14">
        <v>61.0</v>
      </c>
      <c r="AE12" s="14">
        <v>61.0</v>
      </c>
      <c r="AF12" s="14">
        <v>61.0</v>
      </c>
      <c r="AG12" s="14">
        <v>74.0</v>
      </c>
      <c r="AH12" s="14">
        <v>61.0</v>
      </c>
      <c r="AI12" s="14">
        <v>61.0</v>
      </c>
      <c r="AJ12" s="14">
        <v>61.0</v>
      </c>
      <c r="AK12" s="14">
        <v>61.0</v>
      </c>
      <c r="AL12" s="14">
        <v>61.0</v>
      </c>
      <c r="AM12" s="14">
        <v>61.0</v>
      </c>
      <c r="AN12" s="14">
        <v>61.0</v>
      </c>
      <c r="AO12" s="14">
        <v>61.0</v>
      </c>
      <c r="AP12" s="14">
        <v>61.0</v>
      </c>
      <c r="AQ12" s="14">
        <v>61.0</v>
      </c>
      <c r="AR12" s="14"/>
      <c r="AS12" s="14">
        <v>61.0</v>
      </c>
      <c r="AT12" s="14">
        <v>61.0</v>
      </c>
      <c r="AU12" s="14">
        <v>61.0</v>
      </c>
      <c r="AV12" s="14">
        <v>61.0</v>
      </c>
      <c r="AW12" s="14">
        <v>61.0</v>
      </c>
      <c r="AX12" s="14">
        <v>61.0</v>
      </c>
      <c r="AY12" s="14">
        <v>58.0</v>
      </c>
      <c r="AZ12" s="26"/>
      <c r="BA12" s="26"/>
      <c r="BB12" s="26"/>
      <c r="BC12" s="26"/>
    </row>
    <row r="13">
      <c r="A13" s="27">
        <f>HYPERLINK("https://arcprize.org/play?task=00d62c1b", 2)</f>
        <v>2</v>
      </c>
      <c r="B13" s="14">
        <v>88.0</v>
      </c>
      <c r="C13" s="14">
        <v>200.0</v>
      </c>
      <c r="D13" s="14">
        <v>88.0</v>
      </c>
      <c r="E13" s="14">
        <v>196.0</v>
      </c>
      <c r="F13" s="28">
        <v>86.0</v>
      </c>
      <c r="G13" s="14">
        <v>108.0</v>
      </c>
      <c r="H13" s="14">
        <v>96.0</v>
      </c>
      <c r="I13" s="14">
        <v>217.0</v>
      </c>
      <c r="J13" s="23">
        <v>99.0</v>
      </c>
      <c r="K13" s="14">
        <v>97.0</v>
      </c>
      <c r="L13" s="14">
        <v>102.0</v>
      </c>
      <c r="M13" s="22">
        <v>91.0</v>
      </c>
      <c r="N13" s="14"/>
      <c r="O13" s="14">
        <v>171.0</v>
      </c>
      <c r="P13" s="14"/>
      <c r="Q13" s="14">
        <v>201.0</v>
      </c>
      <c r="R13" s="24">
        <v>102.0</v>
      </c>
      <c r="S13" s="14"/>
      <c r="T13" s="14">
        <v>338.0</v>
      </c>
      <c r="U13" s="14">
        <v>300.0</v>
      </c>
      <c r="V13" s="14">
        <v>102.0</v>
      </c>
      <c r="W13" s="14">
        <v>92.0</v>
      </c>
      <c r="X13" s="14">
        <v>259.0</v>
      </c>
      <c r="Y13" s="14">
        <v>259.0</v>
      </c>
      <c r="Z13" s="25">
        <v>101.0</v>
      </c>
      <c r="AA13" s="25"/>
      <c r="AB13" s="25">
        <v>200.0</v>
      </c>
      <c r="AC13" s="14">
        <v>196.0</v>
      </c>
      <c r="AD13" s="14">
        <v>110.0</v>
      </c>
      <c r="AE13" s="14">
        <v>188.0</v>
      </c>
      <c r="AF13" s="14">
        <v>202.0</v>
      </c>
      <c r="AG13" s="14">
        <v>314.0</v>
      </c>
      <c r="AH13" s="14">
        <v>200.0</v>
      </c>
      <c r="AI13" s="14">
        <v>129.0</v>
      </c>
      <c r="AJ13" s="14">
        <v>199.0</v>
      </c>
      <c r="AK13" s="14">
        <v>97.0</v>
      </c>
      <c r="AL13" s="14">
        <v>192.0</v>
      </c>
      <c r="AM13" s="14">
        <v>126.0</v>
      </c>
      <c r="AN13" s="14">
        <v>196.0</v>
      </c>
      <c r="AO13" s="14">
        <v>94.0</v>
      </c>
      <c r="AP13" s="14">
        <v>194.0</v>
      </c>
      <c r="AQ13" s="14">
        <v>107.0</v>
      </c>
      <c r="AR13" s="14"/>
      <c r="AS13" s="14">
        <v>99.0</v>
      </c>
      <c r="AT13" s="14">
        <v>196.0</v>
      </c>
      <c r="AU13" s="14">
        <v>107.0</v>
      </c>
      <c r="AV13" s="14">
        <v>98.0</v>
      </c>
      <c r="AW13" s="14">
        <v>95.0</v>
      </c>
      <c r="AX13" s="14">
        <v>101.0</v>
      </c>
      <c r="AY13" s="14">
        <v>85.0</v>
      </c>
      <c r="AZ13" s="26"/>
      <c r="BA13" s="26"/>
      <c r="BB13" s="26"/>
      <c r="BC13" s="26"/>
    </row>
    <row r="14">
      <c r="A14" s="27">
        <f>HYPERLINK("https://arcprize.org/play?task=017c7c7b", 3)</f>
        <v>3</v>
      </c>
      <c r="B14" s="14">
        <v>58.0</v>
      </c>
      <c r="C14" s="14">
        <v>65.0</v>
      </c>
      <c r="D14" s="14">
        <v>58.0</v>
      </c>
      <c r="E14" s="14">
        <v>65.0</v>
      </c>
      <c r="F14" s="22">
        <v>58.0</v>
      </c>
      <c r="G14" s="14">
        <v>65.0</v>
      </c>
      <c r="H14" s="14">
        <v>61.0</v>
      </c>
      <c r="I14" s="14">
        <v>65.0</v>
      </c>
      <c r="J14" s="23">
        <v>58.0</v>
      </c>
      <c r="K14" s="14">
        <v>58.0</v>
      </c>
      <c r="L14" s="14">
        <v>58.0</v>
      </c>
      <c r="M14" s="22">
        <v>58.0</v>
      </c>
      <c r="N14" s="14"/>
      <c r="O14" s="14">
        <v>63.0</v>
      </c>
      <c r="P14" s="14"/>
      <c r="Q14" s="14">
        <v>65.0</v>
      </c>
      <c r="R14" s="24">
        <v>61.0</v>
      </c>
      <c r="S14" s="14">
        <v>86.0</v>
      </c>
      <c r="T14" s="14">
        <v>65.0</v>
      </c>
      <c r="U14" s="14">
        <v>61.0</v>
      </c>
      <c r="V14" s="29">
        <v>61.0</v>
      </c>
      <c r="W14" s="14">
        <v>62.0</v>
      </c>
      <c r="X14" s="14">
        <v>66.0</v>
      </c>
      <c r="Y14" s="14">
        <v>66.0</v>
      </c>
      <c r="Z14" s="25">
        <v>61.0</v>
      </c>
      <c r="AA14" s="25"/>
      <c r="AB14" s="25">
        <v>66.0</v>
      </c>
      <c r="AC14" s="14">
        <v>61.0</v>
      </c>
      <c r="AD14" s="14">
        <v>61.0</v>
      </c>
      <c r="AE14" s="14">
        <v>58.0</v>
      </c>
      <c r="AF14" s="14">
        <v>61.0</v>
      </c>
      <c r="AG14" s="14">
        <v>66.0</v>
      </c>
      <c r="AH14" s="14">
        <v>61.0</v>
      </c>
      <c r="AI14" s="14">
        <v>65.0</v>
      </c>
      <c r="AJ14" s="14">
        <v>65.0</v>
      </c>
      <c r="AK14" s="14">
        <v>61.0</v>
      </c>
      <c r="AL14" s="14">
        <v>65.0</v>
      </c>
      <c r="AM14" s="14">
        <v>65.0</v>
      </c>
      <c r="AN14" s="14">
        <v>65.0</v>
      </c>
      <c r="AO14" s="14">
        <v>61.0</v>
      </c>
      <c r="AP14" s="14">
        <v>61.0</v>
      </c>
      <c r="AQ14" s="14">
        <v>61.0</v>
      </c>
      <c r="AR14" s="14"/>
      <c r="AS14" s="14">
        <v>65.0</v>
      </c>
      <c r="AT14" s="14">
        <v>65.0</v>
      </c>
      <c r="AU14" s="14">
        <v>61.0</v>
      </c>
      <c r="AV14" s="14">
        <v>58.0</v>
      </c>
      <c r="AW14" s="14">
        <v>58.0</v>
      </c>
      <c r="AX14" s="14">
        <v>58.0</v>
      </c>
      <c r="AY14" s="14">
        <v>58.0</v>
      </c>
      <c r="AZ14" s="26"/>
      <c r="BA14" s="26"/>
      <c r="BB14" s="26"/>
      <c r="BC14" s="26"/>
    </row>
    <row r="15">
      <c r="A15" s="27">
        <f>HYPERLINK("https://arcprize.org/play?task=025d127b", 4)</f>
        <v>4</v>
      </c>
      <c r="B15" s="14">
        <v>79.0</v>
      </c>
      <c r="C15" s="14">
        <v>194.0</v>
      </c>
      <c r="D15" s="14">
        <v>73.0</v>
      </c>
      <c r="E15" s="14">
        <v>192.0</v>
      </c>
      <c r="F15" s="22">
        <v>74.0</v>
      </c>
      <c r="G15" s="14">
        <v>194.0</v>
      </c>
      <c r="H15" s="14"/>
      <c r="I15" s="14">
        <v>139.0</v>
      </c>
      <c r="J15" s="23">
        <v>91.0</v>
      </c>
      <c r="K15" s="14">
        <v>101.0</v>
      </c>
      <c r="L15" s="14">
        <v>110.0</v>
      </c>
      <c r="M15" s="22">
        <v>99.0</v>
      </c>
      <c r="N15" s="14"/>
      <c r="O15" s="14"/>
      <c r="P15" s="14"/>
      <c r="Q15" s="14">
        <v>195.0</v>
      </c>
      <c r="R15" s="24">
        <v>108.0</v>
      </c>
      <c r="S15" s="14"/>
      <c r="T15" s="14">
        <v>258.0</v>
      </c>
      <c r="U15" s="14">
        <v>222.0</v>
      </c>
      <c r="V15" s="29">
        <v>119.0</v>
      </c>
      <c r="W15" s="14">
        <v>93.0</v>
      </c>
      <c r="X15" s="14">
        <v>222.0</v>
      </c>
      <c r="Y15" s="14">
        <v>222.0</v>
      </c>
      <c r="Z15" s="25">
        <v>99.0</v>
      </c>
      <c r="AA15" s="25"/>
      <c r="AB15" s="25">
        <v>194.0</v>
      </c>
      <c r="AC15" s="14">
        <v>191.0</v>
      </c>
      <c r="AD15" s="14">
        <v>190.0</v>
      </c>
      <c r="AE15" s="14">
        <v>194.0</v>
      </c>
      <c r="AF15" s="14">
        <v>191.0</v>
      </c>
      <c r="AG15" s="14">
        <v>222.0</v>
      </c>
      <c r="AH15" s="14">
        <v>125.0</v>
      </c>
      <c r="AI15" s="14">
        <v>170.0</v>
      </c>
      <c r="AJ15" s="14">
        <v>180.0</v>
      </c>
      <c r="AK15" s="14"/>
      <c r="AL15" s="14">
        <v>191.0</v>
      </c>
      <c r="AM15" s="14">
        <v>119.0</v>
      </c>
      <c r="AN15" s="14">
        <v>194.0</v>
      </c>
      <c r="AO15" s="14">
        <v>80.0</v>
      </c>
      <c r="AP15" s="14">
        <v>132.0</v>
      </c>
      <c r="AQ15" s="14">
        <v>139.0</v>
      </c>
      <c r="AR15" s="14"/>
      <c r="AS15" s="14">
        <v>149.0</v>
      </c>
      <c r="AT15" s="14">
        <v>194.0</v>
      </c>
      <c r="AU15" s="14">
        <v>84.0</v>
      </c>
      <c r="AV15" s="14">
        <v>86.0</v>
      </c>
      <c r="AW15" s="14">
        <v>104.0</v>
      </c>
      <c r="AX15" s="14">
        <v>103.0</v>
      </c>
      <c r="AY15" s="14">
        <v>73.0</v>
      </c>
      <c r="AZ15" s="26"/>
      <c r="BA15" s="26"/>
      <c r="BB15" s="26"/>
      <c r="BC15" s="26"/>
    </row>
    <row r="16">
      <c r="A16" s="27">
        <f>HYPERLINK("https://arcprize.org/play?task=045e512c", 5)</f>
        <v>5</v>
      </c>
      <c r="B16" s="14">
        <v>174.0</v>
      </c>
      <c r="C16" s="14">
        <v>409.0</v>
      </c>
      <c r="D16" s="14">
        <v>199.0</v>
      </c>
      <c r="E16" s="14">
        <v>396.0</v>
      </c>
      <c r="F16" s="22">
        <v>166.0</v>
      </c>
      <c r="G16" s="14">
        <v>399.0</v>
      </c>
      <c r="H16" s="15"/>
      <c r="I16" s="14">
        <v>346.0</v>
      </c>
      <c r="J16" s="23">
        <v>253.0</v>
      </c>
      <c r="K16" s="14">
        <v>235.0</v>
      </c>
      <c r="L16" s="14">
        <v>279.0</v>
      </c>
      <c r="M16" s="22">
        <v>257.0</v>
      </c>
      <c r="N16" s="15"/>
      <c r="O16" s="15"/>
      <c r="P16" s="15"/>
      <c r="Q16" s="14">
        <v>382.0</v>
      </c>
      <c r="R16" s="24">
        <v>246.0</v>
      </c>
      <c r="S16" s="15"/>
      <c r="T16" s="15"/>
      <c r="U16" s="15"/>
      <c r="V16" s="29"/>
      <c r="W16" s="14">
        <v>279.0</v>
      </c>
      <c r="X16" s="14"/>
      <c r="Y16" s="14">
        <v>437.0</v>
      </c>
      <c r="Z16" s="25">
        <v>242.0</v>
      </c>
      <c r="AA16" s="25"/>
      <c r="AB16" s="25">
        <v>400.0</v>
      </c>
      <c r="AC16" s="14">
        <v>424.0</v>
      </c>
      <c r="AD16" s="14">
        <v>438.0</v>
      </c>
      <c r="AE16" s="14">
        <v>279.0</v>
      </c>
      <c r="AF16" s="14">
        <v>494.0</v>
      </c>
      <c r="AG16" s="14">
        <v>484.0</v>
      </c>
      <c r="AH16" s="14">
        <v>358.0</v>
      </c>
      <c r="AI16" s="14">
        <v>273.0</v>
      </c>
      <c r="AJ16" s="14">
        <v>349.0</v>
      </c>
      <c r="AK16" s="14"/>
      <c r="AL16" s="14">
        <v>309.0</v>
      </c>
      <c r="AM16" s="14">
        <v>275.0</v>
      </c>
      <c r="AN16" s="14">
        <v>414.0</v>
      </c>
      <c r="AO16" s="14">
        <v>246.0</v>
      </c>
      <c r="AP16" s="14">
        <v>388.0</v>
      </c>
      <c r="AQ16" s="14">
        <v>250.0</v>
      </c>
      <c r="AR16" s="14"/>
      <c r="AS16" s="14">
        <v>242.0</v>
      </c>
      <c r="AT16" s="14">
        <v>330.0</v>
      </c>
      <c r="AU16" s="14">
        <v>234.0</v>
      </c>
      <c r="AV16" s="14">
        <v>234.0</v>
      </c>
      <c r="AW16" s="14">
        <v>221.0</v>
      </c>
      <c r="AX16" s="14">
        <v>236.0</v>
      </c>
      <c r="AY16" s="14">
        <v>166.0</v>
      </c>
      <c r="AZ16" s="26"/>
      <c r="BA16" s="26"/>
      <c r="BB16" s="26"/>
      <c r="BC16" s="26"/>
    </row>
    <row r="17">
      <c r="A17" s="27">
        <f>HYPERLINK("https://arcprize.org/play?task=0520fde7", 6)</f>
        <v>6</v>
      </c>
      <c r="B17" s="14">
        <v>49.0</v>
      </c>
      <c r="C17" s="14">
        <v>53.0</v>
      </c>
      <c r="D17" s="14">
        <v>51.0</v>
      </c>
      <c r="E17" s="14">
        <v>57.0</v>
      </c>
      <c r="F17" s="22">
        <v>49.0</v>
      </c>
      <c r="G17" s="14">
        <v>53.0</v>
      </c>
      <c r="H17" s="14">
        <v>53.0</v>
      </c>
      <c r="I17" s="14">
        <v>53.0</v>
      </c>
      <c r="J17" s="23">
        <v>51.0</v>
      </c>
      <c r="K17" s="14">
        <v>51.0</v>
      </c>
      <c r="L17" s="14">
        <v>53.0</v>
      </c>
      <c r="M17" s="22">
        <v>51.0</v>
      </c>
      <c r="N17" s="14">
        <v>53.0</v>
      </c>
      <c r="O17" s="14">
        <v>53.0</v>
      </c>
      <c r="P17" s="14">
        <v>70.0</v>
      </c>
      <c r="Q17" s="14">
        <v>53.0</v>
      </c>
      <c r="R17" s="24">
        <v>53.0</v>
      </c>
      <c r="S17" s="14"/>
      <c r="T17" s="14">
        <v>57.0</v>
      </c>
      <c r="U17" s="14">
        <v>70.0</v>
      </c>
      <c r="V17" s="29">
        <v>53.0</v>
      </c>
      <c r="W17" s="14">
        <v>53.0</v>
      </c>
      <c r="X17" s="14">
        <v>71.0</v>
      </c>
      <c r="Y17" s="14">
        <v>71.0</v>
      </c>
      <c r="Z17" s="25">
        <v>51.0</v>
      </c>
      <c r="AA17" s="25"/>
      <c r="AB17" s="25">
        <v>71.0</v>
      </c>
      <c r="AC17" s="14">
        <v>57.0</v>
      </c>
      <c r="AD17" s="14">
        <v>53.0</v>
      </c>
      <c r="AE17" s="14">
        <v>53.0</v>
      </c>
      <c r="AF17" s="14">
        <v>57.0</v>
      </c>
      <c r="AG17" s="14">
        <v>59.0</v>
      </c>
      <c r="AH17" s="14">
        <v>53.0</v>
      </c>
      <c r="AI17" s="14">
        <v>53.0</v>
      </c>
      <c r="AJ17" s="14">
        <v>53.0</v>
      </c>
      <c r="AK17" s="14">
        <v>53.0</v>
      </c>
      <c r="AL17" s="14">
        <v>53.0</v>
      </c>
      <c r="AM17" s="14">
        <v>54.0</v>
      </c>
      <c r="AN17" s="14">
        <v>57.0</v>
      </c>
      <c r="AO17" s="14">
        <v>51.0</v>
      </c>
      <c r="AP17" s="14">
        <v>53.0</v>
      </c>
      <c r="AQ17" s="14">
        <v>51.0</v>
      </c>
      <c r="AR17" s="14"/>
      <c r="AS17" s="14">
        <v>53.0</v>
      </c>
      <c r="AT17" s="14">
        <v>57.0</v>
      </c>
      <c r="AU17" s="14">
        <v>49.0</v>
      </c>
      <c r="AV17" s="14">
        <v>51.0</v>
      </c>
      <c r="AW17" s="14">
        <v>49.0</v>
      </c>
      <c r="AX17" s="14">
        <v>51.0</v>
      </c>
      <c r="AY17" s="14">
        <v>49.0</v>
      </c>
      <c r="AZ17" s="26"/>
      <c r="BA17" s="26"/>
      <c r="BB17" s="26"/>
      <c r="BC17" s="26"/>
    </row>
    <row r="18">
      <c r="A18" s="27">
        <f>HYPERLINK("https://arcprize.org/play?task=05269061", 7)</f>
        <v>7</v>
      </c>
      <c r="B18" s="14">
        <v>62.0</v>
      </c>
      <c r="C18" s="14">
        <v>142.0</v>
      </c>
      <c r="D18" s="14">
        <v>63.0</v>
      </c>
      <c r="E18" s="14">
        <v>104.0</v>
      </c>
      <c r="F18" s="22">
        <v>62.0</v>
      </c>
      <c r="G18" s="14">
        <v>98.0</v>
      </c>
      <c r="H18" s="14">
        <v>72.0</v>
      </c>
      <c r="I18" s="14">
        <v>84.0</v>
      </c>
      <c r="J18" s="23">
        <v>64.0</v>
      </c>
      <c r="K18" s="14">
        <v>68.0</v>
      </c>
      <c r="L18" s="14">
        <v>72.0</v>
      </c>
      <c r="M18" s="22">
        <v>63.0</v>
      </c>
      <c r="N18" s="15"/>
      <c r="O18" s="15"/>
      <c r="P18" s="15"/>
      <c r="Q18" s="14">
        <v>72.0</v>
      </c>
      <c r="R18" s="24">
        <v>64.0</v>
      </c>
      <c r="S18" s="14">
        <v>84.0</v>
      </c>
      <c r="T18" s="14">
        <v>180.0</v>
      </c>
      <c r="U18" s="14">
        <v>124.0</v>
      </c>
      <c r="V18" s="29">
        <v>72.0</v>
      </c>
      <c r="W18" s="14">
        <v>67.0</v>
      </c>
      <c r="X18" s="14">
        <v>155.0</v>
      </c>
      <c r="Y18" s="14">
        <v>155.0</v>
      </c>
      <c r="Z18" s="25">
        <v>72.0</v>
      </c>
      <c r="AA18" s="25"/>
      <c r="AB18" s="25">
        <v>155.0</v>
      </c>
      <c r="AC18" s="14">
        <v>126.0</v>
      </c>
      <c r="AD18" s="14">
        <v>104.0</v>
      </c>
      <c r="AE18" s="14">
        <v>72.0</v>
      </c>
      <c r="AF18" s="14">
        <v>118.0</v>
      </c>
      <c r="AG18" s="14">
        <v>108.0</v>
      </c>
      <c r="AH18" s="14">
        <v>72.0</v>
      </c>
      <c r="AI18" s="14">
        <v>72.0</v>
      </c>
      <c r="AJ18" s="14">
        <v>97.0</v>
      </c>
      <c r="AK18" s="14"/>
      <c r="AL18" s="14">
        <v>135.0</v>
      </c>
      <c r="AM18" s="14">
        <v>72.0</v>
      </c>
      <c r="AN18" s="14">
        <v>142.0</v>
      </c>
      <c r="AO18" s="14">
        <v>64.0</v>
      </c>
      <c r="AP18" s="14">
        <v>98.0</v>
      </c>
      <c r="AQ18" s="14">
        <v>74.0</v>
      </c>
      <c r="AR18" s="14"/>
      <c r="AS18" s="14">
        <v>103.0</v>
      </c>
      <c r="AT18" s="14">
        <v>142.0</v>
      </c>
      <c r="AU18" s="14">
        <v>64.0</v>
      </c>
      <c r="AV18" s="14">
        <v>64.0</v>
      </c>
      <c r="AW18" s="14">
        <v>64.0</v>
      </c>
      <c r="AX18" s="14">
        <v>64.0</v>
      </c>
      <c r="AY18" s="14">
        <v>62.0</v>
      </c>
      <c r="AZ18" s="26"/>
      <c r="BA18" s="26"/>
      <c r="BB18" s="26"/>
      <c r="BC18" s="26"/>
    </row>
    <row r="19">
      <c r="A19" s="27">
        <f>HYPERLINK("https://arcprize.org/play?task=05f2a901", 8)</f>
        <v>8</v>
      </c>
      <c r="B19" s="14">
        <v>84.0</v>
      </c>
      <c r="C19" s="14">
        <v>184.0</v>
      </c>
      <c r="D19" s="14">
        <v>90.0</v>
      </c>
      <c r="E19" s="14">
        <v>184.0</v>
      </c>
      <c r="F19" s="22">
        <v>84.0</v>
      </c>
      <c r="G19" s="14">
        <v>299.0</v>
      </c>
      <c r="H19" s="14"/>
      <c r="I19" s="14">
        <v>152.0</v>
      </c>
      <c r="J19" s="23">
        <v>99.0</v>
      </c>
      <c r="K19" s="14">
        <v>97.0</v>
      </c>
      <c r="L19" s="14">
        <v>120.0</v>
      </c>
      <c r="M19" s="22">
        <v>127.0</v>
      </c>
      <c r="N19" s="15"/>
      <c r="O19" s="15"/>
      <c r="P19" s="15"/>
      <c r="Q19" s="14">
        <v>218.0</v>
      </c>
      <c r="R19" s="24">
        <v>115.0</v>
      </c>
      <c r="S19" s="15"/>
      <c r="T19" s="15"/>
      <c r="U19" s="14">
        <v>394.0</v>
      </c>
      <c r="V19" s="29"/>
      <c r="W19" s="14">
        <v>103.0</v>
      </c>
      <c r="X19" s="14">
        <v>320.0</v>
      </c>
      <c r="Y19" s="14">
        <v>323.0</v>
      </c>
      <c r="Z19" s="25">
        <v>104.0</v>
      </c>
      <c r="AA19" s="25"/>
      <c r="AB19" s="25">
        <v>277.0</v>
      </c>
      <c r="AC19" s="14">
        <v>296.0</v>
      </c>
      <c r="AD19" s="14">
        <v>290.0</v>
      </c>
      <c r="AE19" s="14">
        <v>296.0</v>
      </c>
      <c r="AF19" s="14">
        <v>238.0</v>
      </c>
      <c r="AG19" s="14">
        <v>222.0</v>
      </c>
      <c r="AH19" s="14">
        <v>221.0</v>
      </c>
      <c r="AI19" s="14">
        <v>122.0</v>
      </c>
      <c r="AJ19" s="14">
        <v>236.0</v>
      </c>
      <c r="AK19" s="14"/>
      <c r="AL19" s="14">
        <v>186.0</v>
      </c>
      <c r="AM19" s="14">
        <v>142.0</v>
      </c>
      <c r="AN19" s="14">
        <v>189.0</v>
      </c>
      <c r="AO19" s="14">
        <v>101.0</v>
      </c>
      <c r="AP19" s="14">
        <v>184.0</v>
      </c>
      <c r="AQ19" s="14">
        <v>146.0</v>
      </c>
      <c r="AR19" s="14"/>
      <c r="AS19" s="14">
        <v>149.0</v>
      </c>
      <c r="AT19" s="14">
        <v>186.0</v>
      </c>
      <c r="AU19" s="14">
        <v>99.0</v>
      </c>
      <c r="AV19" s="14">
        <v>125.0</v>
      </c>
      <c r="AW19" s="14">
        <v>114.0</v>
      </c>
      <c r="AX19" s="14">
        <v>99.0</v>
      </c>
      <c r="AY19" s="14">
        <v>83.0</v>
      </c>
      <c r="AZ19" s="26"/>
      <c r="BA19" s="26"/>
      <c r="BB19" s="26"/>
      <c r="BC19" s="26"/>
    </row>
    <row r="20">
      <c r="A20" s="27">
        <f>HYPERLINK("https://arcprize.org/play?task=06df4c85", 9)</f>
        <v>9</v>
      </c>
      <c r="B20" s="14">
        <v>95.0</v>
      </c>
      <c r="C20" s="14">
        <v>281.0</v>
      </c>
      <c r="D20" s="14">
        <v>109.0</v>
      </c>
      <c r="E20" s="14">
        <v>263.0</v>
      </c>
      <c r="F20" s="22">
        <v>108.0</v>
      </c>
      <c r="G20" s="14">
        <v>229.0</v>
      </c>
      <c r="H20" s="14">
        <v>126.0</v>
      </c>
      <c r="I20" s="14">
        <v>147.0</v>
      </c>
      <c r="J20" s="23">
        <v>116.0</v>
      </c>
      <c r="K20" s="14">
        <v>112.0</v>
      </c>
      <c r="L20" s="14">
        <v>123.0</v>
      </c>
      <c r="M20" s="22">
        <v>107.0</v>
      </c>
      <c r="N20" s="15"/>
      <c r="O20" s="15"/>
      <c r="P20" s="15"/>
      <c r="Q20" s="14">
        <v>223.0</v>
      </c>
      <c r="R20" s="24">
        <v>121.0</v>
      </c>
      <c r="S20" s="15"/>
      <c r="T20" s="15"/>
      <c r="U20" s="14">
        <v>507.0</v>
      </c>
      <c r="V20" s="29">
        <v>123.0</v>
      </c>
      <c r="W20" s="14">
        <v>109.0</v>
      </c>
      <c r="X20" s="14">
        <v>317.0</v>
      </c>
      <c r="Y20" s="14">
        <v>323.0</v>
      </c>
      <c r="Z20" s="25">
        <v>109.0</v>
      </c>
      <c r="AA20" s="25"/>
      <c r="AB20" s="25">
        <v>279.0</v>
      </c>
      <c r="AC20" s="14">
        <v>263.0</v>
      </c>
      <c r="AD20" s="14"/>
      <c r="AE20" s="14">
        <v>167.0</v>
      </c>
      <c r="AF20" s="14">
        <v>279.0</v>
      </c>
      <c r="AG20" s="14">
        <v>305.0</v>
      </c>
      <c r="AH20" s="14">
        <v>158.0</v>
      </c>
      <c r="AI20" s="14">
        <v>118.0</v>
      </c>
      <c r="AJ20" s="14">
        <v>166.0</v>
      </c>
      <c r="AK20" s="14"/>
      <c r="AL20" s="14">
        <v>207.0</v>
      </c>
      <c r="AM20" s="14">
        <v>216.0</v>
      </c>
      <c r="AN20" s="14">
        <v>263.0</v>
      </c>
      <c r="AO20" s="14">
        <v>108.0</v>
      </c>
      <c r="AP20" s="14">
        <v>226.0</v>
      </c>
      <c r="AQ20" s="14">
        <v>240.0</v>
      </c>
      <c r="AR20" s="14"/>
      <c r="AS20" s="14">
        <v>119.0</v>
      </c>
      <c r="AT20" s="14">
        <v>263.0</v>
      </c>
      <c r="AU20" s="14">
        <v>116.0</v>
      </c>
      <c r="AV20" s="14">
        <v>113.0</v>
      </c>
      <c r="AW20" s="14">
        <v>112.0</v>
      </c>
      <c r="AX20" s="14">
        <v>113.0</v>
      </c>
      <c r="AY20" s="14">
        <v>95.0</v>
      </c>
      <c r="AZ20" s="26"/>
      <c r="BA20" s="26"/>
      <c r="BB20" s="26"/>
      <c r="BC20" s="26"/>
    </row>
    <row r="21">
      <c r="A21" s="27">
        <f>HYPERLINK("https://arcprize.org/play?task=08ed6ac7", 10)</f>
        <v>10</v>
      </c>
      <c r="B21" s="14">
        <v>66.0</v>
      </c>
      <c r="C21" s="14">
        <v>94.0</v>
      </c>
      <c r="D21" s="14">
        <v>67.0</v>
      </c>
      <c r="E21" s="14">
        <v>94.0</v>
      </c>
      <c r="F21" s="22">
        <v>67.0</v>
      </c>
      <c r="G21" s="14">
        <v>95.0</v>
      </c>
      <c r="H21" s="14">
        <v>77.0</v>
      </c>
      <c r="I21" s="14">
        <v>94.0</v>
      </c>
      <c r="J21" s="23">
        <v>68.0</v>
      </c>
      <c r="K21" s="14">
        <v>80.0</v>
      </c>
      <c r="L21" s="14">
        <v>87.0</v>
      </c>
      <c r="M21" s="22">
        <v>77.0</v>
      </c>
      <c r="N21" s="15"/>
      <c r="O21" s="15"/>
      <c r="P21" s="15"/>
      <c r="Q21" s="15">
        <v>92.0</v>
      </c>
      <c r="R21" s="24">
        <v>83.0</v>
      </c>
      <c r="S21" s="14">
        <v>108.0</v>
      </c>
      <c r="T21" s="14">
        <v>106.0</v>
      </c>
      <c r="U21" s="14">
        <v>106.0</v>
      </c>
      <c r="V21" s="29">
        <v>88.0</v>
      </c>
      <c r="W21" s="14">
        <v>101.0</v>
      </c>
      <c r="X21" s="14">
        <v>106.0</v>
      </c>
      <c r="Y21" s="14">
        <v>106.0</v>
      </c>
      <c r="Z21" s="25">
        <v>82.0</v>
      </c>
      <c r="AA21" s="25"/>
      <c r="AB21" s="25">
        <v>106.0</v>
      </c>
      <c r="AC21" s="14">
        <v>95.0</v>
      </c>
      <c r="AD21" s="14">
        <v>94.0</v>
      </c>
      <c r="AE21" s="14">
        <v>95.0</v>
      </c>
      <c r="AF21" s="14">
        <v>94.0</v>
      </c>
      <c r="AG21" s="14">
        <v>106.0</v>
      </c>
      <c r="AH21" s="14">
        <v>87.0</v>
      </c>
      <c r="AI21" s="14">
        <v>89.0</v>
      </c>
      <c r="AJ21" s="14">
        <v>89.0</v>
      </c>
      <c r="AK21" s="14">
        <v>72.0</v>
      </c>
      <c r="AL21" s="14">
        <v>94.0</v>
      </c>
      <c r="AM21" s="14">
        <v>72.0</v>
      </c>
      <c r="AN21" s="14">
        <v>95.0</v>
      </c>
      <c r="AO21" s="14">
        <v>70.0</v>
      </c>
      <c r="AP21" s="14">
        <v>94.0</v>
      </c>
      <c r="AQ21" s="14">
        <v>87.0</v>
      </c>
      <c r="AR21" s="14"/>
      <c r="AS21" s="14">
        <v>83.0</v>
      </c>
      <c r="AT21" s="14">
        <v>94.0</v>
      </c>
      <c r="AU21" s="14">
        <v>71.0</v>
      </c>
      <c r="AV21" s="14">
        <v>71.0</v>
      </c>
      <c r="AW21" s="14">
        <v>71.0</v>
      </c>
      <c r="AX21" s="14">
        <v>82.0</v>
      </c>
      <c r="AY21" s="14">
        <v>66.0</v>
      </c>
      <c r="AZ21" s="26"/>
      <c r="BA21" s="26"/>
      <c r="BB21" s="26"/>
      <c r="BC21" s="26"/>
    </row>
    <row r="22">
      <c r="A22" s="27">
        <f>HYPERLINK("https://arcprize.org/play?task=09629e4f", 11)</f>
        <v>11</v>
      </c>
      <c r="B22" s="14">
        <v>120.0</v>
      </c>
      <c r="C22" s="14">
        <v>201.0</v>
      </c>
      <c r="D22" s="14">
        <v>114.0</v>
      </c>
      <c r="E22" s="14">
        <v>189.0</v>
      </c>
      <c r="F22" s="22">
        <v>121.0</v>
      </c>
      <c r="G22" s="14">
        <v>204.0</v>
      </c>
      <c r="H22" s="14">
        <v>155.0</v>
      </c>
      <c r="I22" s="14">
        <v>155.0</v>
      </c>
      <c r="J22" s="23">
        <v>127.0</v>
      </c>
      <c r="K22" s="14">
        <v>122.0</v>
      </c>
      <c r="L22" s="14">
        <v>133.0</v>
      </c>
      <c r="M22" s="22">
        <v>133.0</v>
      </c>
      <c r="N22" s="15"/>
      <c r="O22" s="15"/>
      <c r="P22" s="15"/>
      <c r="Q22" s="14">
        <v>206.0</v>
      </c>
      <c r="R22" s="24">
        <v>158.0</v>
      </c>
      <c r="S22" s="14">
        <v>184.0</v>
      </c>
      <c r="T22" s="15"/>
      <c r="U22" s="14">
        <v>309.0</v>
      </c>
      <c r="V22" s="29"/>
      <c r="W22" s="14">
        <v>158.0</v>
      </c>
      <c r="X22" s="14">
        <v>246.0</v>
      </c>
      <c r="Y22" s="14">
        <v>212.0</v>
      </c>
      <c r="Z22" s="25">
        <v>129.0</v>
      </c>
      <c r="AA22" s="25"/>
      <c r="AB22" s="25">
        <v>241.0</v>
      </c>
      <c r="AC22" s="14">
        <v>189.0</v>
      </c>
      <c r="AD22" s="14">
        <v>177.0</v>
      </c>
      <c r="AE22" s="14">
        <v>189.0</v>
      </c>
      <c r="AF22" s="14">
        <v>167.0</v>
      </c>
      <c r="AG22" s="14">
        <v>235.0</v>
      </c>
      <c r="AH22" s="14">
        <v>158.0</v>
      </c>
      <c r="AI22" s="14">
        <v>156.0</v>
      </c>
      <c r="AJ22" s="14">
        <v>156.0</v>
      </c>
      <c r="AK22" s="14"/>
      <c r="AL22" s="14">
        <v>189.0</v>
      </c>
      <c r="AM22" s="14">
        <v>131.0</v>
      </c>
      <c r="AN22" s="14">
        <v>189.0</v>
      </c>
      <c r="AO22" s="14">
        <v>137.0</v>
      </c>
      <c r="AP22" s="14">
        <v>173.0</v>
      </c>
      <c r="AQ22" s="14">
        <v>153.0</v>
      </c>
      <c r="AR22" s="14"/>
      <c r="AS22" s="14">
        <v>166.0</v>
      </c>
      <c r="AT22" s="14">
        <v>189.0</v>
      </c>
      <c r="AU22" s="14">
        <v>140.0</v>
      </c>
      <c r="AV22" s="14">
        <v>141.0</v>
      </c>
      <c r="AW22" s="14">
        <v>141.0</v>
      </c>
      <c r="AX22" s="14">
        <v>145.0</v>
      </c>
      <c r="AY22" s="14">
        <v>113.0</v>
      </c>
      <c r="AZ22" s="26"/>
      <c r="BA22" s="26"/>
      <c r="BB22" s="26"/>
      <c r="BC22" s="26"/>
    </row>
    <row r="23">
      <c r="A23" s="27">
        <f>HYPERLINK("https://arcprize.org/play?task=0962bcdd", 12)</f>
        <v>12</v>
      </c>
      <c r="B23" s="14">
        <v>122.0</v>
      </c>
      <c r="C23" s="14">
        <v>218.0</v>
      </c>
      <c r="D23" s="14">
        <v>129.0</v>
      </c>
      <c r="E23" s="14">
        <v>217.0</v>
      </c>
      <c r="F23" s="22">
        <v>126.0</v>
      </c>
      <c r="G23" s="14">
        <v>218.0</v>
      </c>
      <c r="I23" s="14">
        <v>175.0</v>
      </c>
      <c r="J23" s="23">
        <v>132.0</v>
      </c>
      <c r="K23" s="14">
        <v>158.0</v>
      </c>
      <c r="L23" s="14">
        <v>195.0</v>
      </c>
      <c r="M23" s="22">
        <v>164.0</v>
      </c>
      <c r="N23" s="14"/>
      <c r="O23" s="14"/>
      <c r="P23" s="14"/>
      <c r="Q23" s="14">
        <v>217.0</v>
      </c>
      <c r="R23" s="24">
        <v>140.0</v>
      </c>
      <c r="S23" s="14"/>
      <c r="T23" s="14" t="s">
        <v>57</v>
      </c>
      <c r="U23" s="14">
        <v>218.0</v>
      </c>
      <c r="V23" s="29"/>
      <c r="W23" s="14">
        <v>138.0</v>
      </c>
      <c r="X23" s="14">
        <v>218.0</v>
      </c>
      <c r="Y23" s="14">
        <v>218.0</v>
      </c>
      <c r="Z23" s="25">
        <v>133.0</v>
      </c>
      <c r="AA23" s="25"/>
      <c r="AB23" s="25">
        <v>215.0</v>
      </c>
      <c r="AC23" s="14">
        <v>217.0</v>
      </c>
      <c r="AD23" s="14">
        <v>211.0</v>
      </c>
      <c r="AE23" s="14">
        <v>217.0</v>
      </c>
      <c r="AF23" s="14">
        <v>197.0</v>
      </c>
      <c r="AG23" s="14">
        <v>218.0</v>
      </c>
      <c r="AH23" s="14">
        <v>189.0</v>
      </c>
      <c r="AI23" s="14">
        <v>194.0</v>
      </c>
      <c r="AJ23" s="14">
        <v>197.0</v>
      </c>
      <c r="AK23" s="14"/>
      <c r="AL23" s="14">
        <v>200.0</v>
      </c>
      <c r="AM23" s="14">
        <v>183.0</v>
      </c>
      <c r="AN23" s="14">
        <v>217.0</v>
      </c>
      <c r="AO23" s="14">
        <v>143.0</v>
      </c>
      <c r="AP23" s="14">
        <v>199.0</v>
      </c>
      <c r="AQ23" s="14">
        <v>204.0</v>
      </c>
      <c r="AR23" s="14"/>
      <c r="AS23" s="14">
        <v>194.0</v>
      </c>
      <c r="AT23" s="14">
        <v>217.0</v>
      </c>
      <c r="AU23" s="14">
        <v>133.0</v>
      </c>
      <c r="AV23" s="14">
        <v>142.0</v>
      </c>
      <c r="AW23" s="14">
        <v>135.0</v>
      </c>
      <c r="AX23" s="14">
        <v>133.0</v>
      </c>
      <c r="AY23" s="14">
        <v>122.0</v>
      </c>
      <c r="AZ23" s="26"/>
      <c r="BA23" s="26"/>
      <c r="BB23" s="26"/>
      <c r="BC23" s="26"/>
    </row>
    <row r="24">
      <c r="A24" s="27">
        <f>HYPERLINK("https://arcprize.org/play?task=0a938d79", 13)</f>
        <v>13</v>
      </c>
      <c r="B24" s="14">
        <v>124.0</v>
      </c>
      <c r="C24" s="14">
        <v>253.0</v>
      </c>
      <c r="D24" s="14">
        <v>136.0</v>
      </c>
      <c r="E24" s="14">
        <v>246.0</v>
      </c>
      <c r="F24" s="22">
        <v>129.0</v>
      </c>
      <c r="G24" s="14">
        <v>239.0</v>
      </c>
      <c r="H24" s="14">
        <v>186.0</v>
      </c>
      <c r="I24" s="14">
        <v>169.0</v>
      </c>
      <c r="J24" s="23">
        <v>138.0</v>
      </c>
      <c r="K24" s="14">
        <v>153.0</v>
      </c>
      <c r="L24" s="14">
        <v>197.0</v>
      </c>
      <c r="M24" s="22">
        <v>145.0</v>
      </c>
      <c r="N24" s="15"/>
      <c r="O24" s="14"/>
      <c r="P24" s="15"/>
      <c r="Q24" s="14">
        <v>230.0</v>
      </c>
      <c r="R24" s="24">
        <v>163.0</v>
      </c>
      <c r="S24" s="15"/>
      <c r="T24" s="15"/>
      <c r="U24" s="14">
        <v>1009.0</v>
      </c>
      <c r="V24" s="29"/>
      <c r="W24" s="14">
        <v>161.0</v>
      </c>
      <c r="X24" s="14">
        <v>452.0</v>
      </c>
      <c r="Y24" s="14">
        <v>299.0</v>
      </c>
      <c r="Z24" s="25">
        <v>171.0</v>
      </c>
      <c r="AA24" s="25"/>
      <c r="AB24" s="25">
        <v>350.0</v>
      </c>
      <c r="AC24" s="14">
        <v>246.0</v>
      </c>
      <c r="AD24" s="14">
        <v>234.0</v>
      </c>
      <c r="AE24" s="14">
        <v>246.0</v>
      </c>
      <c r="AF24" s="14">
        <v>412.0</v>
      </c>
      <c r="AG24" s="14">
        <v>290.0</v>
      </c>
      <c r="AH24" s="14">
        <v>185.0</v>
      </c>
      <c r="AI24" s="14">
        <v>187.0</v>
      </c>
      <c r="AJ24" s="14">
        <v>199.0</v>
      </c>
      <c r="AK24" s="14"/>
      <c r="AL24" s="14">
        <v>246.0</v>
      </c>
      <c r="AM24" s="14">
        <v>205.0</v>
      </c>
      <c r="AN24" s="14">
        <v>246.0</v>
      </c>
      <c r="AO24" s="14">
        <v>136.0</v>
      </c>
      <c r="AP24" s="14">
        <v>212.0</v>
      </c>
      <c r="AQ24" s="14">
        <v>211.0</v>
      </c>
      <c r="AR24" s="14"/>
      <c r="AS24" s="14">
        <v>172.0</v>
      </c>
      <c r="AT24" s="14">
        <v>246.0</v>
      </c>
      <c r="AU24" s="14">
        <v>150.0</v>
      </c>
      <c r="AV24" s="14">
        <v>139.0</v>
      </c>
      <c r="AW24" s="14">
        <v>163.0</v>
      </c>
      <c r="AX24" s="14">
        <v>175.0</v>
      </c>
      <c r="AY24" s="14">
        <v>124.0</v>
      </c>
      <c r="AZ24" s="26"/>
      <c r="BA24" s="26"/>
      <c r="BB24" s="26"/>
      <c r="BC24" s="26"/>
    </row>
    <row r="25">
      <c r="A25" s="27">
        <f>HYPERLINK("https://arcprize.org/play?task=0b148d64", 14)</f>
        <v>14</v>
      </c>
      <c r="B25" s="14">
        <v>57.0</v>
      </c>
      <c r="C25" s="14">
        <v>129.0</v>
      </c>
      <c r="D25" s="14">
        <v>68.0</v>
      </c>
      <c r="E25" s="14">
        <v>129.0</v>
      </c>
      <c r="F25" s="22">
        <v>67.0</v>
      </c>
      <c r="G25" s="14">
        <v>245.0</v>
      </c>
      <c r="H25" s="14">
        <v>94.0</v>
      </c>
      <c r="I25" s="14">
        <v>108.0</v>
      </c>
      <c r="J25" s="23">
        <v>76.0</v>
      </c>
      <c r="K25" s="14">
        <v>99.0</v>
      </c>
      <c r="L25" s="14">
        <v>81.0</v>
      </c>
      <c r="M25" s="22">
        <v>76.0</v>
      </c>
      <c r="N25" s="14"/>
      <c r="O25" s="14"/>
      <c r="P25" s="14"/>
      <c r="Q25" s="14">
        <v>124.0</v>
      </c>
      <c r="R25" s="24">
        <v>77.0</v>
      </c>
      <c r="S25" s="14">
        <v>160.0</v>
      </c>
      <c r="T25" s="14">
        <v>213.0</v>
      </c>
      <c r="U25" s="14">
        <v>255.0</v>
      </c>
      <c r="V25" s="29">
        <v>94.0</v>
      </c>
      <c r="W25" s="14">
        <v>96.0</v>
      </c>
      <c r="X25" s="14">
        <v>253.0</v>
      </c>
      <c r="Y25" s="14">
        <v>251.0</v>
      </c>
      <c r="Z25" s="25">
        <v>74.0</v>
      </c>
      <c r="AA25" s="25"/>
      <c r="AB25" s="25">
        <v>200.0</v>
      </c>
      <c r="AC25" s="14">
        <v>135.0</v>
      </c>
      <c r="AD25" s="14">
        <v>123.0</v>
      </c>
      <c r="AE25" s="14">
        <v>85.0</v>
      </c>
      <c r="AF25" s="14">
        <v>190.0</v>
      </c>
      <c r="AG25" s="14">
        <v>261.0</v>
      </c>
      <c r="AH25" s="14">
        <v>117.0</v>
      </c>
      <c r="AI25" s="14">
        <v>105.0</v>
      </c>
      <c r="AJ25" s="14">
        <v>183.0</v>
      </c>
      <c r="AK25" s="14"/>
      <c r="AL25" s="14">
        <v>129.0</v>
      </c>
      <c r="AM25" s="14">
        <v>95.0</v>
      </c>
      <c r="AN25" s="14">
        <v>129.0</v>
      </c>
      <c r="AO25" s="14">
        <v>92.0</v>
      </c>
      <c r="AP25" s="14">
        <v>118.0</v>
      </c>
      <c r="AQ25" s="14">
        <v>81.0</v>
      </c>
      <c r="AR25" s="14"/>
      <c r="AS25" s="14">
        <v>81.0</v>
      </c>
      <c r="AT25" s="14">
        <v>129.0</v>
      </c>
      <c r="AU25" s="14">
        <v>76.0</v>
      </c>
      <c r="AV25" s="14">
        <v>81.0</v>
      </c>
      <c r="AW25" s="14">
        <v>74.0</v>
      </c>
      <c r="AX25" s="14">
        <v>74.0</v>
      </c>
      <c r="AY25" s="14">
        <v>57.0</v>
      </c>
      <c r="AZ25" s="26"/>
      <c r="BA25" s="26"/>
      <c r="BB25" s="26"/>
      <c r="BC25" s="26"/>
    </row>
    <row r="26">
      <c r="A26" s="27">
        <f>HYPERLINK("https://arcprize.org/play?task=0ca9ddb6", 15)</f>
        <v>15</v>
      </c>
      <c r="B26" s="14">
        <v>92.0</v>
      </c>
      <c r="C26" s="14">
        <v>190.0</v>
      </c>
      <c r="D26" s="14">
        <v>92.0</v>
      </c>
      <c r="E26" s="14">
        <v>142.0</v>
      </c>
      <c r="F26" s="22">
        <v>87.0</v>
      </c>
      <c r="G26" s="14">
        <v>190.0</v>
      </c>
      <c r="H26" s="14">
        <v>135.0</v>
      </c>
      <c r="I26" s="14">
        <v>117.0</v>
      </c>
      <c r="J26" s="23">
        <v>104.0</v>
      </c>
      <c r="K26" s="14">
        <v>115.0</v>
      </c>
      <c r="L26" s="14">
        <v>125.0</v>
      </c>
      <c r="M26" s="22">
        <v>97.0</v>
      </c>
      <c r="N26" s="14"/>
      <c r="O26" s="14"/>
      <c r="P26" s="14"/>
      <c r="Q26" s="14">
        <v>145.0</v>
      </c>
      <c r="R26" s="24">
        <v>116.0</v>
      </c>
      <c r="S26" s="14"/>
      <c r="T26" s="14"/>
      <c r="U26" s="14">
        <v>234.0</v>
      </c>
      <c r="V26" s="29"/>
      <c r="W26" s="14">
        <v>117.0</v>
      </c>
      <c r="X26" s="14">
        <v>218.0</v>
      </c>
      <c r="Y26" s="14">
        <v>219.0</v>
      </c>
      <c r="Z26" s="25">
        <v>114.0</v>
      </c>
      <c r="AA26" s="25"/>
      <c r="AB26" s="25">
        <v>209.0</v>
      </c>
      <c r="AC26" s="14">
        <v>190.0</v>
      </c>
      <c r="AD26" s="14">
        <v>190.0</v>
      </c>
      <c r="AE26" s="14">
        <v>188.0</v>
      </c>
      <c r="AF26" s="14">
        <v>159.0</v>
      </c>
      <c r="AG26" s="14">
        <v>183.0</v>
      </c>
      <c r="AH26" s="14">
        <v>127.0</v>
      </c>
      <c r="AI26" s="14">
        <v>132.0</v>
      </c>
      <c r="AJ26" s="14">
        <v>190.0</v>
      </c>
      <c r="AK26" s="14"/>
      <c r="AL26" s="14">
        <v>190.0</v>
      </c>
      <c r="AM26" s="14">
        <v>126.0</v>
      </c>
      <c r="AN26" s="14">
        <v>190.0</v>
      </c>
      <c r="AO26" s="14">
        <v>112.0</v>
      </c>
      <c r="AP26" s="14">
        <v>138.0</v>
      </c>
      <c r="AQ26" s="14">
        <v>132.0</v>
      </c>
      <c r="AR26" s="14"/>
      <c r="AS26" s="14">
        <v>109.0</v>
      </c>
      <c r="AT26" s="14">
        <v>190.0</v>
      </c>
      <c r="AU26" s="14">
        <v>116.0</v>
      </c>
      <c r="AV26" s="14">
        <v>105.0</v>
      </c>
      <c r="AW26" s="14">
        <v>119.0</v>
      </c>
      <c r="AX26" s="14">
        <v>114.0</v>
      </c>
      <c r="AY26" s="14">
        <v>87.0</v>
      </c>
      <c r="AZ26" s="26"/>
      <c r="BA26" s="26"/>
      <c r="BB26" s="26"/>
      <c r="BC26" s="26"/>
    </row>
    <row r="27">
      <c r="A27" s="27">
        <f>HYPERLINK("https://arcprize.org/play?task=0d3d703e", 16)</f>
        <v>16</v>
      </c>
      <c r="B27" s="14">
        <v>43.0</v>
      </c>
      <c r="C27" s="14">
        <v>48.0</v>
      </c>
      <c r="D27" s="14">
        <v>43.0</v>
      </c>
      <c r="E27" s="14">
        <v>55.0</v>
      </c>
      <c r="F27" s="22">
        <v>43.0</v>
      </c>
      <c r="G27" s="14">
        <v>49.0</v>
      </c>
      <c r="H27" s="14">
        <v>46.0</v>
      </c>
      <c r="I27" s="14">
        <v>49.0</v>
      </c>
      <c r="J27" s="23">
        <v>43.0</v>
      </c>
      <c r="K27" s="14">
        <v>44.0</v>
      </c>
      <c r="L27" s="14">
        <v>46.0</v>
      </c>
      <c r="M27" s="22">
        <v>46.0</v>
      </c>
      <c r="N27" s="14">
        <v>56.0</v>
      </c>
      <c r="O27" s="14">
        <v>47.0</v>
      </c>
      <c r="P27" s="14"/>
      <c r="Q27" s="14">
        <v>59.0</v>
      </c>
      <c r="R27" s="24">
        <v>49.0</v>
      </c>
      <c r="S27" s="14">
        <v>52.0</v>
      </c>
      <c r="T27" s="14">
        <v>59.0</v>
      </c>
      <c r="U27" s="14">
        <v>63.0</v>
      </c>
      <c r="V27" s="29">
        <v>50.0</v>
      </c>
      <c r="W27" s="14">
        <v>52.0</v>
      </c>
      <c r="X27" s="14">
        <v>63.0</v>
      </c>
      <c r="Y27" s="14">
        <v>63.0</v>
      </c>
      <c r="Z27" s="25">
        <v>46.0</v>
      </c>
      <c r="AA27" s="25"/>
      <c r="AB27" s="25">
        <v>55.0</v>
      </c>
      <c r="AC27" s="14">
        <v>55.0</v>
      </c>
      <c r="AD27" s="14">
        <v>52.0</v>
      </c>
      <c r="AE27" s="14">
        <v>50.0</v>
      </c>
      <c r="AF27" s="14">
        <v>54.0</v>
      </c>
      <c r="AG27" s="14">
        <v>63.0</v>
      </c>
      <c r="AH27" s="14">
        <v>49.0</v>
      </c>
      <c r="AI27" s="14">
        <v>55.0</v>
      </c>
      <c r="AJ27" s="14">
        <v>55.0</v>
      </c>
      <c r="AK27" s="14">
        <v>43.0</v>
      </c>
      <c r="AL27" s="14">
        <v>55.0</v>
      </c>
      <c r="AM27" s="14">
        <v>49.0</v>
      </c>
      <c r="AN27" s="14">
        <v>55.0</v>
      </c>
      <c r="AO27" s="14">
        <v>46.0</v>
      </c>
      <c r="AP27" s="14">
        <v>50.0</v>
      </c>
      <c r="AQ27" s="14">
        <v>49.0</v>
      </c>
      <c r="AR27" s="14"/>
      <c r="AS27" s="14">
        <v>50.0</v>
      </c>
      <c r="AT27" s="14">
        <v>55.0</v>
      </c>
      <c r="AU27" s="14">
        <v>46.0</v>
      </c>
      <c r="AV27" s="14">
        <v>46.0</v>
      </c>
      <c r="AW27" s="14">
        <v>46.0</v>
      </c>
      <c r="AX27" s="14">
        <v>44.0</v>
      </c>
      <c r="AY27" s="14">
        <v>43.0</v>
      </c>
      <c r="AZ27" s="26"/>
      <c r="BA27" s="26"/>
      <c r="BB27" s="26"/>
      <c r="BC27" s="26"/>
    </row>
    <row r="28">
      <c r="A28" s="27">
        <f>HYPERLINK("https://arcprize.org/play?task=0dfd9992", 17)</f>
        <v>17</v>
      </c>
      <c r="B28" s="14">
        <v>90.0</v>
      </c>
      <c r="C28" s="14">
        <v>228.0</v>
      </c>
      <c r="D28" s="14">
        <v>102.0</v>
      </c>
      <c r="E28" s="14">
        <v>256.0</v>
      </c>
      <c r="F28" s="22">
        <v>99.0</v>
      </c>
      <c r="G28" s="14">
        <v>187.0</v>
      </c>
      <c r="H28" s="14">
        <v>165.0</v>
      </c>
      <c r="I28" s="14">
        <v>149.0</v>
      </c>
      <c r="J28" s="23">
        <v>114.0</v>
      </c>
      <c r="K28" s="14">
        <v>126.0</v>
      </c>
      <c r="L28" s="14">
        <v>198.0</v>
      </c>
      <c r="M28" s="22">
        <v>147.0</v>
      </c>
      <c r="N28" s="14"/>
      <c r="O28" s="14"/>
      <c r="P28" s="14"/>
      <c r="Q28" s="14">
        <v>291.0</v>
      </c>
      <c r="R28" s="24">
        <v>137.0</v>
      </c>
      <c r="S28" s="14"/>
      <c r="T28" s="14"/>
      <c r="U28" s="14">
        <v>364.0</v>
      </c>
      <c r="V28" s="29"/>
      <c r="W28" s="14">
        <v>164.0</v>
      </c>
      <c r="X28" s="14">
        <v>291.0</v>
      </c>
      <c r="Y28" s="14">
        <v>297.0</v>
      </c>
      <c r="Z28" s="25">
        <v>133.0</v>
      </c>
      <c r="AA28" s="25"/>
      <c r="AB28" s="25">
        <v>183.0</v>
      </c>
      <c r="AC28" s="14">
        <v>256.0</v>
      </c>
      <c r="AD28" s="14"/>
      <c r="AE28" s="14">
        <v>256.0</v>
      </c>
      <c r="AF28" s="14">
        <v>253.0</v>
      </c>
      <c r="AG28" s="14">
        <v>216.0</v>
      </c>
      <c r="AH28" s="14">
        <v>155.0</v>
      </c>
      <c r="AI28" s="14">
        <v>158.0</v>
      </c>
      <c r="AJ28" s="14">
        <v>173.0</v>
      </c>
      <c r="AK28" s="14"/>
      <c r="AL28" s="14">
        <v>251.0</v>
      </c>
      <c r="AM28" s="14">
        <v>136.0</v>
      </c>
      <c r="AN28" s="14">
        <v>256.0</v>
      </c>
      <c r="AO28" s="14">
        <v>107.0</v>
      </c>
      <c r="AP28" s="14">
        <v>195.0</v>
      </c>
      <c r="AQ28" s="14">
        <v>168.0</v>
      </c>
      <c r="AR28" s="14"/>
      <c r="AS28" s="14">
        <v>156.0</v>
      </c>
      <c r="AT28" s="14">
        <v>255.0</v>
      </c>
      <c r="AU28" s="14">
        <v>109.0</v>
      </c>
      <c r="AV28" s="14">
        <v>118.0</v>
      </c>
      <c r="AW28" s="14">
        <v>144.0</v>
      </c>
      <c r="AX28" s="14">
        <v>108.0</v>
      </c>
      <c r="AY28" s="14">
        <v>89.0</v>
      </c>
      <c r="AZ28" s="26"/>
      <c r="BA28" s="26"/>
      <c r="BB28" s="26"/>
      <c r="BC28" s="26"/>
    </row>
    <row r="29">
      <c r="A29" s="27">
        <f>HYPERLINK("https://arcprize.org/play?task=0e206a2e", 18)</f>
        <v>18</v>
      </c>
      <c r="B29" s="14">
        <v>301.0</v>
      </c>
      <c r="C29" s="14">
        <v>539.0</v>
      </c>
      <c r="D29" s="14">
        <v>275.0</v>
      </c>
      <c r="E29" s="14">
        <v>483.0</v>
      </c>
      <c r="F29" s="22">
        <v>286.0</v>
      </c>
      <c r="G29" s="14">
        <v>531.0</v>
      </c>
      <c r="H29" s="14"/>
      <c r="I29" s="14">
        <v>519.0</v>
      </c>
      <c r="J29" s="23">
        <v>338.0</v>
      </c>
      <c r="K29" s="14">
        <v>322.0</v>
      </c>
      <c r="L29" s="14">
        <v>385.0</v>
      </c>
      <c r="M29" s="22">
        <v>389.0</v>
      </c>
      <c r="N29" s="14"/>
      <c r="O29" s="14"/>
      <c r="P29" s="14"/>
      <c r="Q29" s="14">
        <v>622.0</v>
      </c>
      <c r="R29" s="24">
        <v>354.0</v>
      </c>
      <c r="S29" s="14"/>
      <c r="T29" s="14"/>
      <c r="U29" s="14"/>
      <c r="V29" s="29"/>
      <c r="W29" s="14"/>
      <c r="X29" s="14"/>
      <c r="Y29" s="14">
        <v>686.0</v>
      </c>
      <c r="Z29" s="25">
        <v>361.0</v>
      </c>
      <c r="AA29" s="25"/>
      <c r="AB29" s="25">
        <v>593.0</v>
      </c>
      <c r="AC29" s="14">
        <v>488.0</v>
      </c>
      <c r="AD29" s="14"/>
      <c r="AE29" s="14">
        <v>491.0</v>
      </c>
      <c r="AF29" s="14">
        <v>799.0</v>
      </c>
      <c r="AG29" s="14">
        <v>1288.0</v>
      </c>
      <c r="AH29" s="14">
        <v>455.0</v>
      </c>
      <c r="AI29" s="14">
        <v>339.0</v>
      </c>
      <c r="AJ29" s="14">
        <v>392.0</v>
      </c>
      <c r="AK29" s="14"/>
      <c r="AL29" s="14">
        <v>488.0</v>
      </c>
      <c r="AM29" s="14">
        <v>384.0</v>
      </c>
      <c r="AN29" s="14">
        <v>483.0</v>
      </c>
      <c r="AO29" s="14">
        <v>346.0</v>
      </c>
      <c r="AP29" s="14">
        <v>435.0</v>
      </c>
      <c r="AQ29" s="14">
        <v>426.0</v>
      </c>
      <c r="AR29" s="14"/>
      <c r="AS29" s="14">
        <v>342.0</v>
      </c>
      <c r="AT29" s="14">
        <v>483.0</v>
      </c>
      <c r="AU29" s="14">
        <v>311.0</v>
      </c>
      <c r="AV29" s="14">
        <v>299.0</v>
      </c>
      <c r="AW29" s="14">
        <v>332.0</v>
      </c>
      <c r="AX29" s="14">
        <v>392.0</v>
      </c>
      <c r="AY29" s="14">
        <v>268.0</v>
      </c>
      <c r="AZ29" s="26"/>
      <c r="BA29" s="26"/>
      <c r="BB29" s="26"/>
      <c r="BC29" s="26"/>
    </row>
    <row r="30">
      <c r="A30" s="27">
        <f>HYPERLINK("https://arcprize.org/play?task=10fcaaa3", 19)</f>
        <v>19</v>
      </c>
      <c r="B30" s="14">
        <v>103.0</v>
      </c>
      <c r="C30" s="14">
        <v>250.0</v>
      </c>
      <c r="D30" s="14">
        <v>104.0</v>
      </c>
      <c r="E30" s="14">
        <v>229.0</v>
      </c>
      <c r="F30" s="22">
        <v>105.0</v>
      </c>
      <c r="G30" s="14">
        <v>179.0</v>
      </c>
      <c r="H30" s="14">
        <v>141.0</v>
      </c>
      <c r="I30" s="14">
        <v>130.0</v>
      </c>
      <c r="J30" s="23">
        <v>121.0</v>
      </c>
      <c r="K30" s="14">
        <v>139.0</v>
      </c>
      <c r="L30" s="14">
        <v>141.0</v>
      </c>
      <c r="M30" s="22">
        <v>116.0</v>
      </c>
      <c r="N30" s="14"/>
      <c r="O30" s="14"/>
      <c r="P30" s="14"/>
      <c r="Q30" s="14">
        <v>250.0</v>
      </c>
      <c r="R30" s="24">
        <v>140.0</v>
      </c>
      <c r="S30" s="14">
        <v>168.0</v>
      </c>
      <c r="T30" s="14"/>
      <c r="U30" s="14">
        <v>279.0</v>
      </c>
      <c r="V30" s="29"/>
      <c r="W30" s="14">
        <v>141.0</v>
      </c>
      <c r="X30" s="14">
        <v>247.0</v>
      </c>
      <c r="Y30" s="14">
        <v>248.0</v>
      </c>
      <c r="Z30" s="25">
        <v>121.0</v>
      </c>
      <c r="AA30" s="25"/>
      <c r="AB30" s="25">
        <v>203.0</v>
      </c>
      <c r="AC30" s="14">
        <v>229.0</v>
      </c>
      <c r="AD30" s="14"/>
      <c r="AE30" s="14">
        <v>229.0</v>
      </c>
      <c r="AF30" s="14">
        <v>247.0</v>
      </c>
      <c r="AG30" s="14">
        <v>250.0</v>
      </c>
      <c r="AH30" s="14">
        <v>171.0</v>
      </c>
      <c r="AI30" s="14">
        <v>175.0</v>
      </c>
      <c r="AJ30" s="14">
        <v>175.0</v>
      </c>
      <c r="AK30" s="14"/>
      <c r="AL30" s="14">
        <v>229.0</v>
      </c>
      <c r="AM30" s="14">
        <v>168.0</v>
      </c>
      <c r="AN30" s="14">
        <v>229.0</v>
      </c>
      <c r="AO30" s="14">
        <v>121.0</v>
      </c>
      <c r="AP30" s="14">
        <v>177.0</v>
      </c>
      <c r="AQ30" s="14">
        <v>174.0</v>
      </c>
      <c r="AR30" s="14"/>
      <c r="AS30" s="14">
        <v>140.0</v>
      </c>
      <c r="AT30" s="14">
        <v>225.0</v>
      </c>
      <c r="AU30" s="14">
        <v>119.0</v>
      </c>
      <c r="AV30" s="14">
        <v>121.0</v>
      </c>
      <c r="AW30" s="14">
        <v>134.0</v>
      </c>
      <c r="AX30" s="14">
        <v>128.0</v>
      </c>
      <c r="AY30" s="14">
        <v>103.0</v>
      </c>
      <c r="AZ30" s="26"/>
      <c r="BA30" s="26"/>
      <c r="BB30" s="26"/>
      <c r="BC30" s="26"/>
    </row>
    <row r="31">
      <c r="A31" s="27">
        <f>HYPERLINK("https://arcprize.org/play?task=11852cab", 20)</f>
        <v>20</v>
      </c>
      <c r="B31" s="14">
        <v>138.0</v>
      </c>
      <c r="C31" s="14">
        <v>310.0</v>
      </c>
      <c r="D31" s="14">
        <v>139.0</v>
      </c>
      <c r="E31" s="14">
        <v>265.0</v>
      </c>
      <c r="F31" s="22">
        <v>135.0</v>
      </c>
      <c r="G31" s="14">
        <v>289.0</v>
      </c>
      <c r="H31" s="15"/>
      <c r="I31" s="14">
        <v>226.0</v>
      </c>
      <c r="J31" s="23">
        <v>156.0</v>
      </c>
      <c r="K31" s="14">
        <v>156.0</v>
      </c>
      <c r="L31" s="14">
        <v>215.0</v>
      </c>
      <c r="M31" s="22">
        <v>177.0</v>
      </c>
      <c r="N31" s="14"/>
      <c r="O31" s="14"/>
      <c r="P31" s="14"/>
      <c r="Q31" s="14">
        <v>299.0</v>
      </c>
      <c r="R31" s="24">
        <v>168.0</v>
      </c>
      <c r="S31" s="14"/>
      <c r="T31" s="14"/>
      <c r="U31" s="14">
        <v>357.0</v>
      </c>
      <c r="V31" s="29"/>
      <c r="W31" s="14">
        <v>227.0</v>
      </c>
      <c r="X31" s="14">
        <v>297.0</v>
      </c>
      <c r="Y31" s="14">
        <v>310.0</v>
      </c>
      <c r="Z31" s="25">
        <v>195.0</v>
      </c>
      <c r="AA31" s="25"/>
      <c r="AB31" s="25">
        <v>297.0</v>
      </c>
      <c r="AC31" s="14">
        <v>265.0</v>
      </c>
      <c r="AD31" s="14"/>
      <c r="AE31" s="14">
        <v>265.0</v>
      </c>
      <c r="AF31" s="14">
        <v>297.0</v>
      </c>
      <c r="AG31" s="14">
        <v>239.0</v>
      </c>
      <c r="AH31" s="14">
        <v>196.0</v>
      </c>
      <c r="AI31" s="14">
        <v>201.0</v>
      </c>
      <c r="AJ31" s="14">
        <v>205.0</v>
      </c>
      <c r="AK31" s="14"/>
      <c r="AL31" s="14">
        <v>265.0</v>
      </c>
      <c r="AM31" s="14">
        <v>218.0</v>
      </c>
      <c r="AN31" s="14">
        <v>265.0</v>
      </c>
      <c r="AO31" s="14">
        <v>126.0</v>
      </c>
      <c r="AP31" s="14">
        <v>226.0</v>
      </c>
      <c r="AQ31" s="14">
        <v>199.0</v>
      </c>
      <c r="AR31" s="14"/>
      <c r="AS31" s="14">
        <v>184.0</v>
      </c>
      <c r="AT31" s="14">
        <v>265.0</v>
      </c>
      <c r="AU31" s="14">
        <v>152.0</v>
      </c>
      <c r="AV31" s="14">
        <v>138.0</v>
      </c>
      <c r="AW31" s="14">
        <v>133.0</v>
      </c>
      <c r="AX31" s="14">
        <v>157.0</v>
      </c>
      <c r="AY31" s="14">
        <v>121.0</v>
      </c>
      <c r="AZ31" s="26"/>
      <c r="BA31" s="26"/>
      <c r="BB31" s="26"/>
      <c r="BC31" s="26"/>
    </row>
    <row r="32">
      <c r="A32" s="27">
        <f>HYPERLINK("https://arcprize.org/play?task=1190e5a7", 21)</f>
        <v>21</v>
      </c>
      <c r="B32" s="14">
        <v>52.0</v>
      </c>
      <c r="C32" s="14">
        <v>77.0</v>
      </c>
      <c r="D32" s="14">
        <v>51.0</v>
      </c>
      <c r="E32" s="14">
        <v>79.0</v>
      </c>
      <c r="F32" s="22">
        <v>52.0</v>
      </c>
      <c r="G32" s="14">
        <v>79.0</v>
      </c>
      <c r="H32" s="14">
        <v>74.0</v>
      </c>
      <c r="I32" s="14">
        <v>76.0</v>
      </c>
      <c r="J32" s="23">
        <v>58.0</v>
      </c>
      <c r="K32" s="14">
        <v>67.0</v>
      </c>
      <c r="L32" s="14">
        <v>76.0</v>
      </c>
      <c r="M32" s="22">
        <v>55.0</v>
      </c>
      <c r="N32" s="15"/>
      <c r="O32" s="15"/>
      <c r="P32" s="15"/>
      <c r="Q32" s="14">
        <v>80.0</v>
      </c>
      <c r="R32" s="24">
        <v>71.0</v>
      </c>
      <c r="S32" s="14">
        <v>83.0</v>
      </c>
      <c r="T32" s="14">
        <v>81.0</v>
      </c>
      <c r="U32" s="14">
        <v>248.0</v>
      </c>
      <c r="V32" s="29">
        <v>77.0</v>
      </c>
      <c r="W32" s="14">
        <v>71.0</v>
      </c>
      <c r="X32" s="14">
        <v>220.0</v>
      </c>
      <c r="Y32" s="14">
        <v>219.0</v>
      </c>
      <c r="Z32" s="25">
        <v>67.0</v>
      </c>
      <c r="AA32" s="25"/>
      <c r="AB32" s="25">
        <v>79.0</v>
      </c>
      <c r="AC32" s="14">
        <v>79.0</v>
      </c>
      <c r="AD32" s="14">
        <v>76.0</v>
      </c>
      <c r="AE32" s="14">
        <v>79.0</v>
      </c>
      <c r="AF32" s="14">
        <v>220.0</v>
      </c>
      <c r="AG32" s="14">
        <v>79.0</v>
      </c>
      <c r="AH32" s="14">
        <v>77.0</v>
      </c>
      <c r="AI32" s="14">
        <v>76.0</v>
      </c>
      <c r="AJ32" s="14">
        <v>79.0</v>
      </c>
      <c r="AK32" s="14">
        <v>62.0</v>
      </c>
      <c r="AL32" s="14">
        <v>79.0</v>
      </c>
      <c r="AM32" s="14">
        <v>67.0</v>
      </c>
      <c r="AN32" s="14">
        <v>79.0</v>
      </c>
      <c r="AO32" s="14">
        <v>51.0</v>
      </c>
      <c r="AP32" s="14">
        <v>79.0</v>
      </c>
      <c r="AQ32" s="14">
        <v>79.0</v>
      </c>
      <c r="AR32" s="14"/>
      <c r="AS32" s="14">
        <v>75.0</v>
      </c>
      <c r="AT32" s="14">
        <v>79.0</v>
      </c>
      <c r="AU32" s="14">
        <v>52.0</v>
      </c>
      <c r="AV32" s="14">
        <v>54.0</v>
      </c>
      <c r="AW32" s="14">
        <v>54.0</v>
      </c>
      <c r="AX32" s="14">
        <v>71.0</v>
      </c>
      <c r="AY32" s="14">
        <v>51.0</v>
      </c>
      <c r="AZ32" s="26"/>
      <c r="BA32" s="26"/>
      <c r="BB32" s="26"/>
      <c r="BC32" s="26"/>
    </row>
    <row r="33">
      <c r="A33" s="27">
        <f>HYPERLINK("https://arcprize.org/play?task=137eaa0f", 22)</f>
        <v>22</v>
      </c>
      <c r="B33" s="14">
        <v>91.0</v>
      </c>
      <c r="C33" s="14">
        <v>212.0</v>
      </c>
      <c r="D33" s="14">
        <v>95.0</v>
      </c>
      <c r="E33" s="14">
        <v>206.0</v>
      </c>
      <c r="F33" s="22">
        <v>92.0</v>
      </c>
      <c r="G33" s="14">
        <v>225.0</v>
      </c>
      <c r="H33" s="15"/>
      <c r="I33" s="14">
        <v>108.0</v>
      </c>
      <c r="J33" s="23">
        <v>106.0</v>
      </c>
      <c r="K33" s="14">
        <v>103.0</v>
      </c>
      <c r="L33" s="14">
        <v>104.0</v>
      </c>
      <c r="M33" s="22">
        <v>104.0</v>
      </c>
      <c r="N33" s="15"/>
      <c r="O33" s="15"/>
      <c r="P33" s="15"/>
      <c r="Q33" s="14">
        <v>136.0</v>
      </c>
      <c r="R33" s="24">
        <v>103.0</v>
      </c>
      <c r="S33" s="14">
        <v>107.0</v>
      </c>
      <c r="T33" s="15"/>
      <c r="U33" s="14">
        <v>224.0</v>
      </c>
      <c r="V33" s="29">
        <v>106.0</v>
      </c>
      <c r="W33" s="14">
        <v>102.0</v>
      </c>
      <c r="X33" s="14">
        <v>225.0</v>
      </c>
      <c r="Y33" s="14">
        <v>217.0</v>
      </c>
      <c r="Z33" s="25">
        <v>106.0</v>
      </c>
      <c r="AA33" s="25"/>
      <c r="AB33" s="25">
        <v>225.0</v>
      </c>
      <c r="AC33" s="14">
        <v>206.0</v>
      </c>
      <c r="AD33" s="14"/>
      <c r="AE33" s="14">
        <v>206.0</v>
      </c>
      <c r="AF33" s="14">
        <v>225.0</v>
      </c>
      <c r="AG33" s="14">
        <v>164.0</v>
      </c>
      <c r="AH33" s="14">
        <v>108.0</v>
      </c>
      <c r="AI33" s="14">
        <v>108.0</v>
      </c>
      <c r="AJ33" s="14">
        <v>108.0</v>
      </c>
      <c r="AK33" s="14"/>
      <c r="AL33" s="14">
        <v>206.0</v>
      </c>
      <c r="AM33" s="14">
        <v>109.0</v>
      </c>
      <c r="AN33" s="14">
        <v>206.0</v>
      </c>
      <c r="AO33" s="14">
        <v>101.0</v>
      </c>
      <c r="AP33" s="14">
        <v>105.0</v>
      </c>
      <c r="AQ33" s="14">
        <v>109.0</v>
      </c>
      <c r="AR33" s="14"/>
      <c r="AS33" s="14">
        <v>108.0</v>
      </c>
      <c r="AT33" s="14">
        <v>206.0</v>
      </c>
      <c r="AU33" s="14">
        <v>106.0</v>
      </c>
      <c r="AV33" s="14">
        <v>97.0</v>
      </c>
      <c r="AW33" s="14">
        <v>99.0</v>
      </c>
      <c r="AX33" s="14">
        <v>103.0</v>
      </c>
      <c r="AY33" s="14">
        <v>91.0</v>
      </c>
      <c r="AZ33" s="26"/>
      <c r="BA33" s="26"/>
      <c r="BB33" s="26"/>
      <c r="BC33" s="26"/>
    </row>
    <row r="34">
      <c r="A34" s="27">
        <f>HYPERLINK("https://arcprize.org/play?task=150deff5", 23)</f>
        <v>23</v>
      </c>
      <c r="B34" s="14">
        <v>195.0</v>
      </c>
      <c r="C34" s="14">
        <v>326.0</v>
      </c>
      <c r="D34" s="14">
        <v>182.0</v>
      </c>
      <c r="E34" s="14">
        <v>295.0</v>
      </c>
      <c r="F34" s="22">
        <v>197.0</v>
      </c>
      <c r="G34" s="14">
        <v>314.0</v>
      </c>
      <c r="H34" s="15"/>
      <c r="I34" s="14">
        <v>285.0</v>
      </c>
      <c r="J34" s="23">
        <v>225.0</v>
      </c>
      <c r="K34" s="14">
        <v>222.0</v>
      </c>
      <c r="L34" s="14">
        <v>295.0</v>
      </c>
      <c r="M34" s="22">
        <v>220.0</v>
      </c>
      <c r="N34" s="15"/>
      <c r="O34" s="15"/>
      <c r="P34" s="15"/>
      <c r="Q34" s="15"/>
      <c r="R34" s="24">
        <v>254.0</v>
      </c>
      <c r="S34" s="15"/>
      <c r="T34" s="15"/>
      <c r="U34" s="15"/>
      <c r="V34" s="29"/>
      <c r="W34" s="15"/>
      <c r="X34" s="14"/>
      <c r="Y34" s="14">
        <v>320.0</v>
      </c>
      <c r="Z34" s="25">
        <v>229.0</v>
      </c>
      <c r="AA34" s="25"/>
      <c r="AB34" s="25">
        <v>341.0</v>
      </c>
      <c r="AC34" s="14">
        <v>295.0</v>
      </c>
      <c r="AD34" s="14"/>
      <c r="AE34" s="14">
        <v>295.0</v>
      </c>
      <c r="AF34" s="14">
        <v>383.0</v>
      </c>
      <c r="AG34" s="14">
        <v>565.0</v>
      </c>
      <c r="AH34" s="14">
        <v>234.0</v>
      </c>
      <c r="AI34" s="14">
        <v>295.0</v>
      </c>
      <c r="AJ34" s="14">
        <v>309.0</v>
      </c>
      <c r="AK34" s="14">
        <v>204.0</v>
      </c>
      <c r="AL34" s="14">
        <v>295.0</v>
      </c>
      <c r="AM34" s="14">
        <v>265.0</v>
      </c>
      <c r="AN34" s="14">
        <v>295.0</v>
      </c>
      <c r="AO34" s="14">
        <v>191.0</v>
      </c>
      <c r="AP34" s="14">
        <v>244.0</v>
      </c>
      <c r="AQ34" s="14">
        <v>261.0</v>
      </c>
      <c r="AR34" s="14"/>
      <c r="AS34" s="14">
        <v>242.0</v>
      </c>
      <c r="AT34" s="14">
        <v>294.0</v>
      </c>
      <c r="AU34" s="14">
        <v>250.0</v>
      </c>
      <c r="AV34" s="14">
        <v>206.0</v>
      </c>
      <c r="AW34" s="14">
        <v>208.0</v>
      </c>
      <c r="AX34" s="14">
        <v>244.0</v>
      </c>
      <c r="AY34" s="14">
        <v>181.0</v>
      </c>
      <c r="AZ34" s="26"/>
      <c r="BA34" s="26"/>
      <c r="BB34" s="26"/>
      <c r="BC34" s="26"/>
    </row>
    <row r="35">
      <c r="A35" s="27">
        <f>HYPERLINK("https://arcprize.org/play?task=178fcbfb", 24)</f>
        <v>24</v>
      </c>
      <c r="B35" s="14">
        <v>62.0</v>
      </c>
      <c r="C35" s="14">
        <v>144.0</v>
      </c>
      <c r="D35" s="14">
        <v>62.0</v>
      </c>
      <c r="E35" s="14">
        <v>144.0</v>
      </c>
      <c r="F35" s="22">
        <v>62.0</v>
      </c>
      <c r="G35" s="14">
        <v>145.0</v>
      </c>
      <c r="H35" s="14">
        <v>68.0</v>
      </c>
      <c r="I35" s="14">
        <v>90.0</v>
      </c>
      <c r="J35" s="23">
        <v>62.0</v>
      </c>
      <c r="K35" s="14">
        <v>66.0</v>
      </c>
      <c r="L35" s="14">
        <v>67.0</v>
      </c>
      <c r="M35" s="22">
        <v>62.0</v>
      </c>
      <c r="N35" s="15"/>
      <c r="O35" s="15"/>
      <c r="P35" s="15"/>
      <c r="Q35" s="14">
        <v>70.0</v>
      </c>
      <c r="R35" s="24">
        <v>69.0</v>
      </c>
      <c r="S35" s="14">
        <v>111.0</v>
      </c>
      <c r="T35" s="14">
        <v>162.0</v>
      </c>
      <c r="U35" s="14">
        <v>151.0</v>
      </c>
      <c r="V35" s="29">
        <v>67.0</v>
      </c>
      <c r="W35" s="14">
        <v>62.0</v>
      </c>
      <c r="X35" s="14">
        <v>156.0</v>
      </c>
      <c r="Y35" s="14">
        <v>156.0</v>
      </c>
      <c r="Z35" s="25">
        <v>65.0</v>
      </c>
      <c r="AA35" s="25"/>
      <c r="AB35" s="25">
        <v>156.0</v>
      </c>
      <c r="AC35" s="14">
        <v>144.0</v>
      </c>
      <c r="AD35" s="14">
        <v>69.0</v>
      </c>
      <c r="AE35" s="14">
        <v>144.0</v>
      </c>
      <c r="AF35" s="14">
        <v>156.0</v>
      </c>
      <c r="AG35" s="14">
        <v>147.0</v>
      </c>
      <c r="AH35" s="14">
        <v>63.0</v>
      </c>
      <c r="AI35" s="14">
        <v>70.0</v>
      </c>
      <c r="AJ35" s="14">
        <v>94.0</v>
      </c>
      <c r="AK35" s="14"/>
      <c r="AL35" s="14">
        <v>120.0</v>
      </c>
      <c r="AM35" s="14">
        <v>68.0</v>
      </c>
      <c r="AN35" s="14">
        <v>144.0</v>
      </c>
      <c r="AO35" s="14">
        <v>62.0</v>
      </c>
      <c r="AP35" s="14">
        <v>68.0</v>
      </c>
      <c r="AQ35" s="14">
        <v>71.0</v>
      </c>
      <c r="AR35" s="14"/>
      <c r="AS35" s="14">
        <v>65.0</v>
      </c>
      <c r="AT35" s="14">
        <v>144.0</v>
      </c>
      <c r="AU35" s="14">
        <v>62.0</v>
      </c>
      <c r="AV35" s="14">
        <v>62.0</v>
      </c>
      <c r="AW35" s="14">
        <v>62.0</v>
      </c>
      <c r="AX35" s="14">
        <v>65.0</v>
      </c>
      <c r="AY35" s="14">
        <v>62.0</v>
      </c>
      <c r="AZ35" s="26"/>
      <c r="BA35" s="26"/>
      <c r="BB35" s="26"/>
      <c r="BC35" s="26"/>
    </row>
    <row r="36">
      <c r="A36" s="27">
        <f>HYPERLINK("https://arcprize.org/play?task=1a07d186", 25)</f>
        <v>25</v>
      </c>
      <c r="B36" s="14">
        <v>127.0</v>
      </c>
      <c r="C36" s="14">
        <v>305.0</v>
      </c>
      <c r="D36" s="14">
        <v>134.0</v>
      </c>
      <c r="E36" s="14">
        <v>275.0</v>
      </c>
      <c r="F36" s="22">
        <v>141.0</v>
      </c>
      <c r="G36" s="14">
        <v>276.0</v>
      </c>
      <c r="H36" s="15"/>
      <c r="I36" s="14">
        <v>230.0</v>
      </c>
      <c r="J36" s="23">
        <v>177.0</v>
      </c>
      <c r="K36" s="14">
        <v>138.0</v>
      </c>
      <c r="L36" s="14">
        <v>219.0</v>
      </c>
      <c r="M36" s="22">
        <v>192.0</v>
      </c>
      <c r="N36" s="15"/>
      <c r="O36" s="15"/>
      <c r="P36" s="15"/>
      <c r="Q36" s="14">
        <v>265.0</v>
      </c>
      <c r="R36" s="24">
        <v>180.0</v>
      </c>
      <c r="S36" s="15"/>
      <c r="T36" s="15"/>
      <c r="U36" s="14">
        <v>580.0</v>
      </c>
      <c r="V36" s="29"/>
      <c r="W36" s="14">
        <v>177.0</v>
      </c>
      <c r="X36" s="14"/>
      <c r="Y36" s="14">
        <v>341.0</v>
      </c>
      <c r="Z36" s="25">
        <v>161.0</v>
      </c>
      <c r="AA36" s="25"/>
      <c r="AB36" s="25">
        <v>269.0</v>
      </c>
      <c r="AC36" s="14">
        <v>275.0</v>
      </c>
      <c r="AD36" s="14"/>
      <c r="AE36" s="14">
        <v>248.0</v>
      </c>
      <c r="AF36" s="14">
        <v>295.0</v>
      </c>
      <c r="AG36" s="14">
        <v>386.0</v>
      </c>
      <c r="AH36" s="14">
        <v>229.0</v>
      </c>
      <c r="AI36" s="14">
        <v>211.0</v>
      </c>
      <c r="AJ36" s="14">
        <v>224.0</v>
      </c>
      <c r="AK36" s="14"/>
      <c r="AL36" s="14">
        <v>275.0</v>
      </c>
      <c r="AM36" s="14">
        <v>211.0</v>
      </c>
      <c r="AN36" s="14">
        <v>275.0</v>
      </c>
      <c r="AO36" s="14">
        <v>138.0</v>
      </c>
      <c r="AP36" s="14">
        <v>211.0</v>
      </c>
      <c r="AQ36" s="14">
        <v>213.0</v>
      </c>
      <c r="AR36" s="14"/>
      <c r="AS36" s="14">
        <v>211.0</v>
      </c>
      <c r="AT36" s="14">
        <v>275.0</v>
      </c>
      <c r="AU36" s="14">
        <v>156.0</v>
      </c>
      <c r="AV36" s="14">
        <v>144.0</v>
      </c>
      <c r="AW36" s="14">
        <v>192.0</v>
      </c>
      <c r="AX36" s="14">
        <v>180.0</v>
      </c>
      <c r="AY36" s="14">
        <v>127.0</v>
      </c>
      <c r="AZ36" s="26"/>
      <c r="BA36" s="26"/>
      <c r="BB36" s="26"/>
      <c r="BC36" s="26"/>
    </row>
    <row r="37">
      <c r="A37" s="27">
        <f>HYPERLINK("https://arcprize.org/play?task=1b2d62fb", 26)</f>
        <v>26</v>
      </c>
      <c r="B37" s="14">
        <v>50.0</v>
      </c>
      <c r="C37" s="14">
        <v>57.0</v>
      </c>
      <c r="D37" s="14">
        <v>52.0</v>
      </c>
      <c r="E37" s="14">
        <v>57.0</v>
      </c>
      <c r="F37" s="22">
        <v>50.0</v>
      </c>
      <c r="G37" s="14">
        <v>57.0</v>
      </c>
      <c r="H37" s="14">
        <v>57.0</v>
      </c>
      <c r="I37" s="14">
        <v>57.0</v>
      </c>
      <c r="J37" s="23">
        <v>52.0</v>
      </c>
      <c r="K37" s="14">
        <v>52.0</v>
      </c>
      <c r="L37" s="14">
        <v>54.0</v>
      </c>
      <c r="M37" s="22">
        <v>52.0</v>
      </c>
      <c r="N37" s="14"/>
      <c r="O37" s="14"/>
      <c r="P37" s="14"/>
      <c r="Q37" s="14">
        <v>58.0</v>
      </c>
      <c r="R37" s="24">
        <v>55.0</v>
      </c>
      <c r="S37" s="14">
        <v>73.0</v>
      </c>
      <c r="T37" s="14">
        <v>57.0</v>
      </c>
      <c r="U37" s="14">
        <v>59.0</v>
      </c>
      <c r="V37" s="29">
        <v>57.0</v>
      </c>
      <c r="W37" s="29">
        <v>55.0</v>
      </c>
      <c r="X37" s="14">
        <v>59.0</v>
      </c>
      <c r="Y37" s="14">
        <v>59.0</v>
      </c>
      <c r="Z37" s="25">
        <v>52.0</v>
      </c>
      <c r="AA37" s="25"/>
      <c r="AB37" s="25">
        <v>59.0</v>
      </c>
      <c r="AC37" s="14">
        <v>57.0</v>
      </c>
      <c r="AD37" s="14">
        <v>57.0</v>
      </c>
      <c r="AE37" s="14">
        <v>57.0</v>
      </c>
      <c r="AF37" s="14">
        <v>59.0</v>
      </c>
      <c r="AG37" s="14">
        <v>59.0</v>
      </c>
      <c r="AH37" s="14">
        <v>54.0</v>
      </c>
      <c r="AI37" s="14">
        <v>57.0</v>
      </c>
      <c r="AJ37" s="14">
        <v>57.0</v>
      </c>
      <c r="AK37" s="14">
        <v>54.0</v>
      </c>
      <c r="AL37" s="14">
        <v>57.0</v>
      </c>
      <c r="AM37" s="14">
        <v>57.0</v>
      </c>
      <c r="AN37" s="14">
        <v>57.0</v>
      </c>
      <c r="AO37" s="14">
        <v>52.0</v>
      </c>
      <c r="AP37" s="14">
        <v>57.0</v>
      </c>
      <c r="AQ37" s="14">
        <v>54.0</v>
      </c>
      <c r="AR37" s="14"/>
      <c r="AS37" s="14">
        <v>57.0</v>
      </c>
      <c r="AT37" s="14">
        <v>57.0</v>
      </c>
      <c r="AU37" s="14">
        <v>50.0</v>
      </c>
      <c r="AV37" s="14">
        <v>52.0</v>
      </c>
      <c r="AW37" s="14">
        <v>50.0</v>
      </c>
      <c r="AX37" s="14">
        <v>52.0</v>
      </c>
      <c r="AY37" s="14">
        <v>50.0</v>
      </c>
      <c r="AZ37" s="26"/>
      <c r="BA37" s="26"/>
      <c r="BB37" s="26"/>
      <c r="BC37" s="26"/>
    </row>
    <row r="38">
      <c r="A38" s="27">
        <f>HYPERLINK("https://arcprize.org/play?task=1b60fb0c", 27)</f>
        <v>27</v>
      </c>
      <c r="B38" s="14">
        <v>97.0</v>
      </c>
      <c r="C38" s="14">
        <v>315.0</v>
      </c>
      <c r="D38" s="14">
        <v>103.0</v>
      </c>
      <c r="E38" s="14">
        <v>316.0</v>
      </c>
      <c r="F38" s="22">
        <v>105.0</v>
      </c>
      <c r="G38" s="14">
        <v>399.0</v>
      </c>
      <c r="H38" s="14"/>
      <c r="I38" s="14">
        <v>117.0</v>
      </c>
      <c r="J38" s="23">
        <v>125.0</v>
      </c>
      <c r="K38" s="14">
        <v>125.0</v>
      </c>
      <c r="L38" s="14">
        <v>105.0</v>
      </c>
      <c r="M38" s="22">
        <v>105.0</v>
      </c>
      <c r="N38" s="14"/>
      <c r="O38" s="14"/>
      <c r="P38" s="14"/>
      <c r="Q38" s="14">
        <v>258.0</v>
      </c>
      <c r="R38" s="24">
        <v>124.0</v>
      </c>
      <c r="S38" s="14"/>
      <c r="T38" s="14">
        <v>146.0</v>
      </c>
      <c r="U38" s="14"/>
      <c r="V38" s="29"/>
      <c r="W38" s="14">
        <v>107.0</v>
      </c>
      <c r="X38" s="14"/>
      <c r="Y38" s="14">
        <v>366.0</v>
      </c>
      <c r="Z38" s="25">
        <v>121.0</v>
      </c>
      <c r="AA38" s="25"/>
      <c r="AB38" s="25">
        <v>287.0</v>
      </c>
      <c r="AC38" s="14">
        <v>325.0</v>
      </c>
      <c r="AD38" s="14"/>
      <c r="AE38" s="14">
        <v>138.0</v>
      </c>
      <c r="AF38" s="14">
        <v>231.0</v>
      </c>
      <c r="AG38" s="14">
        <v>226.0</v>
      </c>
      <c r="AH38" s="14">
        <v>140.0</v>
      </c>
      <c r="AI38" s="14">
        <v>222.0</v>
      </c>
      <c r="AJ38" s="14">
        <v>259.0</v>
      </c>
      <c r="AK38" s="14">
        <v>112.0</v>
      </c>
      <c r="AL38" s="14">
        <v>251.0</v>
      </c>
      <c r="AM38" s="14">
        <v>176.0</v>
      </c>
      <c r="AN38" s="14">
        <v>319.0</v>
      </c>
      <c r="AO38" s="14">
        <v>103.0</v>
      </c>
      <c r="AP38" s="14">
        <v>200.0</v>
      </c>
      <c r="AQ38" s="14">
        <v>169.0</v>
      </c>
      <c r="AR38" s="14"/>
      <c r="AS38" s="14">
        <v>129.0</v>
      </c>
      <c r="AT38" s="14">
        <v>316.0</v>
      </c>
      <c r="AU38" s="14">
        <v>113.0</v>
      </c>
      <c r="AV38" s="14">
        <v>104.0</v>
      </c>
      <c r="AW38" s="14">
        <v>105.0</v>
      </c>
      <c r="AX38" s="14">
        <v>122.0</v>
      </c>
      <c r="AY38" s="14">
        <v>97.0</v>
      </c>
      <c r="AZ38" s="26"/>
      <c r="BA38" s="26"/>
      <c r="BB38" s="26"/>
      <c r="BC38" s="26"/>
    </row>
    <row r="39">
      <c r="A39" s="27">
        <f>HYPERLINK("https://arcprize.org/play?task=1bfc4729", 28)</f>
        <v>28</v>
      </c>
      <c r="B39" s="14">
        <v>63.0</v>
      </c>
      <c r="C39" s="14">
        <v>132.0</v>
      </c>
      <c r="D39" s="14">
        <v>66.0</v>
      </c>
      <c r="E39" s="14">
        <v>139.0</v>
      </c>
      <c r="F39" s="22">
        <v>63.0</v>
      </c>
      <c r="G39" s="14">
        <v>139.0</v>
      </c>
      <c r="H39" s="14">
        <v>81.0</v>
      </c>
      <c r="I39" s="14">
        <v>99.0</v>
      </c>
      <c r="J39" s="23">
        <v>78.0</v>
      </c>
      <c r="K39" s="14">
        <v>78.0</v>
      </c>
      <c r="L39" s="14">
        <v>80.0</v>
      </c>
      <c r="M39" s="22">
        <v>63.0</v>
      </c>
      <c r="N39" s="14"/>
      <c r="O39" s="14"/>
      <c r="P39" s="14"/>
      <c r="Q39" s="14">
        <v>97.0</v>
      </c>
      <c r="R39" s="24">
        <v>71.0</v>
      </c>
      <c r="S39" s="14">
        <v>106.0</v>
      </c>
      <c r="T39" s="14">
        <v>90.0</v>
      </c>
      <c r="U39" s="14">
        <v>139.0</v>
      </c>
      <c r="V39" s="29">
        <v>86.0</v>
      </c>
      <c r="W39" s="14">
        <v>64.0</v>
      </c>
      <c r="X39" s="14">
        <v>139.0</v>
      </c>
      <c r="Y39" s="14">
        <v>139.0</v>
      </c>
      <c r="Z39" s="25">
        <v>80.0</v>
      </c>
      <c r="AA39" s="25"/>
      <c r="AB39" s="25">
        <v>132.0</v>
      </c>
      <c r="AC39" s="14">
        <v>139.0</v>
      </c>
      <c r="AD39" s="14">
        <v>85.0</v>
      </c>
      <c r="AE39" s="14">
        <v>139.0</v>
      </c>
      <c r="AF39" s="14">
        <v>138.0</v>
      </c>
      <c r="AG39" s="14">
        <v>135.0</v>
      </c>
      <c r="AH39" s="14">
        <v>74.0</v>
      </c>
      <c r="AI39" s="14">
        <v>79.0</v>
      </c>
      <c r="AJ39" s="14">
        <v>84.0</v>
      </c>
      <c r="AK39" s="14"/>
      <c r="AL39" s="14">
        <v>119.0</v>
      </c>
      <c r="AM39" s="14">
        <v>80.0</v>
      </c>
      <c r="AN39" s="14">
        <v>139.0</v>
      </c>
      <c r="AO39" s="14">
        <v>64.0</v>
      </c>
      <c r="AP39" s="14">
        <v>100.0</v>
      </c>
      <c r="AQ39" s="14">
        <v>98.0</v>
      </c>
      <c r="AR39" s="14"/>
      <c r="AS39" s="14">
        <v>82.0</v>
      </c>
      <c r="AT39" s="14">
        <v>139.0</v>
      </c>
      <c r="AU39" s="14">
        <v>70.0</v>
      </c>
      <c r="AV39" s="14">
        <v>70.0</v>
      </c>
      <c r="AW39" s="14">
        <v>70.0</v>
      </c>
      <c r="AX39" s="14">
        <v>77.0</v>
      </c>
      <c r="AY39" s="14">
        <v>63.0</v>
      </c>
      <c r="AZ39" s="26"/>
      <c r="BA39" s="26"/>
      <c r="BB39" s="26"/>
      <c r="BC39" s="26"/>
    </row>
    <row r="40">
      <c r="A40" s="27">
        <f>HYPERLINK("https://arcprize.org/play?task=1c786137", 29)</f>
        <v>29</v>
      </c>
      <c r="B40" s="14">
        <v>103.0</v>
      </c>
      <c r="C40" s="14">
        <v>229.0</v>
      </c>
      <c r="D40" s="14">
        <v>110.0</v>
      </c>
      <c r="E40" s="14">
        <v>223.0</v>
      </c>
      <c r="F40" s="22">
        <v>108.0</v>
      </c>
      <c r="G40" s="14">
        <v>239.0</v>
      </c>
      <c r="H40" s="14"/>
      <c r="I40" s="14">
        <v>213.0</v>
      </c>
      <c r="J40" s="23">
        <v>121.0</v>
      </c>
      <c r="K40" s="14">
        <v>117.0</v>
      </c>
      <c r="L40" s="14">
        <v>126.0</v>
      </c>
      <c r="M40" s="22">
        <v>121.0</v>
      </c>
      <c r="N40" s="14"/>
      <c r="O40" s="14"/>
      <c r="P40" s="14"/>
      <c r="Q40" s="14">
        <v>256.0</v>
      </c>
      <c r="R40" s="24">
        <v>134.0</v>
      </c>
      <c r="S40" s="14"/>
      <c r="T40" s="14"/>
      <c r="U40" s="14">
        <v>403.0</v>
      </c>
      <c r="V40" s="29"/>
      <c r="W40" s="14">
        <v>108.0</v>
      </c>
      <c r="X40" s="14"/>
      <c r="Y40" s="14">
        <v>239.0</v>
      </c>
      <c r="Z40" s="25">
        <v>131.0</v>
      </c>
      <c r="AA40" s="25"/>
      <c r="AB40" s="25">
        <v>237.0</v>
      </c>
      <c r="AC40" s="14">
        <v>223.0</v>
      </c>
      <c r="AD40" s="14"/>
      <c r="AE40" s="14">
        <v>223.0</v>
      </c>
      <c r="AF40" s="14">
        <v>249.0</v>
      </c>
      <c r="AG40" s="14">
        <v>329.0</v>
      </c>
      <c r="AH40" s="14">
        <v>172.0</v>
      </c>
      <c r="AI40" s="14">
        <v>197.0</v>
      </c>
      <c r="AJ40" s="14">
        <v>197.0</v>
      </c>
      <c r="AK40" s="14"/>
      <c r="AL40" s="14">
        <v>205.0</v>
      </c>
      <c r="AM40" s="14">
        <v>174.0</v>
      </c>
      <c r="AN40" s="14">
        <v>223.0</v>
      </c>
      <c r="AO40" s="14">
        <v>141.0</v>
      </c>
      <c r="AP40" s="14">
        <v>177.0</v>
      </c>
      <c r="AQ40" s="14">
        <v>192.0</v>
      </c>
      <c r="AR40" s="14"/>
      <c r="AS40" s="14">
        <v>132.0</v>
      </c>
      <c r="AT40" s="14">
        <v>194.0</v>
      </c>
      <c r="AU40" s="14">
        <v>117.0</v>
      </c>
      <c r="AV40" s="14">
        <v>113.0</v>
      </c>
      <c r="AW40" s="14">
        <v>142.0</v>
      </c>
      <c r="AX40" s="14">
        <v>159.0</v>
      </c>
      <c r="AY40" s="14">
        <v>103.0</v>
      </c>
      <c r="AZ40" s="26"/>
      <c r="BA40" s="26"/>
      <c r="BB40" s="26"/>
      <c r="BC40" s="26"/>
    </row>
    <row r="41">
      <c r="A41" s="27">
        <f>HYPERLINK("https://arcprize.org/play?task=1caeab9d", 30)</f>
        <v>30</v>
      </c>
      <c r="B41" s="14">
        <v>93.0</v>
      </c>
      <c r="C41" s="14">
        <v>233.0</v>
      </c>
      <c r="D41" s="14">
        <v>94.0</v>
      </c>
      <c r="E41" s="14">
        <v>212.0</v>
      </c>
      <c r="F41" s="22">
        <v>93.0</v>
      </c>
      <c r="G41" s="14">
        <v>226.0</v>
      </c>
      <c r="H41" s="14"/>
      <c r="I41" s="14">
        <v>120.0</v>
      </c>
      <c r="J41" s="23">
        <v>94.0</v>
      </c>
      <c r="K41" s="14">
        <v>94.0</v>
      </c>
      <c r="L41" s="14">
        <v>150.0</v>
      </c>
      <c r="M41" s="22">
        <v>112.0</v>
      </c>
      <c r="N41" s="14"/>
      <c r="O41" s="14"/>
      <c r="P41" s="14"/>
      <c r="Q41" s="14">
        <v>227.0</v>
      </c>
      <c r="R41" s="24">
        <v>106.0</v>
      </c>
      <c r="S41" s="14"/>
      <c r="T41" s="14"/>
      <c r="U41" s="14">
        <v>240.0</v>
      </c>
      <c r="V41" s="29"/>
      <c r="W41" s="14">
        <v>94.0</v>
      </c>
      <c r="X41" s="14">
        <v>232.0</v>
      </c>
      <c r="Y41" s="14">
        <v>233.0</v>
      </c>
      <c r="Z41" s="25">
        <v>117.0</v>
      </c>
      <c r="AA41" s="25"/>
      <c r="AB41" s="25">
        <v>217.0</v>
      </c>
      <c r="AC41" s="14">
        <v>212.0</v>
      </c>
      <c r="AD41" s="14"/>
      <c r="AE41" s="14">
        <v>212.0</v>
      </c>
      <c r="AF41" s="14">
        <v>226.0</v>
      </c>
      <c r="AG41" s="14">
        <v>216.0</v>
      </c>
      <c r="AH41" s="14">
        <v>152.0</v>
      </c>
      <c r="AI41" s="14">
        <v>189.0</v>
      </c>
      <c r="AJ41" s="14">
        <v>194.0</v>
      </c>
      <c r="AK41" s="14"/>
      <c r="AL41" s="14">
        <v>212.0</v>
      </c>
      <c r="AM41" s="14">
        <v>170.0</v>
      </c>
      <c r="AN41" s="14">
        <v>212.0</v>
      </c>
      <c r="AO41" s="14">
        <v>116.0</v>
      </c>
      <c r="AP41" s="14">
        <v>193.0</v>
      </c>
      <c r="AQ41" s="14">
        <v>168.0</v>
      </c>
      <c r="AR41" s="14"/>
      <c r="AS41" s="14">
        <v>121.0</v>
      </c>
      <c r="AT41" s="14">
        <v>212.0</v>
      </c>
      <c r="AU41" s="14">
        <v>93.0</v>
      </c>
      <c r="AV41" s="14">
        <v>116.0</v>
      </c>
      <c r="AW41" s="14">
        <v>116.0</v>
      </c>
      <c r="AX41" s="14">
        <v>94.0</v>
      </c>
      <c r="AY41" s="14">
        <v>91.0</v>
      </c>
      <c r="AZ41" s="26"/>
      <c r="BA41" s="26"/>
      <c r="BB41" s="26"/>
      <c r="BC41" s="26"/>
    </row>
    <row r="42">
      <c r="A42" s="27">
        <f>HYPERLINK("https://arcprize.org/play?task=1cf80156", 31)</f>
        <v>31</v>
      </c>
      <c r="B42" s="14">
        <v>45.0</v>
      </c>
      <c r="C42" s="14">
        <v>126.0</v>
      </c>
      <c r="D42" s="14">
        <v>45.0</v>
      </c>
      <c r="E42" s="14">
        <v>51.0</v>
      </c>
      <c r="F42" s="22">
        <v>45.0</v>
      </c>
      <c r="G42" s="14">
        <v>61.0</v>
      </c>
      <c r="H42" s="14">
        <v>59.0</v>
      </c>
      <c r="I42" s="14">
        <v>60.0</v>
      </c>
      <c r="J42" s="23">
        <v>50.0</v>
      </c>
      <c r="K42" s="14">
        <v>48.0</v>
      </c>
      <c r="L42" s="14">
        <v>48.0</v>
      </c>
      <c r="M42" s="22">
        <v>45.0</v>
      </c>
      <c r="N42" s="15"/>
      <c r="O42" s="15"/>
      <c r="P42" s="15">
        <v>107.0</v>
      </c>
      <c r="Q42" s="15">
        <v>87.0</v>
      </c>
      <c r="R42" s="24">
        <v>50.0</v>
      </c>
      <c r="S42" s="14">
        <v>88.0</v>
      </c>
      <c r="T42" s="14">
        <v>177.0</v>
      </c>
      <c r="U42" s="14">
        <v>126.0</v>
      </c>
      <c r="V42" s="29">
        <v>50.0</v>
      </c>
      <c r="W42" s="29">
        <v>47.0</v>
      </c>
      <c r="X42" s="14">
        <v>126.0</v>
      </c>
      <c r="Y42" s="14">
        <v>126.0</v>
      </c>
      <c r="Z42" s="25">
        <v>50.0</v>
      </c>
      <c r="AA42" s="25"/>
      <c r="AB42" s="25">
        <v>126.0</v>
      </c>
      <c r="AC42" s="14">
        <v>126.0</v>
      </c>
      <c r="AD42" s="14">
        <v>51.0</v>
      </c>
      <c r="AE42" s="14">
        <v>48.0</v>
      </c>
      <c r="AF42" s="14">
        <v>126.0</v>
      </c>
      <c r="AG42" s="14">
        <v>126.0</v>
      </c>
      <c r="AH42" s="14">
        <v>51.0</v>
      </c>
      <c r="AI42" s="14">
        <v>50.0</v>
      </c>
      <c r="AJ42" s="14">
        <v>67.0</v>
      </c>
      <c r="AK42" s="14">
        <v>50.0</v>
      </c>
      <c r="AL42" s="14">
        <v>54.0</v>
      </c>
      <c r="AM42" s="14">
        <v>50.0</v>
      </c>
      <c r="AN42" s="14">
        <v>126.0</v>
      </c>
      <c r="AO42" s="14">
        <v>50.0</v>
      </c>
      <c r="AP42" s="14">
        <v>50.0</v>
      </c>
      <c r="AQ42" s="14">
        <v>50.0</v>
      </c>
      <c r="AR42" s="14"/>
      <c r="AS42" s="14">
        <v>48.0</v>
      </c>
      <c r="AT42" s="14">
        <v>126.0</v>
      </c>
      <c r="AU42" s="14">
        <v>50.0</v>
      </c>
      <c r="AV42" s="14">
        <v>48.0</v>
      </c>
      <c r="AW42" s="14">
        <v>48.0</v>
      </c>
      <c r="AX42" s="14">
        <v>50.0</v>
      </c>
      <c r="AY42" s="14">
        <v>45.0</v>
      </c>
      <c r="AZ42" s="26"/>
      <c r="BA42" s="26"/>
      <c r="BB42" s="26"/>
      <c r="BC42" s="26"/>
    </row>
    <row r="43">
      <c r="A43" s="27">
        <f>HYPERLINK("https://arcprize.org/play?task=1e0a9b12", 32)</f>
        <v>32</v>
      </c>
      <c r="B43" s="14">
        <v>39.0</v>
      </c>
      <c r="C43" s="14">
        <v>39.0</v>
      </c>
      <c r="D43" s="14">
        <v>39.0</v>
      </c>
      <c r="E43" s="14">
        <v>39.0</v>
      </c>
      <c r="F43" s="22">
        <v>39.0</v>
      </c>
      <c r="G43" s="14">
        <v>39.0</v>
      </c>
      <c r="H43" s="14">
        <v>39.0</v>
      </c>
      <c r="I43" s="14">
        <v>39.0</v>
      </c>
      <c r="J43" s="23">
        <v>39.0</v>
      </c>
      <c r="K43" s="14">
        <v>39.0</v>
      </c>
      <c r="L43" s="14">
        <v>39.0</v>
      </c>
      <c r="M43" s="22">
        <v>39.0</v>
      </c>
      <c r="N43" s="14"/>
      <c r="O43" s="14"/>
      <c r="P43" s="14">
        <v>96.0</v>
      </c>
      <c r="Q43" s="14">
        <v>49.0</v>
      </c>
      <c r="R43" s="24">
        <v>39.0</v>
      </c>
      <c r="S43" s="14">
        <v>49.0</v>
      </c>
      <c r="T43" s="14">
        <v>49.0</v>
      </c>
      <c r="U43" s="14">
        <v>85.0</v>
      </c>
      <c r="V43" s="29">
        <v>39.0</v>
      </c>
      <c r="W43" s="14">
        <v>39.0</v>
      </c>
      <c r="X43" s="14">
        <v>85.0</v>
      </c>
      <c r="Y43" s="14">
        <v>39.0</v>
      </c>
      <c r="Z43" s="30">
        <v>39.0</v>
      </c>
      <c r="AA43" s="25"/>
      <c r="AB43" s="25">
        <v>56.0</v>
      </c>
      <c r="AC43" s="14">
        <v>39.0</v>
      </c>
      <c r="AD43" s="14">
        <v>39.0</v>
      </c>
      <c r="AE43" s="14">
        <v>39.0</v>
      </c>
      <c r="AF43" s="14">
        <v>85.0</v>
      </c>
      <c r="AG43" s="14">
        <v>85.0</v>
      </c>
      <c r="AH43" s="14">
        <v>39.0</v>
      </c>
      <c r="AI43" s="14">
        <v>39.0</v>
      </c>
      <c r="AJ43" s="14">
        <v>39.0</v>
      </c>
      <c r="AK43" s="14">
        <v>39.0</v>
      </c>
      <c r="AL43" s="14">
        <v>39.0</v>
      </c>
      <c r="AM43" s="14">
        <v>39.0</v>
      </c>
      <c r="AN43" s="14">
        <v>39.0</v>
      </c>
      <c r="AO43" s="14">
        <v>39.0</v>
      </c>
      <c r="AP43" s="14">
        <v>39.0</v>
      </c>
      <c r="AQ43" s="14">
        <v>39.0</v>
      </c>
      <c r="AR43" s="14"/>
      <c r="AS43" s="14">
        <v>39.0</v>
      </c>
      <c r="AT43" s="14">
        <v>39.0</v>
      </c>
      <c r="AU43" s="14">
        <v>39.0</v>
      </c>
      <c r="AV43" s="14">
        <v>39.0</v>
      </c>
      <c r="AW43" s="14">
        <v>39.0</v>
      </c>
      <c r="AX43" s="14">
        <v>39.0</v>
      </c>
      <c r="AY43" s="14">
        <v>39.0</v>
      </c>
      <c r="AZ43" s="26"/>
      <c r="BA43" s="26"/>
      <c r="BB43" s="26"/>
      <c r="BC43" s="26"/>
    </row>
    <row r="44">
      <c r="A44" s="27">
        <f>HYPERLINK("https://arcprize.org/play?task=1e32b0e9", 33)</f>
        <v>33</v>
      </c>
      <c r="B44" s="14">
        <v>71.0</v>
      </c>
      <c r="C44" s="14">
        <v>130.0</v>
      </c>
      <c r="D44" s="14">
        <v>73.0</v>
      </c>
      <c r="E44" s="14">
        <v>89.0</v>
      </c>
      <c r="F44" s="22">
        <v>73.0</v>
      </c>
      <c r="G44" s="14">
        <v>79.0</v>
      </c>
      <c r="H44" s="14"/>
      <c r="I44" s="14">
        <v>79.0</v>
      </c>
      <c r="J44" s="23">
        <v>79.0</v>
      </c>
      <c r="K44" s="14">
        <v>79.0</v>
      </c>
      <c r="L44" s="14">
        <v>79.0</v>
      </c>
      <c r="M44" s="22">
        <v>79.0</v>
      </c>
      <c r="N44" s="15"/>
      <c r="O44" s="15"/>
      <c r="P44" s="15">
        <v>101.0</v>
      </c>
      <c r="Q44" s="14">
        <v>86.0</v>
      </c>
      <c r="R44" s="24">
        <v>79.0</v>
      </c>
      <c r="S44" s="14">
        <v>79.0</v>
      </c>
      <c r="T44" s="15"/>
      <c r="U44" s="14">
        <v>272.0</v>
      </c>
      <c r="V44" s="29">
        <v>79.0</v>
      </c>
      <c r="W44" s="14">
        <v>79.0</v>
      </c>
      <c r="X44" s="14">
        <v>247.0</v>
      </c>
      <c r="Y44" s="14">
        <v>210.0</v>
      </c>
      <c r="Z44" s="25">
        <v>79.0</v>
      </c>
      <c r="AA44" s="25"/>
      <c r="AB44" s="25">
        <v>124.0</v>
      </c>
      <c r="AC44" s="14">
        <v>227.0</v>
      </c>
      <c r="AD44" s="14"/>
      <c r="AE44" s="14">
        <v>227.0</v>
      </c>
      <c r="AF44" s="14">
        <v>247.0</v>
      </c>
      <c r="AG44" s="14">
        <v>90.0</v>
      </c>
      <c r="AH44" s="14">
        <v>79.0</v>
      </c>
      <c r="AI44" s="14">
        <v>79.0</v>
      </c>
      <c r="AJ44" s="14">
        <v>86.0</v>
      </c>
      <c r="AK44" s="14"/>
      <c r="AL44" s="14">
        <v>134.0</v>
      </c>
      <c r="AM44" s="14">
        <v>79.0</v>
      </c>
      <c r="AN44" s="14">
        <v>224.0</v>
      </c>
      <c r="AO44" s="14">
        <v>77.0</v>
      </c>
      <c r="AP44" s="14">
        <v>83.0</v>
      </c>
      <c r="AQ44" s="14">
        <v>79.0</v>
      </c>
      <c r="AR44" s="14"/>
      <c r="AS44" s="14">
        <v>79.0</v>
      </c>
      <c r="AT44" s="14">
        <v>85.0</v>
      </c>
      <c r="AU44" s="14">
        <v>79.0</v>
      </c>
      <c r="AV44" s="14">
        <v>77.0</v>
      </c>
      <c r="AW44" s="14">
        <v>77.0</v>
      </c>
      <c r="AX44" s="14">
        <v>79.0</v>
      </c>
      <c r="AY44" s="14">
        <v>71.0</v>
      </c>
      <c r="AZ44" s="26"/>
      <c r="BA44" s="26"/>
      <c r="BB44" s="26"/>
      <c r="BC44" s="26"/>
    </row>
    <row r="45">
      <c r="A45" s="27">
        <f>HYPERLINK("https://arcprize.org/play?task=1f0c79e5", 34)</f>
        <v>34</v>
      </c>
      <c r="B45" s="14">
        <v>116.0</v>
      </c>
      <c r="C45" s="14">
        <v>317.0</v>
      </c>
      <c r="D45" s="14">
        <v>125.0</v>
      </c>
      <c r="E45" s="14">
        <v>312.0</v>
      </c>
      <c r="F45" s="22">
        <v>126.0</v>
      </c>
      <c r="G45" s="14">
        <v>354.0</v>
      </c>
      <c r="H45" s="15"/>
      <c r="I45" s="14">
        <v>236.0</v>
      </c>
      <c r="J45" s="23">
        <v>127.0</v>
      </c>
      <c r="K45" s="14">
        <v>184.0</v>
      </c>
      <c r="L45" s="14">
        <v>234.0</v>
      </c>
      <c r="M45" s="22">
        <v>140.0</v>
      </c>
      <c r="N45" s="15"/>
      <c r="O45" s="15"/>
      <c r="P45" s="15"/>
      <c r="Q45" s="14">
        <v>294.0</v>
      </c>
      <c r="R45" s="24">
        <v>164.0</v>
      </c>
      <c r="S45" s="15"/>
      <c r="T45" s="15"/>
      <c r="U45" s="15"/>
      <c r="V45" s="29"/>
      <c r="W45" s="14">
        <v>187.0</v>
      </c>
      <c r="X45" s="14"/>
      <c r="Y45" s="14">
        <v>312.0</v>
      </c>
      <c r="Z45" s="25">
        <v>134.0</v>
      </c>
      <c r="AA45" s="25"/>
      <c r="AB45" s="25">
        <v>358.0</v>
      </c>
      <c r="AC45" s="14">
        <v>330.0</v>
      </c>
      <c r="AD45" s="14"/>
      <c r="AE45" s="14">
        <v>330.0</v>
      </c>
      <c r="AF45" s="14">
        <v>378.0</v>
      </c>
      <c r="AG45" s="14">
        <v>356.0</v>
      </c>
      <c r="AH45" s="14">
        <v>247.0</v>
      </c>
      <c r="AI45" s="14">
        <v>244.0</v>
      </c>
      <c r="AJ45" s="14">
        <v>259.0</v>
      </c>
      <c r="AK45" s="14"/>
      <c r="AL45" s="14">
        <v>307.0</v>
      </c>
      <c r="AM45" s="14">
        <v>233.0</v>
      </c>
      <c r="AN45" s="14">
        <v>311.0</v>
      </c>
      <c r="AO45" s="14">
        <v>128.0</v>
      </c>
      <c r="AP45" s="14">
        <v>244.0</v>
      </c>
      <c r="AQ45" s="14">
        <v>211.0</v>
      </c>
      <c r="AR45" s="14"/>
      <c r="AS45" s="14">
        <v>224.0</v>
      </c>
      <c r="AT45" s="14">
        <v>281.0</v>
      </c>
      <c r="AU45" s="14">
        <v>143.0</v>
      </c>
      <c r="AV45" s="14">
        <v>182.0</v>
      </c>
      <c r="AW45" s="14">
        <v>175.0</v>
      </c>
      <c r="AX45" s="14">
        <v>134.0</v>
      </c>
      <c r="AY45" s="14">
        <v>116.0</v>
      </c>
      <c r="AZ45" s="26"/>
      <c r="BA45" s="26"/>
      <c r="BB45" s="26"/>
      <c r="BC45" s="26"/>
    </row>
    <row r="46">
      <c r="A46" s="27">
        <f>HYPERLINK("https://arcprize.org/play?task=1f642eb9", 35)</f>
        <v>35</v>
      </c>
      <c r="B46" s="14">
        <v>82.0</v>
      </c>
      <c r="C46" s="14">
        <v>243.0</v>
      </c>
      <c r="D46" s="14">
        <v>82.0</v>
      </c>
      <c r="E46" s="14">
        <v>231.0</v>
      </c>
      <c r="F46" s="22">
        <v>83.0</v>
      </c>
      <c r="G46" s="22">
        <v>251.0</v>
      </c>
      <c r="H46" s="15"/>
      <c r="I46" s="14">
        <v>98.0</v>
      </c>
      <c r="J46" s="23">
        <v>92.0</v>
      </c>
      <c r="K46" s="14">
        <v>94.0</v>
      </c>
      <c r="L46" s="14">
        <v>94.0</v>
      </c>
      <c r="M46" s="22">
        <v>89.0</v>
      </c>
      <c r="N46" s="15"/>
      <c r="O46" s="15"/>
      <c r="P46" s="15"/>
      <c r="Q46" s="14">
        <v>223.0</v>
      </c>
      <c r="R46" s="24">
        <v>106.0</v>
      </c>
      <c r="S46" s="14">
        <v>382.0</v>
      </c>
      <c r="T46" s="15"/>
      <c r="U46" s="14">
        <v>298.0</v>
      </c>
      <c r="V46" s="29">
        <v>94.0</v>
      </c>
      <c r="W46" s="14">
        <v>97.0</v>
      </c>
      <c r="X46" s="14"/>
      <c r="Y46" s="14">
        <v>233.0</v>
      </c>
      <c r="Z46" s="25">
        <v>94.0</v>
      </c>
      <c r="AA46" s="25"/>
      <c r="AB46" s="25">
        <v>251.0</v>
      </c>
      <c r="AC46" s="14">
        <v>231.0</v>
      </c>
      <c r="AD46" s="14"/>
      <c r="AE46" s="14">
        <v>231.0</v>
      </c>
      <c r="AF46" s="14">
        <v>297.0</v>
      </c>
      <c r="AG46" s="14">
        <v>188.0</v>
      </c>
      <c r="AH46" s="14">
        <v>159.0</v>
      </c>
      <c r="AI46" s="14">
        <v>98.0</v>
      </c>
      <c r="AJ46" s="14">
        <v>136.0</v>
      </c>
      <c r="AK46" s="14"/>
      <c r="AL46" s="14">
        <v>120.0</v>
      </c>
      <c r="AM46" s="14">
        <v>147.0</v>
      </c>
      <c r="AN46" s="14">
        <v>231.0</v>
      </c>
      <c r="AO46" s="14">
        <v>94.0</v>
      </c>
      <c r="AP46" s="14">
        <v>184.0</v>
      </c>
      <c r="AQ46" s="14">
        <v>158.0</v>
      </c>
      <c r="AR46" s="14"/>
      <c r="AS46" s="14">
        <v>96.0</v>
      </c>
      <c r="AT46" s="14">
        <v>230.0</v>
      </c>
      <c r="AU46" s="14">
        <v>91.0</v>
      </c>
      <c r="AV46" s="14">
        <v>91.0</v>
      </c>
      <c r="AW46" s="14">
        <v>89.0</v>
      </c>
      <c r="AX46" s="14">
        <v>98.0</v>
      </c>
      <c r="AY46" s="14">
        <v>82.0</v>
      </c>
      <c r="AZ46" s="26"/>
      <c r="BA46" s="26"/>
      <c r="BB46" s="26"/>
      <c r="BC46" s="26"/>
    </row>
    <row r="47">
      <c r="A47" s="27">
        <f>HYPERLINK("https://arcprize.org/play?task=1f85a75f", 36)</f>
        <v>36</v>
      </c>
      <c r="B47" s="14">
        <v>75.0</v>
      </c>
      <c r="C47" s="14">
        <v>196.0</v>
      </c>
      <c r="D47" s="14">
        <v>82.0</v>
      </c>
      <c r="E47" s="14">
        <v>196.0</v>
      </c>
      <c r="F47" s="22">
        <v>75.0</v>
      </c>
      <c r="G47" s="14">
        <v>284.0</v>
      </c>
      <c r="H47" s="15"/>
      <c r="I47" s="14">
        <v>207.0</v>
      </c>
      <c r="J47" s="23">
        <v>95.0</v>
      </c>
      <c r="K47" s="14">
        <v>118.0</v>
      </c>
      <c r="L47" s="14">
        <v>153.0</v>
      </c>
      <c r="M47" s="22">
        <v>103.0</v>
      </c>
      <c r="N47" s="15"/>
      <c r="O47" s="15"/>
      <c r="P47" s="15"/>
      <c r="Q47" s="14">
        <v>222.0</v>
      </c>
      <c r="R47" s="24">
        <v>109.0</v>
      </c>
      <c r="S47" s="14">
        <v>168.0</v>
      </c>
      <c r="T47" s="15"/>
      <c r="U47" s="14">
        <v>375.0</v>
      </c>
      <c r="V47" s="29">
        <v>181.0</v>
      </c>
      <c r="W47" s="14">
        <v>75.0</v>
      </c>
      <c r="X47" s="14">
        <v>304.0</v>
      </c>
      <c r="Y47" s="14">
        <v>310.0</v>
      </c>
      <c r="Z47" s="25">
        <v>85.0</v>
      </c>
      <c r="AA47" s="25"/>
      <c r="AB47" s="25">
        <v>245.0</v>
      </c>
      <c r="AC47" s="14">
        <v>276.0</v>
      </c>
      <c r="AD47" s="14"/>
      <c r="AE47" s="14">
        <v>276.0</v>
      </c>
      <c r="AF47" s="14">
        <v>304.0</v>
      </c>
      <c r="AG47" s="14">
        <v>258.0</v>
      </c>
      <c r="AH47" s="14">
        <v>146.0</v>
      </c>
      <c r="AI47" s="14">
        <v>130.0</v>
      </c>
      <c r="AJ47" s="14">
        <v>186.0</v>
      </c>
      <c r="AK47" s="14"/>
      <c r="AL47" s="14">
        <v>169.0</v>
      </c>
      <c r="AM47" s="14">
        <v>133.0</v>
      </c>
      <c r="AN47" s="14">
        <v>196.0</v>
      </c>
      <c r="AO47" s="14">
        <v>112.0</v>
      </c>
      <c r="AP47" s="14">
        <v>151.0</v>
      </c>
      <c r="AQ47" s="14">
        <v>186.0</v>
      </c>
      <c r="AR47" s="14"/>
      <c r="AS47" s="14">
        <v>117.0</v>
      </c>
      <c r="AT47" s="14">
        <v>196.0</v>
      </c>
      <c r="AU47" s="14">
        <v>95.0</v>
      </c>
      <c r="AV47" s="14">
        <v>109.0</v>
      </c>
      <c r="AW47" s="14">
        <v>81.0</v>
      </c>
      <c r="AX47" s="14">
        <v>122.0</v>
      </c>
      <c r="AY47" s="14">
        <v>75.0</v>
      </c>
      <c r="AZ47" s="26"/>
      <c r="BA47" s="26"/>
      <c r="BB47" s="26"/>
      <c r="BC47" s="26"/>
    </row>
    <row r="48">
      <c r="A48" s="27">
        <f>HYPERLINK("https://arcprize.org/play?task=1f876c06", 37)</f>
        <v>37</v>
      </c>
      <c r="B48" s="14">
        <v>101.0</v>
      </c>
      <c r="C48" s="14">
        <v>226.0</v>
      </c>
      <c r="D48" s="14">
        <v>104.0</v>
      </c>
      <c r="E48" s="14">
        <v>226.0</v>
      </c>
      <c r="F48" s="22">
        <v>105.0</v>
      </c>
      <c r="G48" s="14">
        <v>268.0</v>
      </c>
      <c r="H48" s="14"/>
      <c r="I48" s="14">
        <v>161.0</v>
      </c>
      <c r="J48" s="23">
        <v>111.0</v>
      </c>
      <c r="K48" s="14">
        <v>118.0</v>
      </c>
      <c r="L48" s="14">
        <v>135.0</v>
      </c>
      <c r="M48" s="22">
        <v>117.0</v>
      </c>
      <c r="N48" s="14"/>
      <c r="O48" s="14"/>
      <c r="P48" s="14"/>
      <c r="Q48" s="14">
        <v>272.0</v>
      </c>
      <c r="R48" s="24">
        <v>112.0</v>
      </c>
      <c r="S48" s="14"/>
      <c r="T48" s="14"/>
      <c r="U48" s="14">
        <v>254.0</v>
      </c>
      <c r="V48" s="29"/>
      <c r="W48" s="14"/>
      <c r="X48" s="14">
        <v>269.0</v>
      </c>
      <c r="Y48" s="14">
        <v>271.0</v>
      </c>
      <c r="Z48" s="25">
        <v>124.0</v>
      </c>
      <c r="AA48" s="25"/>
      <c r="AB48" s="25">
        <v>264.0</v>
      </c>
      <c r="AC48" s="14">
        <v>242.0</v>
      </c>
      <c r="AD48" s="14"/>
      <c r="AE48" s="14">
        <v>242.0</v>
      </c>
      <c r="AF48" s="14">
        <v>269.0</v>
      </c>
      <c r="AG48" s="14">
        <v>192.0</v>
      </c>
      <c r="AH48" s="14">
        <v>150.0</v>
      </c>
      <c r="AI48" s="14">
        <v>158.0</v>
      </c>
      <c r="AJ48" s="14">
        <v>170.0</v>
      </c>
      <c r="AK48" s="14"/>
      <c r="AL48" s="14">
        <v>222.0</v>
      </c>
      <c r="AM48" s="14">
        <v>154.0</v>
      </c>
      <c r="AN48" s="14">
        <v>237.0</v>
      </c>
      <c r="AO48" s="14">
        <v>109.0</v>
      </c>
      <c r="AP48" s="14">
        <v>182.0</v>
      </c>
      <c r="AQ48" s="14">
        <v>142.0</v>
      </c>
      <c r="AR48" s="14"/>
      <c r="AS48" s="14">
        <v>131.0</v>
      </c>
      <c r="AT48" s="14">
        <v>218.0</v>
      </c>
      <c r="AU48" s="14">
        <v>112.0</v>
      </c>
      <c r="AV48" s="14">
        <v>115.0</v>
      </c>
      <c r="AW48" s="14">
        <v>117.0</v>
      </c>
      <c r="AX48" s="14">
        <v>104.0</v>
      </c>
      <c r="AY48" s="14">
        <v>101.0</v>
      </c>
      <c r="AZ48" s="26"/>
      <c r="BA48" s="26"/>
      <c r="BB48" s="26"/>
      <c r="BC48" s="26"/>
    </row>
    <row r="49">
      <c r="A49" s="27">
        <f>HYPERLINK("https://arcprize.org/play?task=1fad071e", 38)</f>
        <v>38</v>
      </c>
      <c r="B49" s="14">
        <v>51.0</v>
      </c>
      <c r="C49" s="14">
        <v>107.0</v>
      </c>
      <c r="D49" s="14">
        <v>51.0</v>
      </c>
      <c r="E49" s="14">
        <v>107.0</v>
      </c>
      <c r="F49" s="22">
        <v>51.0</v>
      </c>
      <c r="G49" s="14">
        <v>109.0</v>
      </c>
      <c r="H49" s="14">
        <v>52.0</v>
      </c>
      <c r="I49" s="14">
        <v>52.0</v>
      </c>
      <c r="J49" s="23">
        <v>51.0</v>
      </c>
      <c r="K49" s="14">
        <v>51.0</v>
      </c>
      <c r="L49" s="14">
        <v>52.0</v>
      </c>
      <c r="M49" s="22">
        <v>51.0</v>
      </c>
      <c r="N49" s="14"/>
      <c r="O49" s="14"/>
      <c r="P49" s="14">
        <v>98.0</v>
      </c>
      <c r="Q49" s="14">
        <v>110.0</v>
      </c>
      <c r="R49" s="24">
        <v>54.0</v>
      </c>
      <c r="S49" s="14"/>
      <c r="T49" s="14">
        <v>52.0</v>
      </c>
      <c r="U49" s="14">
        <v>133.0</v>
      </c>
      <c r="V49" s="29">
        <v>52.0</v>
      </c>
      <c r="W49" s="14">
        <v>51.0</v>
      </c>
      <c r="X49" s="14">
        <v>133.0</v>
      </c>
      <c r="Y49" s="14">
        <v>133.0</v>
      </c>
      <c r="Z49" s="25">
        <v>51.0</v>
      </c>
      <c r="AA49" s="25"/>
      <c r="AB49" s="25">
        <v>117.0</v>
      </c>
      <c r="AC49" s="14">
        <v>107.0</v>
      </c>
      <c r="AD49" s="14">
        <v>52.0</v>
      </c>
      <c r="AE49" s="14">
        <v>107.0</v>
      </c>
      <c r="AF49" s="14">
        <v>133.0</v>
      </c>
      <c r="AG49" s="14">
        <v>115.0</v>
      </c>
      <c r="AH49" s="14">
        <v>54.0</v>
      </c>
      <c r="AI49" s="14">
        <v>52.0</v>
      </c>
      <c r="AJ49" s="14">
        <v>88.0</v>
      </c>
      <c r="AK49" s="14">
        <v>52.0</v>
      </c>
      <c r="AL49" s="14">
        <v>107.0</v>
      </c>
      <c r="AM49" s="14">
        <v>95.0</v>
      </c>
      <c r="AN49" s="14">
        <v>107.0</v>
      </c>
      <c r="AO49" s="14">
        <v>51.0</v>
      </c>
      <c r="AP49" s="14">
        <v>99.0</v>
      </c>
      <c r="AQ49" s="14">
        <v>54.0</v>
      </c>
      <c r="AR49" s="14"/>
      <c r="AS49" s="14">
        <v>52.0</v>
      </c>
      <c r="AT49" s="14">
        <v>107.0</v>
      </c>
      <c r="AU49" s="14">
        <v>51.0</v>
      </c>
      <c r="AV49" s="14">
        <v>51.0</v>
      </c>
      <c r="AW49" s="14">
        <v>51.0</v>
      </c>
      <c r="AX49" s="14">
        <v>51.0</v>
      </c>
      <c r="AY49" s="14">
        <v>51.0</v>
      </c>
      <c r="AZ49" s="26"/>
      <c r="BA49" s="26"/>
      <c r="BB49" s="26"/>
      <c r="BC49" s="26"/>
    </row>
    <row r="50">
      <c r="A50" s="27">
        <f>HYPERLINK("https://arcprize.org/play?task=2013d3e2", 39)</f>
        <v>39</v>
      </c>
      <c r="B50" s="14">
        <v>60.0</v>
      </c>
      <c r="C50" s="14">
        <v>160.0</v>
      </c>
      <c r="D50" s="14">
        <v>60.0</v>
      </c>
      <c r="E50" s="14">
        <v>160.0</v>
      </c>
      <c r="F50" s="22">
        <v>60.0</v>
      </c>
      <c r="G50" s="14">
        <v>161.0</v>
      </c>
      <c r="H50" s="14">
        <v>74.0</v>
      </c>
      <c r="I50" s="14">
        <v>74.0</v>
      </c>
      <c r="J50" s="23">
        <v>61.0</v>
      </c>
      <c r="K50" s="14">
        <v>60.0</v>
      </c>
      <c r="L50" s="14">
        <v>67.0</v>
      </c>
      <c r="M50" s="22">
        <v>65.0</v>
      </c>
      <c r="N50" s="15"/>
      <c r="O50" s="15"/>
      <c r="P50" s="15"/>
      <c r="Q50" s="15">
        <v>131.0</v>
      </c>
      <c r="R50" s="24">
        <v>62.0</v>
      </c>
      <c r="S50" s="14">
        <v>85.0</v>
      </c>
      <c r="T50" s="14">
        <v>90.0</v>
      </c>
      <c r="U50" s="14">
        <v>256.0</v>
      </c>
      <c r="V50" s="29">
        <v>72.0</v>
      </c>
      <c r="W50" s="14">
        <v>63.0</v>
      </c>
      <c r="X50" s="14">
        <v>248.0</v>
      </c>
      <c r="Y50" s="14">
        <v>203.0</v>
      </c>
      <c r="Z50" s="25">
        <v>61.0</v>
      </c>
      <c r="AA50" s="25"/>
      <c r="AB50" s="25">
        <v>170.0</v>
      </c>
      <c r="AC50" s="14">
        <v>187.0</v>
      </c>
      <c r="AD50" s="14"/>
      <c r="AE50" s="14">
        <v>225.0</v>
      </c>
      <c r="AF50" s="14">
        <v>248.0</v>
      </c>
      <c r="AG50" s="14">
        <v>134.0</v>
      </c>
      <c r="AH50" s="14">
        <v>90.0</v>
      </c>
      <c r="AI50" s="14">
        <v>65.0</v>
      </c>
      <c r="AJ50" s="14">
        <v>87.0</v>
      </c>
      <c r="AK50" s="14"/>
      <c r="AL50" s="14">
        <v>62.0</v>
      </c>
      <c r="AM50" s="14">
        <v>61.0</v>
      </c>
      <c r="AN50" s="14">
        <v>163.0</v>
      </c>
      <c r="AO50" s="14">
        <v>61.0</v>
      </c>
      <c r="AP50" s="14">
        <v>88.0</v>
      </c>
      <c r="AQ50" s="14">
        <v>88.0</v>
      </c>
      <c r="AR50" s="14"/>
      <c r="AS50" s="14">
        <v>65.0</v>
      </c>
      <c r="AT50" s="14">
        <v>133.0</v>
      </c>
      <c r="AU50" s="14">
        <v>64.0</v>
      </c>
      <c r="AV50" s="14">
        <v>61.0</v>
      </c>
      <c r="AW50" s="14">
        <v>60.0</v>
      </c>
      <c r="AX50" s="14">
        <v>61.0</v>
      </c>
      <c r="AY50" s="14">
        <v>60.0</v>
      </c>
      <c r="AZ50" s="26"/>
      <c r="BA50" s="26"/>
      <c r="BB50" s="26"/>
      <c r="BC50" s="26"/>
    </row>
    <row r="51">
      <c r="A51" s="27">
        <f>HYPERLINK("https://arcprize.org/play?task=2204b7a8", 40)</f>
        <v>40</v>
      </c>
      <c r="B51" s="14">
        <v>63.0</v>
      </c>
      <c r="C51" s="14">
        <v>113.0</v>
      </c>
      <c r="D51" s="14">
        <v>69.0</v>
      </c>
      <c r="E51" s="14">
        <v>113.0</v>
      </c>
      <c r="F51" s="22">
        <v>69.0</v>
      </c>
      <c r="G51" s="14">
        <v>243.0</v>
      </c>
      <c r="H51" s="14">
        <v>75.0</v>
      </c>
      <c r="I51" s="14">
        <v>91.0</v>
      </c>
      <c r="J51" s="23">
        <v>72.0</v>
      </c>
      <c r="K51" s="14">
        <v>75.0</v>
      </c>
      <c r="L51" s="14">
        <v>76.0</v>
      </c>
      <c r="M51" s="22">
        <v>72.0</v>
      </c>
      <c r="N51" s="15"/>
      <c r="O51" s="15"/>
      <c r="P51" s="15"/>
      <c r="Q51" s="14">
        <v>88.0</v>
      </c>
      <c r="R51" s="24">
        <v>84.0</v>
      </c>
      <c r="S51" s="15"/>
      <c r="T51" s="15"/>
      <c r="U51" s="14">
        <v>272.0</v>
      </c>
      <c r="V51" s="29">
        <v>76.0</v>
      </c>
      <c r="W51" s="14">
        <v>75.0</v>
      </c>
      <c r="X51" s="14">
        <v>249.0</v>
      </c>
      <c r="Y51" s="14">
        <v>245.0</v>
      </c>
      <c r="Z51" s="25">
        <v>75.0</v>
      </c>
      <c r="AA51" s="25"/>
      <c r="AB51" s="25">
        <v>150.0</v>
      </c>
      <c r="AC51" s="14">
        <v>227.0</v>
      </c>
      <c r="AD51" s="14"/>
      <c r="AE51" s="14">
        <v>227.0</v>
      </c>
      <c r="AF51" s="14">
        <v>249.0</v>
      </c>
      <c r="AG51" s="14">
        <v>155.0</v>
      </c>
      <c r="AH51" s="14">
        <v>82.0</v>
      </c>
      <c r="AI51" s="14">
        <v>75.0</v>
      </c>
      <c r="AJ51" s="14">
        <v>76.0</v>
      </c>
      <c r="AK51" s="14"/>
      <c r="AL51" s="14">
        <v>113.0</v>
      </c>
      <c r="AM51" s="14">
        <v>96.0</v>
      </c>
      <c r="AN51" s="14">
        <v>113.0</v>
      </c>
      <c r="AO51" s="14">
        <v>75.0</v>
      </c>
      <c r="AP51" s="14">
        <v>110.0</v>
      </c>
      <c r="AQ51" s="14">
        <v>105.0</v>
      </c>
      <c r="AR51" s="14"/>
      <c r="AS51" s="14">
        <v>77.0</v>
      </c>
      <c r="AT51" s="14">
        <v>113.0</v>
      </c>
      <c r="AU51" s="14">
        <v>70.0</v>
      </c>
      <c r="AV51" s="14">
        <v>75.0</v>
      </c>
      <c r="AW51" s="14">
        <v>75.0</v>
      </c>
      <c r="AX51" s="14">
        <v>75.0</v>
      </c>
      <c r="AY51" s="14">
        <v>63.0</v>
      </c>
      <c r="AZ51" s="26"/>
      <c r="BA51" s="26"/>
      <c r="BB51" s="26"/>
      <c r="BC51" s="26"/>
    </row>
    <row r="52">
      <c r="A52" s="27">
        <f>HYPERLINK("https://arcprize.org/play?task=22168020", 41)</f>
        <v>41</v>
      </c>
      <c r="B52" s="14">
        <v>49.0</v>
      </c>
      <c r="C52" s="14">
        <v>63.0</v>
      </c>
      <c r="D52" s="14">
        <v>49.0</v>
      </c>
      <c r="E52" s="14">
        <v>64.0</v>
      </c>
      <c r="F52" s="22">
        <v>49.0</v>
      </c>
      <c r="G52" s="14">
        <v>67.0</v>
      </c>
      <c r="H52" s="14">
        <v>49.0</v>
      </c>
      <c r="I52" s="14">
        <v>67.0</v>
      </c>
      <c r="J52" s="23">
        <v>49.0</v>
      </c>
      <c r="K52" s="14">
        <v>49.0</v>
      </c>
      <c r="L52" s="14">
        <v>49.0</v>
      </c>
      <c r="M52" s="22">
        <v>49.0</v>
      </c>
      <c r="N52" s="14"/>
      <c r="O52" s="14"/>
      <c r="P52" s="14"/>
      <c r="Q52" s="14">
        <v>68.0</v>
      </c>
      <c r="R52" s="24">
        <v>49.0</v>
      </c>
      <c r="S52" s="14">
        <v>91.0</v>
      </c>
      <c r="T52" s="14">
        <v>49.0</v>
      </c>
      <c r="U52" s="14">
        <v>98.0</v>
      </c>
      <c r="V52" s="29">
        <v>49.0</v>
      </c>
      <c r="W52" s="14">
        <v>49.0</v>
      </c>
      <c r="X52" s="14">
        <v>98.0</v>
      </c>
      <c r="Y52" s="14">
        <v>98.0</v>
      </c>
      <c r="Z52" s="30">
        <v>49.0</v>
      </c>
      <c r="AA52" s="25"/>
      <c r="AB52" s="25">
        <v>98.0</v>
      </c>
      <c r="AC52" s="14">
        <v>67.0</v>
      </c>
      <c r="AD52" s="14">
        <v>66.0</v>
      </c>
      <c r="AE52" s="14">
        <v>67.0</v>
      </c>
      <c r="AF52" s="14">
        <v>98.0</v>
      </c>
      <c r="AG52" s="14">
        <v>98.0</v>
      </c>
      <c r="AH52" s="14">
        <v>50.0</v>
      </c>
      <c r="AI52" s="14">
        <v>63.0</v>
      </c>
      <c r="AJ52" s="14">
        <v>63.0</v>
      </c>
      <c r="AK52" s="14">
        <v>49.0</v>
      </c>
      <c r="AL52" s="14">
        <v>67.0</v>
      </c>
      <c r="AM52" s="14">
        <v>50.0</v>
      </c>
      <c r="AN52" s="14">
        <v>67.0</v>
      </c>
      <c r="AO52" s="14">
        <v>49.0</v>
      </c>
      <c r="AP52" s="14">
        <v>49.0</v>
      </c>
      <c r="AQ52" s="14">
        <v>64.0</v>
      </c>
      <c r="AR52" s="14"/>
      <c r="AS52" s="14">
        <v>49.0</v>
      </c>
      <c r="AT52" s="14">
        <v>64.0</v>
      </c>
      <c r="AU52" s="14">
        <v>49.0</v>
      </c>
      <c r="AV52" s="14">
        <v>49.0</v>
      </c>
      <c r="AW52" s="14">
        <v>49.0</v>
      </c>
      <c r="AX52" s="14">
        <v>49.0</v>
      </c>
      <c r="AY52" s="14">
        <v>49.0</v>
      </c>
      <c r="AZ52" s="26"/>
      <c r="BA52" s="26"/>
      <c r="BB52" s="26"/>
      <c r="BC52" s="26"/>
    </row>
    <row r="53">
      <c r="A53" s="27">
        <f>HYPERLINK("https://arcprize.org/play?task=22233c11", 42)</f>
        <v>42</v>
      </c>
      <c r="B53" s="14">
        <v>136.0</v>
      </c>
      <c r="C53" s="14">
        <v>306.0</v>
      </c>
      <c r="D53" s="14">
        <v>134.0</v>
      </c>
      <c r="E53" s="14">
        <v>341.0</v>
      </c>
      <c r="F53" s="22">
        <v>132.0</v>
      </c>
      <c r="G53" s="14">
        <v>365.0</v>
      </c>
      <c r="H53" s="15"/>
      <c r="I53" s="14">
        <v>286.0</v>
      </c>
      <c r="J53" s="23">
        <v>139.0</v>
      </c>
      <c r="K53" s="14">
        <v>235.0</v>
      </c>
      <c r="L53" s="14">
        <v>247.0</v>
      </c>
      <c r="M53" s="22">
        <v>138.0</v>
      </c>
      <c r="N53" s="15"/>
      <c r="O53" s="15"/>
      <c r="P53" s="15"/>
      <c r="Q53" s="14">
        <v>492.0</v>
      </c>
      <c r="R53" s="24">
        <v>181.0</v>
      </c>
      <c r="S53" s="15"/>
      <c r="T53" s="15"/>
      <c r="U53" s="15"/>
      <c r="V53" s="31"/>
      <c r="W53" s="15"/>
      <c r="X53" s="14"/>
      <c r="Y53" s="14">
        <v>405.0</v>
      </c>
      <c r="Z53" s="25">
        <v>146.0</v>
      </c>
      <c r="AA53" s="25"/>
      <c r="AB53" s="25">
        <v>348.0</v>
      </c>
      <c r="AC53" s="14">
        <v>341.0</v>
      </c>
      <c r="AD53" s="14"/>
      <c r="AE53" s="14">
        <v>344.0</v>
      </c>
      <c r="AF53" s="14">
        <v>530.0</v>
      </c>
      <c r="AG53" s="14">
        <v>359.0</v>
      </c>
      <c r="AH53" s="14">
        <v>310.0</v>
      </c>
      <c r="AI53" s="14">
        <v>248.0</v>
      </c>
      <c r="AJ53" s="14">
        <v>263.0</v>
      </c>
      <c r="AK53" s="14"/>
      <c r="AL53" s="14">
        <v>310.0</v>
      </c>
      <c r="AM53" s="14">
        <v>265.0</v>
      </c>
      <c r="AN53" s="14">
        <v>344.0</v>
      </c>
      <c r="AO53" s="14">
        <v>162.0</v>
      </c>
      <c r="AP53" s="14">
        <v>298.0</v>
      </c>
      <c r="AQ53" s="14">
        <v>235.0</v>
      </c>
      <c r="AR53" s="14"/>
      <c r="AS53" s="14">
        <v>196.0</v>
      </c>
      <c r="AT53" s="14">
        <v>341.0</v>
      </c>
      <c r="AU53" s="14">
        <v>138.0</v>
      </c>
      <c r="AV53" s="14">
        <v>158.0</v>
      </c>
      <c r="AW53" s="14">
        <v>235.0</v>
      </c>
      <c r="AX53" s="14">
        <v>165.0</v>
      </c>
      <c r="AY53" s="14">
        <v>132.0</v>
      </c>
      <c r="AZ53" s="26"/>
      <c r="BA53" s="26"/>
      <c r="BB53" s="26"/>
      <c r="BC53" s="26"/>
    </row>
    <row r="54">
      <c r="A54" s="27">
        <f>HYPERLINK("https://arcprize.org/play?task=2281f1f4", 43)</f>
        <v>43</v>
      </c>
      <c r="B54" s="14">
        <v>56.0</v>
      </c>
      <c r="C54" s="14">
        <v>123.0</v>
      </c>
      <c r="D54" s="14">
        <v>56.0</v>
      </c>
      <c r="E54" s="14">
        <v>123.0</v>
      </c>
      <c r="F54" s="22">
        <v>56.0</v>
      </c>
      <c r="G54" s="14">
        <v>114.0</v>
      </c>
      <c r="H54" s="14">
        <v>57.0</v>
      </c>
      <c r="I54" s="14">
        <v>62.0</v>
      </c>
      <c r="J54" s="23">
        <v>57.0</v>
      </c>
      <c r="K54" s="14">
        <v>57.0</v>
      </c>
      <c r="L54" s="14">
        <v>62.0</v>
      </c>
      <c r="M54" s="22">
        <v>56.0</v>
      </c>
      <c r="N54" s="14"/>
      <c r="O54" s="14"/>
      <c r="P54" s="14"/>
      <c r="Q54" s="14">
        <v>80.0</v>
      </c>
      <c r="R54" s="24">
        <v>61.0</v>
      </c>
      <c r="S54" s="14">
        <v>97.0</v>
      </c>
      <c r="T54" s="14">
        <v>75.0</v>
      </c>
      <c r="U54" s="14">
        <v>130.0</v>
      </c>
      <c r="V54" s="29">
        <v>62.0</v>
      </c>
      <c r="W54" s="14">
        <v>57.0</v>
      </c>
      <c r="X54" s="14">
        <v>155.0</v>
      </c>
      <c r="Y54" s="14">
        <v>154.0</v>
      </c>
      <c r="Z54" s="25">
        <v>58.0</v>
      </c>
      <c r="AA54" s="25"/>
      <c r="AB54" s="25">
        <v>71.0</v>
      </c>
      <c r="AC54" s="14">
        <v>153.0</v>
      </c>
      <c r="AD54" s="14"/>
      <c r="AE54" s="14">
        <v>154.0</v>
      </c>
      <c r="AF54" s="14">
        <v>155.0</v>
      </c>
      <c r="AG54" s="14">
        <v>84.0</v>
      </c>
      <c r="AH54" s="14">
        <v>58.0</v>
      </c>
      <c r="AI54" s="14">
        <v>63.0</v>
      </c>
      <c r="AJ54" s="14">
        <v>74.0</v>
      </c>
      <c r="AK54" s="14">
        <v>67.0</v>
      </c>
      <c r="AL54" s="14">
        <v>101.0</v>
      </c>
      <c r="AM54" s="14">
        <v>58.0</v>
      </c>
      <c r="AN54" s="14">
        <v>123.0</v>
      </c>
      <c r="AO54" s="14">
        <v>57.0</v>
      </c>
      <c r="AP54" s="14">
        <v>79.0</v>
      </c>
      <c r="AQ54" s="14">
        <v>60.0</v>
      </c>
      <c r="AR54" s="14"/>
      <c r="AS54" s="14">
        <v>67.0</v>
      </c>
      <c r="AT54" s="14">
        <v>123.0</v>
      </c>
      <c r="AU54" s="14">
        <v>59.0</v>
      </c>
      <c r="AV54" s="14">
        <v>57.0</v>
      </c>
      <c r="AW54" s="14">
        <v>57.0</v>
      </c>
      <c r="AX54" s="14">
        <v>57.0</v>
      </c>
      <c r="AY54" s="14">
        <v>56.0</v>
      </c>
      <c r="AZ54" s="26"/>
      <c r="BA54" s="26"/>
      <c r="BB54" s="26"/>
      <c r="BC54" s="26"/>
    </row>
    <row r="55">
      <c r="A55" s="27">
        <f>HYPERLINK("https://arcprize.org/play?task=228f6490", 44)</f>
        <v>44</v>
      </c>
      <c r="B55" s="14">
        <v>201.0</v>
      </c>
      <c r="C55" s="14">
        <v>623.0</v>
      </c>
      <c r="D55" s="14">
        <v>212.0</v>
      </c>
      <c r="E55" s="14">
        <v>580.0</v>
      </c>
      <c r="F55" s="22">
        <v>195.0</v>
      </c>
      <c r="G55" s="14">
        <v>623.0</v>
      </c>
      <c r="H55" s="15"/>
      <c r="I55" s="14">
        <v>383.0</v>
      </c>
      <c r="J55" s="23">
        <v>239.0</v>
      </c>
      <c r="K55" s="14">
        <v>245.0</v>
      </c>
      <c r="L55" s="14">
        <v>310.0</v>
      </c>
      <c r="M55" s="22">
        <v>243.0</v>
      </c>
      <c r="N55" s="15"/>
      <c r="O55" s="15"/>
      <c r="P55" s="15"/>
      <c r="Q55" s="15"/>
      <c r="R55" s="24">
        <v>265.0</v>
      </c>
      <c r="S55" s="15"/>
      <c r="T55" s="15"/>
      <c r="U55" s="15"/>
      <c r="V55" s="29"/>
      <c r="W55" s="15"/>
      <c r="X55" s="14"/>
      <c r="Y55" s="14">
        <v>540.0</v>
      </c>
      <c r="Z55" s="25">
        <v>274.0</v>
      </c>
      <c r="AA55" s="25"/>
      <c r="AB55" s="25">
        <v>623.0</v>
      </c>
      <c r="AC55" s="14">
        <v>580.0</v>
      </c>
      <c r="AD55" s="14"/>
      <c r="AE55" s="14">
        <v>364.0</v>
      </c>
      <c r="AF55" s="14">
        <v>518.0</v>
      </c>
      <c r="AG55" s="14">
        <v>694.0</v>
      </c>
      <c r="AH55" s="14">
        <v>457.0</v>
      </c>
      <c r="AI55" s="14">
        <v>358.0</v>
      </c>
      <c r="AJ55" s="14">
        <v>397.0</v>
      </c>
      <c r="AK55" s="14"/>
      <c r="AL55" s="14">
        <v>347.0</v>
      </c>
      <c r="AM55" s="14">
        <v>416.0</v>
      </c>
      <c r="AN55" s="14">
        <v>580.0</v>
      </c>
      <c r="AO55" s="14">
        <v>286.0</v>
      </c>
      <c r="AP55" s="14">
        <v>443.0</v>
      </c>
      <c r="AQ55" s="14">
        <v>318.0</v>
      </c>
      <c r="AR55" s="14"/>
      <c r="AS55" s="14">
        <v>276.0</v>
      </c>
      <c r="AT55" s="14">
        <v>580.0</v>
      </c>
      <c r="AU55" s="14">
        <v>223.0</v>
      </c>
      <c r="AV55" s="14">
        <v>262.0</v>
      </c>
      <c r="AW55" s="14">
        <v>290.0</v>
      </c>
      <c r="AX55" s="14">
        <v>253.0</v>
      </c>
      <c r="AY55" s="14">
        <v>191.0</v>
      </c>
      <c r="AZ55" s="26"/>
      <c r="BA55" s="26"/>
      <c r="BB55" s="26"/>
      <c r="BC55" s="26"/>
    </row>
    <row r="56">
      <c r="A56" s="27">
        <f>HYPERLINK("https://arcprize.org/play?task=22eb0ac0", 45)</f>
        <v>45</v>
      </c>
      <c r="B56" s="14">
        <v>45.0</v>
      </c>
      <c r="C56" s="14">
        <v>56.0</v>
      </c>
      <c r="D56" s="14">
        <v>45.0</v>
      </c>
      <c r="E56" s="14">
        <v>57.0</v>
      </c>
      <c r="F56" s="22">
        <v>45.0</v>
      </c>
      <c r="G56" s="14">
        <v>57.0</v>
      </c>
      <c r="H56" s="14">
        <v>45.0</v>
      </c>
      <c r="I56" s="14">
        <v>48.0</v>
      </c>
      <c r="J56" s="23">
        <v>45.0</v>
      </c>
      <c r="K56" s="14">
        <v>45.0</v>
      </c>
      <c r="L56" s="14">
        <v>47.0</v>
      </c>
      <c r="M56" s="22">
        <v>45.0</v>
      </c>
      <c r="N56" s="15">
        <v>52.0</v>
      </c>
      <c r="O56" s="15"/>
      <c r="P56" s="15">
        <v>55.0</v>
      </c>
      <c r="Q56" s="15">
        <v>59.0</v>
      </c>
      <c r="R56" s="24">
        <v>47.0</v>
      </c>
      <c r="S56" s="14">
        <v>50.0</v>
      </c>
      <c r="T56" s="14">
        <v>48.0</v>
      </c>
      <c r="U56" s="14">
        <v>137.0</v>
      </c>
      <c r="V56" s="29">
        <v>48.0</v>
      </c>
      <c r="W56" s="14">
        <v>47.0</v>
      </c>
      <c r="X56" s="14">
        <v>137.0</v>
      </c>
      <c r="Y56" s="14">
        <v>137.0</v>
      </c>
      <c r="Z56" s="25">
        <v>45.0</v>
      </c>
      <c r="AA56" s="25"/>
      <c r="AB56" s="25">
        <v>73.0</v>
      </c>
      <c r="AC56" s="14">
        <v>67.0</v>
      </c>
      <c r="AD56" s="14">
        <v>48.0</v>
      </c>
      <c r="AE56" s="14">
        <v>67.0</v>
      </c>
      <c r="AF56" s="14">
        <v>137.0</v>
      </c>
      <c r="AG56" s="14">
        <v>49.0</v>
      </c>
      <c r="AH56" s="14">
        <v>45.0</v>
      </c>
      <c r="AI56" s="14">
        <v>47.0</v>
      </c>
      <c r="AJ56" s="14">
        <v>52.0</v>
      </c>
      <c r="AK56" s="14">
        <v>47.0</v>
      </c>
      <c r="AL56" s="14">
        <v>67.0</v>
      </c>
      <c r="AM56" s="14">
        <v>49.0</v>
      </c>
      <c r="AN56" s="14">
        <v>56.0</v>
      </c>
      <c r="AO56" s="14">
        <v>45.0</v>
      </c>
      <c r="AP56" s="14">
        <v>47.0</v>
      </c>
      <c r="AQ56" s="14">
        <v>47.0</v>
      </c>
      <c r="AR56" s="14"/>
      <c r="AS56" s="14">
        <v>47.0</v>
      </c>
      <c r="AT56" s="14">
        <v>47.0</v>
      </c>
      <c r="AU56" s="14">
        <v>46.0</v>
      </c>
      <c r="AV56" s="14">
        <v>45.0</v>
      </c>
      <c r="AW56" s="14">
        <v>45.0</v>
      </c>
      <c r="AX56" s="14">
        <v>45.0</v>
      </c>
      <c r="AY56" s="14">
        <v>45.0</v>
      </c>
      <c r="AZ56" s="26"/>
      <c r="BA56" s="26"/>
      <c r="BB56" s="26"/>
      <c r="BC56" s="26"/>
    </row>
    <row r="57">
      <c r="A57" s="27">
        <f>HYPERLINK("https://arcprize.org/play?task=234bbc79", 46)</f>
        <v>46</v>
      </c>
      <c r="B57" s="14">
        <v>166.0</v>
      </c>
      <c r="C57" s="14">
        <v>338.0</v>
      </c>
      <c r="D57" s="14">
        <v>168.0</v>
      </c>
      <c r="E57" s="14">
        <v>328.0</v>
      </c>
      <c r="F57" s="22">
        <v>168.0</v>
      </c>
      <c r="G57" s="14">
        <v>362.0</v>
      </c>
      <c r="H57" s="15"/>
      <c r="I57" s="14">
        <v>217.0</v>
      </c>
      <c r="J57" s="23">
        <v>192.0</v>
      </c>
      <c r="K57" s="14">
        <v>211.0</v>
      </c>
      <c r="L57" s="14">
        <v>252.0</v>
      </c>
      <c r="M57" s="22">
        <v>224.0</v>
      </c>
      <c r="N57" s="15"/>
      <c r="O57" s="15"/>
      <c r="P57" s="15"/>
      <c r="Q57" s="15"/>
      <c r="R57" s="24">
        <v>206.0</v>
      </c>
      <c r="S57" s="15"/>
      <c r="T57" s="15"/>
      <c r="U57" s="15"/>
      <c r="V57" s="31"/>
      <c r="W57" s="15"/>
      <c r="X57" s="14"/>
      <c r="Y57" s="14">
        <v>588.0</v>
      </c>
      <c r="Z57" s="25">
        <v>216.0</v>
      </c>
      <c r="AA57" s="25"/>
      <c r="AB57" s="25">
        <v>372.0</v>
      </c>
      <c r="AC57" s="14">
        <v>328.0</v>
      </c>
      <c r="AD57" s="14"/>
      <c r="AE57" s="14">
        <v>328.0</v>
      </c>
      <c r="AF57" s="14">
        <v>559.0</v>
      </c>
      <c r="AG57" s="14">
        <v>263.0</v>
      </c>
      <c r="AH57" s="14">
        <v>331.0</v>
      </c>
      <c r="AI57" s="14">
        <v>297.0</v>
      </c>
      <c r="AJ57" s="14">
        <v>312.0</v>
      </c>
      <c r="AK57" s="14"/>
      <c r="AL57" s="14">
        <v>328.0</v>
      </c>
      <c r="AM57" s="14">
        <v>269.0</v>
      </c>
      <c r="AN57" s="14">
        <v>328.0</v>
      </c>
      <c r="AO57" s="14">
        <v>175.0</v>
      </c>
      <c r="AP57" s="14">
        <v>255.0</v>
      </c>
      <c r="AQ57" s="14">
        <v>276.0</v>
      </c>
      <c r="AR57" s="14"/>
      <c r="AS57" s="14">
        <v>240.0</v>
      </c>
      <c r="AT57" s="14">
        <v>266.0</v>
      </c>
      <c r="AU57" s="14">
        <v>181.0</v>
      </c>
      <c r="AV57" s="14">
        <v>191.0</v>
      </c>
      <c r="AW57" s="14">
        <v>192.0</v>
      </c>
      <c r="AX57" s="14">
        <v>208.0</v>
      </c>
      <c r="AY57" s="14">
        <v>166.0</v>
      </c>
      <c r="AZ57" s="26"/>
      <c r="BA57" s="26"/>
      <c r="BB57" s="26"/>
      <c r="BC57" s="26"/>
    </row>
    <row r="58">
      <c r="A58" s="27">
        <f>HYPERLINK("https://arcprize.org/play?task=23581191", 47)</f>
        <v>47</v>
      </c>
      <c r="B58" s="14">
        <v>55.0</v>
      </c>
      <c r="C58" s="14">
        <v>126.0</v>
      </c>
      <c r="D58" s="14">
        <v>55.0</v>
      </c>
      <c r="E58" s="14">
        <v>126.0</v>
      </c>
      <c r="F58" s="22">
        <v>55.0</v>
      </c>
      <c r="G58" s="14">
        <v>203.0</v>
      </c>
      <c r="H58" s="14">
        <v>55.0</v>
      </c>
      <c r="I58" s="14">
        <v>72.0</v>
      </c>
      <c r="J58" s="23">
        <v>55.0</v>
      </c>
      <c r="K58" s="14">
        <v>56.0</v>
      </c>
      <c r="L58" s="14">
        <v>56.0</v>
      </c>
      <c r="M58" s="22">
        <v>55.0</v>
      </c>
      <c r="N58" s="15"/>
      <c r="O58" s="15"/>
      <c r="P58" s="15"/>
      <c r="Q58" s="14">
        <v>207.0</v>
      </c>
      <c r="R58" s="24">
        <v>59.0</v>
      </c>
      <c r="S58" s="14">
        <v>80.0</v>
      </c>
      <c r="T58" s="14">
        <v>56.0</v>
      </c>
      <c r="U58" s="14">
        <v>192.0</v>
      </c>
      <c r="V58" s="29">
        <v>66.0</v>
      </c>
      <c r="W58" s="14">
        <v>55.0</v>
      </c>
      <c r="X58" s="14">
        <v>203.0</v>
      </c>
      <c r="Y58" s="14">
        <v>203.0</v>
      </c>
      <c r="Z58" s="25">
        <v>55.0</v>
      </c>
      <c r="AA58" s="25"/>
      <c r="AB58" s="25">
        <v>197.0</v>
      </c>
      <c r="AC58" s="14">
        <v>194.0</v>
      </c>
      <c r="AD58" s="14"/>
      <c r="AE58" s="14">
        <v>194.0</v>
      </c>
      <c r="AF58" s="14">
        <v>203.0</v>
      </c>
      <c r="AG58" s="14">
        <v>164.0</v>
      </c>
      <c r="AH58" s="14">
        <v>56.0</v>
      </c>
      <c r="AI58" s="14">
        <v>78.0</v>
      </c>
      <c r="AJ58" s="14">
        <v>78.0</v>
      </c>
      <c r="AK58" s="14">
        <v>59.0</v>
      </c>
      <c r="AL58" s="14">
        <v>112.0</v>
      </c>
      <c r="AM58" s="14">
        <v>69.0</v>
      </c>
      <c r="AN58" s="14">
        <v>128.0</v>
      </c>
      <c r="AO58" s="14">
        <v>56.0</v>
      </c>
      <c r="AP58" s="14">
        <v>58.0</v>
      </c>
      <c r="AQ58" s="14">
        <v>79.0</v>
      </c>
      <c r="AR58" s="14"/>
      <c r="AS58" s="14">
        <v>78.0</v>
      </c>
      <c r="AT58" s="14">
        <v>126.0</v>
      </c>
      <c r="AU58" s="14">
        <v>56.0</v>
      </c>
      <c r="AV58" s="14">
        <v>56.0</v>
      </c>
      <c r="AW58" s="14">
        <v>55.0</v>
      </c>
      <c r="AX58" s="14">
        <v>58.0</v>
      </c>
      <c r="AY58" s="14">
        <v>55.0</v>
      </c>
      <c r="AZ58" s="26"/>
      <c r="BA58" s="26"/>
      <c r="BB58" s="26"/>
      <c r="BC58" s="26"/>
    </row>
    <row r="59">
      <c r="A59" s="27">
        <f>HYPERLINK("https://arcprize.org/play?task=239be575", 48)</f>
        <v>48</v>
      </c>
      <c r="B59" s="14">
        <v>95.0</v>
      </c>
      <c r="C59" s="14">
        <v>180.0</v>
      </c>
      <c r="D59" s="14">
        <v>118.0</v>
      </c>
      <c r="E59" s="14">
        <v>180.0</v>
      </c>
      <c r="F59" s="22">
        <v>92.0</v>
      </c>
      <c r="G59" s="14">
        <v>348.0</v>
      </c>
      <c r="H59" s="14"/>
      <c r="I59" s="14">
        <v>131.0</v>
      </c>
      <c r="J59" s="23">
        <v>128.0</v>
      </c>
      <c r="K59" s="14">
        <v>137.0</v>
      </c>
      <c r="L59" s="14">
        <v>180.0</v>
      </c>
      <c r="M59" s="22">
        <v>132.0</v>
      </c>
      <c r="N59" s="15"/>
      <c r="O59" s="15"/>
      <c r="P59" s="15"/>
      <c r="Q59" s="14">
        <v>276.0</v>
      </c>
      <c r="R59" s="24">
        <v>127.0</v>
      </c>
      <c r="S59" s="15"/>
      <c r="T59" s="15"/>
      <c r="U59" s="14">
        <v>520.0</v>
      </c>
      <c r="V59" s="31"/>
      <c r="W59" s="15"/>
      <c r="X59" s="14">
        <v>355.0</v>
      </c>
      <c r="Y59" s="14">
        <v>284.0</v>
      </c>
      <c r="Z59" s="25">
        <v>128.0</v>
      </c>
      <c r="AA59" s="25"/>
      <c r="AB59" s="25">
        <v>296.0</v>
      </c>
      <c r="AC59" s="14">
        <v>180.0</v>
      </c>
      <c r="AD59" s="14"/>
      <c r="AE59" s="14">
        <v>181.0</v>
      </c>
      <c r="AF59" s="14">
        <v>355.0</v>
      </c>
      <c r="AG59" s="14">
        <v>354.0</v>
      </c>
      <c r="AH59" s="14">
        <v>214.0</v>
      </c>
      <c r="AI59" s="14">
        <v>180.0</v>
      </c>
      <c r="AJ59" s="14">
        <v>231.0</v>
      </c>
      <c r="AK59" s="14"/>
      <c r="AL59" s="14">
        <v>180.0</v>
      </c>
      <c r="AM59" s="14">
        <v>179.0</v>
      </c>
      <c r="AN59" s="14">
        <v>180.0</v>
      </c>
      <c r="AO59" s="14">
        <v>129.0</v>
      </c>
      <c r="AP59" s="14">
        <v>174.0</v>
      </c>
      <c r="AQ59" s="14">
        <v>153.0</v>
      </c>
      <c r="AR59" s="14"/>
      <c r="AS59" s="14">
        <v>134.0</v>
      </c>
      <c r="AT59" s="14">
        <v>180.0</v>
      </c>
      <c r="AU59" s="14">
        <v>125.0</v>
      </c>
      <c r="AV59" s="14">
        <v>129.0</v>
      </c>
      <c r="AW59" s="14">
        <v>118.0</v>
      </c>
      <c r="AX59" s="14">
        <v>141.0</v>
      </c>
      <c r="AY59" s="14">
        <v>89.0</v>
      </c>
      <c r="AZ59" s="26"/>
      <c r="BA59" s="26"/>
      <c r="BB59" s="26"/>
      <c r="BC59" s="26"/>
    </row>
    <row r="60">
      <c r="A60" s="27">
        <f>HYPERLINK("https://arcprize.org/play?task=23b5c85d", 49)</f>
        <v>49</v>
      </c>
      <c r="B60" s="14">
        <v>81.0</v>
      </c>
      <c r="C60" s="14">
        <v>187.0</v>
      </c>
      <c r="D60" s="14">
        <v>81.0</v>
      </c>
      <c r="E60" s="14">
        <v>187.0</v>
      </c>
      <c r="F60" s="22">
        <v>81.0</v>
      </c>
      <c r="G60" s="14">
        <v>186.0</v>
      </c>
      <c r="H60" s="14">
        <v>97.0</v>
      </c>
      <c r="I60" s="14">
        <v>101.0</v>
      </c>
      <c r="J60" s="23">
        <v>87.0</v>
      </c>
      <c r="K60" s="14">
        <v>87.0</v>
      </c>
      <c r="L60" s="14">
        <v>86.0</v>
      </c>
      <c r="M60" s="22">
        <v>86.0</v>
      </c>
      <c r="N60" s="15"/>
      <c r="O60" s="15"/>
      <c r="P60" s="15"/>
      <c r="Q60" s="15">
        <v>124.0</v>
      </c>
      <c r="R60" s="24">
        <v>98.0</v>
      </c>
      <c r="S60" s="14">
        <v>91.0</v>
      </c>
      <c r="T60" s="15"/>
      <c r="U60" s="14">
        <v>324.0</v>
      </c>
      <c r="V60" s="29">
        <v>86.0</v>
      </c>
      <c r="W60" s="14">
        <v>82.0</v>
      </c>
      <c r="X60" s="14">
        <v>312.0</v>
      </c>
      <c r="Y60" s="14">
        <v>302.0</v>
      </c>
      <c r="Z60" s="25">
        <v>86.0</v>
      </c>
      <c r="AA60" s="25"/>
      <c r="AB60" s="25">
        <v>174.0</v>
      </c>
      <c r="AC60" s="14">
        <v>248.0</v>
      </c>
      <c r="AD60" s="14"/>
      <c r="AE60" s="14">
        <v>278.0</v>
      </c>
      <c r="AF60" s="14">
        <v>312.0</v>
      </c>
      <c r="AG60" s="14">
        <v>241.0</v>
      </c>
      <c r="AH60" s="14">
        <v>101.0</v>
      </c>
      <c r="AI60" s="14">
        <v>105.0</v>
      </c>
      <c r="AJ60" s="14">
        <v>163.0</v>
      </c>
      <c r="AK60" s="14"/>
      <c r="AL60" s="14">
        <v>215.0</v>
      </c>
      <c r="AM60" s="14">
        <v>86.0</v>
      </c>
      <c r="AN60" s="14">
        <v>246.0</v>
      </c>
      <c r="AO60" s="14">
        <v>81.0</v>
      </c>
      <c r="AP60" s="14">
        <v>100.0</v>
      </c>
      <c r="AQ60" s="14">
        <v>104.0</v>
      </c>
      <c r="AR60" s="14"/>
      <c r="AS60" s="14">
        <v>100.0</v>
      </c>
      <c r="AT60" s="14">
        <v>187.0</v>
      </c>
      <c r="AU60" s="14">
        <v>81.0</v>
      </c>
      <c r="AV60" s="14">
        <v>81.0</v>
      </c>
      <c r="AW60" s="14">
        <v>81.0</v>
      </c>
      <c r="AX60" s="14">
        <v>86.0</v>
      </c>
      <c r="AY60" s="14">
        <v>81.0</v>
      </c>
      <c r="AZ60" s="26"/>
      <c r="BA60" s="26"/>
      <c r="BB60" s="26"/>
      <c r="BC60" s="26"/>
    </row>
    <row r="61">
      <c r="A61" s="27">
        <f>HYPERLINK("https://arcprize.org/play?task=253bf280", 50)</f>
        <v>50</v>
      </c>
      <c r="B61" s="14">
        <v>84.0</v>
      </c>
      <c r="C61" s="14">
        <v>192.0</v>
      </c>
      <c r="D61" s="14">
        <v>84.0</v>
      </c>
      <c r="E61" s="14">
        <v>192.0</v>
      </c>
      <c r="F61" s="22">
        <v>83.0</v>
      </c>
      <c r="G61" s="14">
        <v>266.0</v>
      </c>
      <c r="H61" s="14"/>
      <c r="I61" s="14">
        <v>101.0</v>
      </c>
      <c r="J61" s="23">
        <v>100.0</v>
      </c>
      <c r="K61" s="14">
        <v>102.0</v>
      </c>
      <c r="L61" s="14">
        <v>100.0</v>
      </c>
      <c r="M61" s="22">
        <v>96.0</v>
      </c>
      <c r="N61" s="15"/>
      <c r="O61" s="15"/>
      <c r="P61" s="15"/>
      <c r="Q61" s="14">
        <v>118.0</v>
      </c>
      <c r="R61" s="24">
        <v>102.0</v>
      </c>
      <c r="S61" s="15"/>
      <c r="T61" s="15"/>
      <c r="U61" s="14">
        <v>292.0</v>
      </c>
      <c r="V61" s="29">
        <v>102.0</v>
      </c>
      <c r="W61" s="14">
        <v>94.0</v>
      </c>
      <c r="X61" s="14">
        <v>266.0</v>
      </c>
      <c r="Y61" s="14">
        <v>219.0</v>
      </c>
      <c r="Z61" s="25">
        <v>101.0</v>
      </c>
      <c r="AA61" s="25"/>
      <c r="AB61" s="25">
        <v>217.0</v>
      </c>
      <c r="AC61" s="14">
        <v>248.0</v>
      </c>
      <c r="AD61" s="14"/>
      <c r="AE61" s="14">
        <v>248.0</v>
      </c>
      <c r="AF61" s="14">
        <v>266.0</v>
      </c>
      <c r="AG61" s="14">
        <v>231.0</v>
      </c>
      <c r="AH61" s="14">
        <v>103.0</v>
      </c>
      <c r="AI61" s="14">
        <v>104.0</v>
      </c>
      <c r="AJ61" s="14">
        <v>116.0</v>
      </c>
      <c r="AK61" s="14"/>
      <c r="AL61" s="14">
        <v>159.0</v>
      </c>
      <c r="AM61" s="14">
        <v>136.0</v>
      </c>
      <c r="AN61" s="14">
        <v>248.0</v>
      </c>
      <c r="AO61" s="14">
        <v>90.0</v>
      </c>
      <c r="AP61" s="14">
        <v>139.0</v>
      </c>
      <c r="AQ61" s="14">
        <v>142.0</v>
      </c>
      <c r="AR61" s="14"/>
      <c r="AS61" s="14">
        <v>97.0</v>
      </c>
      <c r="AT61" s="14">
        <v>156.0</v>
      </c>
      <c r="AU61" s="14">
        <v>92.0</v>
      </c>
      <c r="AV61" s="14">
        <v>90.0</v>
      </c>
      <c r="AW61" s="14">
        <v>91.0</v>
      </c>
      <c r="AX61" s="14">
        <v>100.0</v>
      </c>
      <c r="AY61" s="14">
        <v>83.0</v>
      </c>
      <c r="AZ61" s="26"/>
      <c r="BA61" s="26"/>
      <c r="BB61" s="26"/>
      <c r="BC61" s="26"/>
    </row>
    <row r="62">
      <c r="A62" s="27">
        <f>HYPERLINK("https://arcprize.org/play?task=25d487eb", 51)</f>
        <v>51</v>
      </c>
      <c r="B62" s="14">
        <v>114.0</v>
      </c>
      <c r="C62" s="14">
        <v>287.0</v>
      </c>
      <c r="D62" s="14">
        <v>111.0</v>
      </c>
      <c r="E62" s="14">
        <v>283.0</v>
      </c>
      <c r="F62" s="22">
        <v>113.0</v>
      </c>
      <c r="G62" s="14">
        <v>311.0</v>
      </c>
      <c r="H62" s="15"/>
      <c r="I62" s="14">
        <v>145.0</v>
      </c>
      <c r="J62" s="23">
        <v>115.0</v>
      </c>
      <c r="K62" s="14">
        <v>157.0</v>
      </c>
      <c r="L62" s="14">
        <v>148.0</v>
      </c>
      <c r="M62" s="22">
        <v>138.0</v>
      </c>
      <c r="N62" s="15"/>
      <c r="O62" s="15"/>
      <c r="P62" s="15"/>
      <c r="Q62" s="14">
        <v>273.0</v>
      </c>
      <c r="R62" s="24">
        <v>165.0</v>
      </c>
      <c r="S62" s="15"/>
      <c r="T62" s="15"/>
      <c r="U62" s="14">
        <v>422.0</v>
      </c>
      <c r="V62" s="31"/>
      <c r="W62" s="14">
        <v>121.0</v>
      </c>
      <c r="X62" s="14">
        <v>328.0</v>
      </c>
      <c r="Y62" s="14">
        <v>325.0</v>
      </c>
      <c r="Z62" s="25">
        <v>121.0</v>
      </c>
      <c r="AA62" s="25"/>
      <c r="AB62" s="25">
        <v>302.0</v>
      </c>
      <c r="AC62" s="14">
        <v>303.0</v>
      </c>
      <c r="AD62" s="14"/>
      <c r="AE62" s="14">
        <v>303.0</v>
      </c>
      <c r="AF62" s="14">
        <v>328.0</v>
      </c>
      <c r="AG62" s="14">
        <v>190.0</v>
      </c>
      <c r="AH62" s="14">
        <v>191.0</v>
      </c>
      <c r="AI62" s="14">
        <v>195.0</v>
      </c>
      <c r="AJ62" s="14">
        <v>206.0</v>
      </c>
      <c r="AK62" s="14"/>
      <c r="AL62" s="14">
        <v>280.0</v>
      </c>
      <c r="AM62" s="14">
        <v>186.0</v>
      </c>
      <c r="AN62" s="14">
        <v>303.0</v>
      </c>
      <c r="AO62" s="14">
        <v>115.0</v>
      </c>
      <c r="AP62" s="14">
        <v>246.0</v>
      </c>
      <c r="AQ62" s="14">
        <v>205.0</v>
      </c>
      <c r="AR62" s="14"/>
      <c r="AS62" s="14">
        <v>148.0</v>
      </c>
      <c r="AT62" s="14">
        <v>278.0</v>
      </c>
      <c r="AU62" s="14">
        <v>121.0</v>
      </c>
      <c r="AV62" s="14">
        <v>139.0</v>
      </c>
      <c r="AW62" s="14">
        <v>119.0</v>
      </c>
      <c r="AX62" s="14">
        <v>118.0</v>
      </c>
      <c r="AY62" s="14">
        <v>111.0</v>
      </c>
      <c r="AZ62" s="26"/>
      <c r="BA62" s="26"/>
      <c r="BB62" s="26"/>
      <c r="BC62" s="26"/>
    </row>
    <row r="63">
      <c r="A63" s="27">
        <f>HYPERLINK("https://arcprize.org/play?task=25d8a9c8", 52)</f>
        <v>52</v>
      </c>
      <c r="B63" s="14">
        <v>40.0</v>
      </c>
      <c r="C63" s="14">
        <v>42.0</v>
      </c>
      <c r="D63" s="14">
        <v>40.0</v>
      </c>
      <c r="E63" s="14">
        <v>42.0</v>
      </c>
      <c r="F63" s="22">
        <v>40.0</v>
      </c>
      <c r="G63" s="14">
        <v>41.0</v>
      </c>
      <c r="H63" s="14">
        <v>40.0</v>
      </c>
      <c r="I63" s="14">
        <v>41.0</v>
      </c>
      <c r="J63" s="23">
        <v>40.0</v>
      </c>
      <c r="K63" s="14">
        <v>40.0</v>
      </c>
      <c r="L63" s="14">
        <v>40.0</v>
      </c>
      <c r="M63" s="22">
        <v>40.0</v>
      </c>
      <c r="N63" s="15">
        <v>41.0</v>
      </c>
      <c r="O63" s="15"/>
      <c r="P63" s="15">
        <v>44.0</v>
      </c>
      <c r="Q63" s="15">
        <v>44.0</v>
      </c>
      <c r="R63" s="24">
        <v>41.0</v>
      </c>
      <c r="S63" s="15"/>
      <c r="T63" s="14">
        <v>49.0</v>
      </c>
      <c r="U63" s="14">
        <v>54.0</v>
      </c>
      <c r="V63" s="29">
        <v>40.0</v>
      </c>
      <c r="W63" s="14">
        <v>40.0</v>
      </c>
      <c r="X63" s="14">
        <v>54.0</v>
      </c>
      <c r="Y63" s="14">
        <v>53.0</v>
      </c>
      <c r="Z63" s="25">
        <v>40.0</v>
      </c>
      <c r="AA63" s="25"/>
      <c r="AB63" s="25">
        <v>48.0</v>
      </c>
      <c r="AC63" s="14">
        <v>46.0</v>
      </c>
      <c r="AD63" s="14">
        <v>40.0</v>
      </c>
      <c r="AE63" s="14">
        <v>46.0</v>
      </c>
      <c r="AF63" s="14">
        <v>54.0</v>
      </c>
      <c r="AG63" s="14">
        <v>41.0</v>
      </c>
      <c r="AH63" s="14">
        <v>41.0</v>
      </c>
      <c r="AI63" s="14">
        <v>42.0</v>
      </c>
      <c r="AJ63" s="14">
        <v>42.0</v>
      </c>
      <c r="AK63" s="14">
        <v>41.0</v>
      </c>
      <c r="AL63" s="14">
        <v>43.0</v>
      </c>
      <c r="AM63" s="14">
        <v>41.0</v>
      </c>
      <c r="AN63" s="14">
        <v>46.0</v>
      </c>
      <c r="AO63" s="14">
        <v>40.0</v>
      </c>
      <c r="AP63" s="14">
        <v>41.0</v>
      </c>
      <c r="AQ63" s="14">
        <v>41.0</v>
      </c>
      <c r="AR63" s="14"/>
      <c r="AS63" s="14">
        <v>42.0</v>
      </c>
      <c r="AT63" s="14">
        <v>42.0</v>
      </c>
      <c r="AU63" s="14">
        <v>40.0</v>
      </c>
      <c r="AV63" s="14">
        <v>40.0</v>
      </c>
      <c r="AW63" s="14">
        <v>40.0</v>
      </c>
      <c r="AX63" s="14">
        <v>40.0</v>
      </c>
      <c r="AY63" s="14">
        <v>40.0</v>
      </c>
      <c r="AZ63" s="26"/>
      <c r="BA63" s="26"/>
      <c r="BB63" s="26"/>
      <c r="BC63" s="26"/>
    </row>
    <row r="64">
      <c r="A64" s="27">
        <f>HYPERLINK("https://arcprize.org/play?task=25ff71a9", 53)</f>
        <v>53</v>
      </c>
      <c r="B64" s="14">
        <v>21.0</v>
      </c>
      <c r="C64" s="14">
        <v>24.0</v>
      </c>
      <c r="D64" s="14">
        <v>21.0</v>
      </c>
      <c r="E64" s="14">
        <v>24.0</v>
      </c>
      <c r="F64" s="22">
        <v>21.0</v>
      </c>
      <c r="G64" s="14">
        <v>21.0</v>
      </c>
      <c r="H64" s="14">
        <v>21.0</v>
      </c>
      <c r="I64" s="14">
        <v>22.0</v>
      </c>
      <c r="J64" s="23">
        <v>21.0</v>
      </c>
      <c r="K64" s="14">
        <v>21.0</v>
      </c>
      <c r="L64" s="14">
        <v>21.0</v>
      </c>
      <c r="M64" s="22">
        <v>21.0</v>
      </c>
      <c r="N64" s="15">
        <v>24.0</v>
      </c>
      <c r="O64" s="15"/>
      <c r="P64" s="15">
        <v>25.0</v>
      </c>
      <c r="Q64" s="15">
        <v>24.0</v>
      </c>
      <c r="R64" s="24">
        <v>22.0</v>
      </c>
      <c r="S64" s="15"/>
      <c r="T64" s="14">
        <v>21.0</v>
      </c>
      <c r="U64" s="14">
        <v>58.0</v>
      </c>
      <c r="V64" s="29">
        <v>21.0</v>
      </c>
      <c r="W64" s="14">
        <v>21.0</v>
      </c>
      <c r="X64" s="14">
        <v>58.0</v>
      </c>
      <c r="Y64" s="14">
        <v>24.0</v>
      </c>
      <c r="Z64" s="30">
        <v>21.0</v>
      </c>
      <c r="AA64" s="25"/>
      <c r="AB64" s="25">
        <v>34.0</v>
      </c>
      <c r="AC64" s="14">
        <v>24.0</v>
      </c>
      <c r="AD64" s="14">
        <v>21.0</v>
      </c>
      <c r="AE64" s="14">
        <v>22.0</v>
      </c>
      <c r="AF64" s="14">
        <v>58.0</v>
      </c>
      <c r="AG64" s="14">
        <v>21.0</v>
      </c>
      <c r="AH64" s="14">
        <v>21.0</v>
      </c>
      <c r="AI64" s="14">
        <v>21.0</v>
      </c>
      <c r="AJ64" s="14">
        <v>24.0</v>
      </c>
      <c r="AK64" s="14">
        <v>21.0</v>
      </c>
      <c r="AL64" s="14">
        <v>24.0</v>
      </c>
      <c r="AM64" s="14">
        <v>22.0</v>
      </c>
      <c r="AN64" s="14">
        <v>24.0</v>
      </c>
      <c r="AO64" s="14">
        <v>21.0</v>
      </c>
      <c r="AP64" s="14">
        <v>21.0</v>
      </c>
      <c r="AQ64" s="14">
        <v>21.0</v>
      </c>
      <c r="AR64" s="14"/>
      <c r="AS64" s="14">
        <v>22.0</v>
      </c>
      <c r="AT64" s="14">
        <v>24.0</v>
      </c>
      <c r="AU64" s="14">
        <v>21.0</v>
      </c>
      <c r="AV64" s="14">
        <v>21.0</v>
      </c>
      <c r="AW64" s="14">
        <v>21.0</v>
      </c>
      <c r="AX64" s="14">
        <v>21.0</v>
      </c>
      <c r="AY64" s="14">
        <v>21.0</v>
      </c>
      <c r="AZ64" s="26"/>
      <c r="BA64" s="26"/>
      <c r="BB64" s="26"/>
      <c r="BC64" s="26"/>
    </row>
    <row r="65">
      <c r="A65" s="27">
        <f>HYPERLINK("https://arcprize.org/play?task=264363fd", 54)</f>
        <v>54</v>
      </c>
      <c r="B65" s="14">
        <v>266.0</v>
      </c>
      <c r="C65" s="14">
        <v>498.0</v>
      </c>
      <c r="D65" s="14">
        <v>270.0</v>
      </c>
      <c r="E65" s="14">
        <v>492.0</v>
      </c>
      <c r="F65" s="22">
        <v>279.0</v>
      </c>
      <c r="G65" s="14">
        <v>543.0</v>
      </c>
      <c r="H65" s="15"/>
      <c r="I65" s="14">
        <v>612.0</v>
      </c>
      <c r="J65" s="23">
        <v>309.0</v>
      </c>
      <c r="K65" s="14">
        <v>342.0</v>
      </c>
      <c r="L65" s="14">
        <v>414.0</v>
      </c>
      <c r="M65" s="22">
        <v>308.0</v>
      </c>
      <c r="N65" s="15"/>
      <c r="O65" s="15"/>
      <c r="P65" s="15"/>
      <c r="Q65" s="15"/>
      <c r="R65" s="24">
        <v>383.0</v>
      </c>
      <c r="S65" s="15"/>
      <c r="T65" s="15"/>
      <c r="U65" s="15"/>
      <c r="V65" s="31"/>
      <c r="W65" s="15"/>
      <c r="X65" s="14"/>
      <c r="Y65" s="14">
        <v>785.0</v>
      </c>
      <c r="Z65" s="32">
        <v>308.0</v>
      </c>
      <c r="AA65" s="25"/>
      <c r="AB65" s="25">
        <v>555.0</v>
      </c>
      <c r="AC65" s="14">
        <v>502.0</v>
      </c>
      <c r="AD65" s="14"/>
      <c r="AE65" s="14">
        <v>504.0</v>
      </c>
      <c r="AF65" s="14">
        <v>925.0</v>
      </c>
      <c r="AG65" s="14"/>
      <c r="AH65" s="14">
        <v>393.0</v>
      </c>
      <c r="AI65" s="14">
        <v>342.0</v>
      </c>
      <c r="AJ65" s="14">
        <v>352.0</v>
      </c>
      <c r="AK65" s="14">
        <v>353.0</v>
      </c>
      <c r="AL65" s="14">
        <v>489.0</v>
      </c>
      <c r="AM65" s="14">
        <v>384.0</v>
      </c>
      <c r="AN65" s="14">
        <v>504.0</v>
      </c>
      <c r="AO65" s="14">
        <v>277.0</v>
      </c>
      <c r="AP65" s="14">
        <v>425.0</v>
      </c>
      <c r="AQ65" s="14">
        <v>415.0</v>
      </c>
      <c r="AR65" s="14"/>
      <c r="AS65" s="14">
        <v>367.0</v>
      </c>
      <c r="AT65" s="14">
        <v>496.0</v>
      </c>
      <c r="AU65" s="14">
        <v>298.0</v>
      </c>
      <c r="AV65" s="14">
        <v>302.0</v>
      </c>
      <c r="AW65" s="14">
        <v>335.0</v>
      </c>
      <c r="AX65" s="14">
        <v>316.0</v>
      </c>
      <c r="AY65" s="14">
        <v>261.0</v>
      </c>
      <c r="AZ65" s="26"/>
      <c r="BA65" s="26"/>
      <c r="BB65" s="26"/>
      <c r="BC65" s="26"/>
    </row>
    <row r="66">
      <c r="A66" s="27">
        <f>HYPERLINK("https://arcprize.org/play?task=272f95fa", 55)</f>
        <v>55</v>
      </c>
      <c r="B66" s="14">
        <v>79.0</v>
      </c>
      <c r="C66" s="14">
        <v>235.0</v>
      </c>
      <c r="D66" s="14">
        <v>77.0</v>
      </c>
      <c r="E66" s="14">
        <v>233.0</v>
      </c>
      <c r="F66" s="22">
        <v>79.0</v>
      </c>
      <c r="G66" s="14">
        <v>263.0</v>
      </c>
      <c r="H66" s="14"/>
      <c r="I66" s="14">
        <v>140.0</v>
      </c>
      <c r="J66" s="23">
        <v>85.0</v>
      </c>
      <c r="K66" s="14">
        <v>88.0</v>
      </c>
      <c r="L66" s="14">
        <v>105.0</v>
      </c>
      <c r="M66" s="22">
        <v>105.0</v>
      </c>
      <c r="N66" s="14"/>
      <c r="O66" s="14"/>
      <c r="P66" s="14"/>
      <c r="Q66" s="14">
        <v>235.0</v>
      </c>
      <c r="R66" s="24">
        <v>107.0</v>
      </c>
      <c r="S66" s="14">
        <v>118.0</v>
      </c>
      <c r="T66" s="14"/>
      <c r="U66" s="14">
        <v>362.0</v>
      </c>
      <c r="V66" s="29">
        <v>116.0</v>
      </c>
      <c r="W66" s="14">
        <v>97.0</v>
      </c>
      <c r="X66" s="14">
        <v>263.0</v>
      </c>
      <c r="Y66" s="14">
        <v>265.0</v>
      </c>
      <c r="Z66" s="25">
        <v>111.0</v>
      </c>
      <c r="AA66" s="25"/>
      <c r="AB66" s="25">
        <v>217.0</v>
      </c>
      <c r="AC66" s="14">
        <v>245.0</v>
      </c>
      <c r="AD66" s="14"/>
      <c r="AE66" s="14">
        <v>245.0</v>
      </c>
      <c r="AF66" s="14">
        <v>263.0</v>
      </c>
      <c r="AG66" s="14">
        <v>159.0</v>
      </c>
      <c r="AH66" s="14">
        <v>128.0</v>
      </c>
      <c r="AI66" s="14">
        <v>122.0</v>
      </c>
      <c r="AJ66" s="14">
        <v>158.0</v>
      </c>
      <c r="AK66" s="14">
        <v>85.0</v>
      </c>
      <c r="AL66" s="14">
        <v>195.0</v>
      </c>
      <c r="AM66" s="14">
        <v>93.0</v>
      </c>
      <c r="AN66" s="14">
        <v>245.0</v>
      </c>
      <c r="AO66" s="14">
        <v>82.0</v>
      </c>
      <c r="AP66" s="14">
        <v>133.0</v>
      </c>
      <c r="AQ66" s="14">
        <v>124.0</v>
      </c>
      <c r="AR66" s="14"/>
      <c r="AS66" s="14">
        <v>111.0</v>
      </c>
      <c r="AT66" s="14">
        <v>209.0</v>
      </c>
      <c r="AU66" s="14">
        <v>89.0</v>
      </c>
      <c r="AV66" s="14">
        <v>83.0</v>
      </c>
      <c r="AW66" s="14">
        <v>91.0</v>
      </c>
      <c r="AX66" s="14">
        <v>95.0</v>
      </c>
      <c r="AY66" s="14">
        <v>77.0</v>
      </c>
      <c r="AZ66" s="26"/>
      <c r="BA66" s="26"/>
      <c r="BB66" s="26"/>
      <c r="BC66" s="26"/>
    </row>
    <row r="67">
      <c r="A67" s="27">
        <f>HYPERLINK("https://arcprize.org/play?task=27a28665", 56)</f>
        <v>56</v>
      </c>
      <c r="B67" s="14">
        <v>40.0</v>
      </c>
      <c r="C67" s="14">
        <v>59.0</v>
      </c>
      <c r="D67" s="14">
        <v>40.0</v>
      </c>
      <c r="E67" s="14">
        <v>76.0</v>
      </c>
      <c r="F67" s="22">
        <v>40.0</v>
      </c>
      <c r="G67" s="14">
        <v>56.0</v>
      </c>
      <c r="H67" s="14">
        <v>44.0</v>
      </c>
      <c r="I67" s="14">
        <v>53.0</v>
      </c>
      <c r="J67" s="23">
        <v>42.0</v>
      </c>
      <c r="K67" s="14">
        <v>41.0</v>
      </c>
      <c r="L67" s="14">
        <v>49.0</v>
      </c>
      <c r="M67" s="22">
        <v>40.0</v>
      </c>
      <c r="N67" s="14"/>
      <c r="O67" s="14"/>
      <c r="P67" s="14"/>
      <c r="Q67" s="14">
        <v>79.0</v>
      </c>
      <c r="R67" s="24">
        <v>44.0</v>
      </c>
      <c r="S67" s="14"/>
      <c r="T67" s="14">
        <v>49.0</v>
      </c>
      <c r="U67" s="14">
        <v>100.0</v>
      </c>
      <c r="V67" s="29">
        <v>51.0</v>
      </c>
      <c r="W67" s="14">
        <v>46.0</v>
      </c>
      <c r="X67" s="14">
        <v>100.0</v>
      </c>
      <c r="Y67" s="14">
        <v>51.0</v>
      </c>
      <c r="Z67" s="25">
        <v>41.0</v>
      </c>
      <c r="AA67" s="25"/>
      <c r="AB67" s="25">
        <v>85.0</v>
      </c>
      <c r="AC67" s="14">
        <v>80.0</v>
      </c>
      <c r="AD67" s="14">
        <v>59.0</v>
      </c>
      <c r="AE67" s="14">
        <v>80.0</v>
      </c>
      <c r="AF67" s="14">
        <v>100.0</v>
      </c>
      <c r="AG67" s="14">
        <v>59.0</v>
      </c>
      <c r="AH67" s="14">
        <v>44.0</v>
      </c>
      <c r="AI67" s="14">
        <v>51.0</v>
      </c>
      <c r="AJ67" s="14">
        <v>51.0</v>
      </c>
      <c r="AK67" s="14">
        <v>43.0</v>
      </c>
      <c r="AL67" s="14">
        <v>70.0</v>
      </c>
      <c r="AM67" s="14">
        <v>55.0</v>
      </c>
      <c r="AN67" s="14">
        <v>80.0</v>
      </c>
      <c r="AO67" s="14">
        <v>39.0</v>
      </c>
      <c r="AP67" s="14">
        <v>46.0</v>
      </c>
      <c r="AQ67" s="14">
        <v>56.0</v>
      </c>
      <c r="AR67" s="14"/>
      <c r="AS67" s="14">
        <v>50.0</v>
      </c>
      <c r="AT67" s="14">
        <v>68.0</v>
      </c>
      <c r="AU67" s="14">
        <v>40.0</v>
      </c>
      <c r="AV67" s="14">
        <v>44.0</v>
      </c>
      <c r="AW67" s="14">
        <v>40.0</v>
      </c>
      <c r="AX67" s="14">
        <v>42.0</v>
      </c>
      <c r="AY67" s="14">
        <v>39.0</v>
      </c>
      <c r="AZ67" s="26"/>
      <c r="BA67" s="26"/>
      <c r="BB67" s="26"/>
      <c r="BC67" s="26"/>
    </row>
    <row r="68">
      <c r="A68" s="27">
        <f>HYPERLINK("https://arcprize.org/play?task=28bf18c6", 57)</f>
        <v>57</v>
      </c>
      <c r="B68" s="14">
        <v>48.0</v>
      </c>
      <c r="C68" s="14">
        <v>62.0</v>
      </c>
      <c r="D68" s="14">
        <v>49.0</v>
      </c>
      <c r="E68" s="14">
        <v>68.0</v>
      </c>
      <c r="F68" s="22">
        <v>48.0</v>
      </c>
      <c r="G68" s="14">
        <v>74.0</v>
      </c>
      <c r="H68" s="14">
        <v>59.0</v>
      </c>
      <c r="I68" s="14">
        <v>80.0</v>
      </c>
      <c r="J68" s="23">
        <v>53.0</v>
      </c>
      <c r="K68" s="14">
        <v>51.0</v>
      </c>
      <c r="L68" s="14">
        <v>51.0</v>
      </c>
      <c r="M68" s="22">
        <v>49.0</v>
      </c>
      <c r="N68" s="15"/>
      <c r="O68" s="15"/>
      <c r="P68" s="15"/>
      <c r="Q68" s="15">
        <v>89.0</v>
      </c>
      <c r="R68" s="24">
        <v>55.0</v>
      </c>
      <c r="S68" s="15"/>
      <c r="T68" s="14">
        <v>182.0</v>
      </c>
      <c r="U68" s="14">
        <v>115.0</v>
      </c>
      <c r="V68" s="29">
        <v>64.0</v>
      </c>
      <c r="W68" s="14">
        <v>49.0</v>
      </c>
      <c r="X68" s="14">
        <v>115.0</v>
      </c>
      <c r="Y68" s="14">
        <v>115.0</v>
      </c>
      <c r="Z68" s="25">
        <v>54.0</v>
      </c>
      <c r="AA68" s="25"/>
      <c r="AB68" s="25">
        <v>115.0</v>
      </c>
      <c r="AC68" s="14">
        <v>108.0</v>
      </c>
      <c r="AD68" s="14">
        <v>62.0</v>
      </c>
      <c r="AE68" s="14">
        <v>108.0</v>
      </c>
      <c r="AF68" s="14">
        <v>115.0</v>
      </c>
      <c r="AG68" s="14">
        <v>63.0</v>
      </c>
      <c r="AH68" s="14">
        <v>63.0</v>
      </c>
      <c r="AI68" s="14">
        <v>55.0</v>
      </c>
      <c r="AJ68" s="14">
        <v>81.0</v>
      </c>
      <c r="AK68" s="14">
        <v>55.0</v>
      </c>
      <c r="AL68" s="14">
        <v>100.0</v>
      </c>
      <c r="AM68" s="14">
        <v>55.0</v>
      </c>
      <c r="AN68" s="14">
        <v>108.0</v>
      </c>
      <c r="AO68" s="14">
        <v>54.0</v>
      </c>
      <c r="AP68" s="14">
        <v>55.0</v>
      </c>
      <c r="AQ68" s="14">
        <v>55.0</v>
      </c>
      <c r="AR68" s="14"/>
      <c r="AS68" s="14">
        <v>51.0</v>
      </c>
      <c r="AT68" s="14">
        <v>68.0</v>
      </c>
      <c r="AU68" s="14">
        <v>54.0</v>
      </c>
      <c r="AV68" s="14">
        <v>51.0</v>
      </c>
      <c r="AW68" s="14">
        <v>51.0</v>
      </c>
      <c r="AX68" s="14">
        <v>55.0</v>
      </c>
      <c r="AY68" s="14">
        <v>48.0</v>
      </c>
      <c r="AZ68" s="26"/>
      <c r="BA68" s="26"/>
      <c r="BB68" s="26"/>
      <c r="BC68" s="26"/>
    </row>
    <row r="69">
      <c r="A69" s="27">
        <f>HYPERLINK("https://arcprize.org/play?task=28e73c20", 58)</f>
        <v>58</v>
      </c>
      <c r="B69" s="14">
        <v>86.0</v>
      </c>
      <c r="C69" s="14">
        <v>200.0</v>
      </c>
      <c r="D69" s="14">
        <v>85.0</v>
      </c>
      <c r="E69" s="14">
        <v>200.0</v>
      </c>
      <c r="F69" s="22">
        <v>88.0</v>
      </c>
      <c r="G69" s="14">
        <v>265.0</v>
      </c>
      <c r="H69" s="14"/>
      <c r="I69" s="14">
        <v>155.0</v>
      </c>
      <c r="J69" s="23">
        <v>103.0</v>
      </c>
      <c r="K69" s="14">
        <v>112.0</v>
      </c>
      <c r="L69" s="14">
        <v>123.0</v>
      </c>
      <c r="M69" s="22">
        <v>123.0</v>
      </c>
      <c r="N69" s="15"/>
      <c r="O69" s="15"/>
      <c r="P69" s="15"/>
      <c r="Q69" s="14">
        <v>218.0</v>
      </c>
      <c r="R69" s="24">
        <v>156.0</v>
      </c>
      <c r="S69" s="15"/>
      <c r="T69" s="15"/>
      <c r="U69" s="14">
        <v>277.0</v>
      </c>
      <c r="V69" s="31"/>
      <c r="W69" s="15"/>
      <c r="X69" s="14">
        <v>267.0</v>
      </c>
      <c r="Y69" s="14">
        <v>272.0</v>
      </c>
      <c r="Z69" s="25">
        <v>106.0</v>
      </c>
      <c r="AA69" s="25"/>
      <c r="AB69" s="25">
        <v>252.0</v>
      </c>
      <c r="AC69" s="14">
        <v>241.0</v>
      </c>
      <c r="AD69" s="14"/>
      <c r="AE69" s="14">
        <v>241.0</v>
      </c>
      <c r="AF69" s="14">
        <v>267.0</v>
      </c>
      <c r="AG69" s="14">
        <v>149.0</v>
      </c>
      <c r="AH69" s="14">
        <v>129.0</v>
      </c>
      <c r="AI69" s="14">
        <v>197.0</v>
      </c>
      <c r="AJ69" s="14">
        <v>227.0</v>
      </c>
      <c r="AK69" s="14"/>
      <c r="AL69" s="14">
        <v>139.0</v>
      </c>
      <c r="AM69" s="14">
        <v>118.0</v>
      </c>
      <c r="AN69" s="14">
        <v>241.0</v>
      </c>
      <c r="AO69" s="14">
        <v>99.0</v>
      </c>
      <c r="AP69" s="14">
        <v>137.0</v>
      </c>
      <c r="AQ69" s="14">
        <v>110.0</v>
      </c>
      <c r="AR69" s="14"/>
      <c r="AS69" s="14">
        <v>123.0</v>
      </c>
      <c r="AT69" s="14">
        <v>207.0</v>
      </c>
      <c r="AU69" s="14">
        <v>90.0</v>
      </c>
      <c r="AV69" s="14">
        <v>89.0</v>
      </c>
      <c r="AW69" s="14">
        <v>102.0</v>
      </c>
      <c r="AX69" s="14">
        <v>107.0</v>
      </c>
      <c r="AY69" s="14">
        <v>85.0</v>
      </c>
      <c r="AZ69" s="26"/>
      <c r="BA69" s="26"/>
      <c r="BB69" s="26"/>
      <c r="BC69" s="26"/>
    </row>
    <row r="70">
      <c r="A70" s="27">
        <f>HYPERLINK("https://arcprize.org/play?task=29623171", 59)</f>
        <v>59</v>
      </c>
      <c r="B70" s="14">
        <v>151.0</v>
      </c>
      <c r="C70" s="14">
        <v>244.0</v>
      </c>
      <c r="D70" s="14">
        <v>153.0</v>
      </c>
      <c r="E70" s="14">
        <v>244.0</v>
      </c>
      <c r="F70" s="22">
        <v>155.0</v>
      </c>
      <c r="G70" s="14">
        <v>283.0</v>
      </c>
      <c r="H70" s="14"/>
      <c r="I70" s="14">
        <v>227.0</v>
      </c>
      <c r="J70" s="23">
        <v>178.0</v>
      </c>
      <c r="K70" s="14">
        <v>169.0</v>
      </c>
      <c r="L70" s="14">
        <v>195.0</v>
      </c>
      <c r="M70" s="22">
        <v>178.0</v>
      </c>
      <c r="N70" s="15"/>
      <c r="O70" s="15"/>
      <c r="P70" s="15"/>
      <c r="Q70" s="14">
        <v>234.0</v>
      </c>
      <c r="R70" s="24">
        <v>174.0</v>
      </c>
      <c r="S70" s="15"/>
      <c r="T70" s="15"/>
      <c r="U70" s="14">
        <v>369.0</v>
      </c>
      <c r="V70" s="31"/>
      <c r="W70" s="14">
        <v>180.0</v>
      </c>
      <c r="X70" s="14">
        <v>291.0</v>
      </c>
      <c r="Y70" s="14">
        <v>270.0</v>
      </c>
      <c r="Z70" s="25">
        <v>176.0</v>
      </c>
      <c r="AA70" s="25"/>
      <c r="AB70" s="25">
        <v>231.0</v>
      </c>
      <c r="AC70" s="14">
        <v>255.0</v>
      </c>
      <c r="AD70" s="14"/>
      <c r="AE70" s="14">
        <v>255.0</v>
      </c>
      <c r="AF70" s="14">
        <v>291.0</v>
      </c>
      <c r="AG70" s="14">
        <v>276.0</v>
      </c>
      <c r="AH70" s="14">
        <v>173.0</v>
      </c>
      <c r="AI70" s="14">
        <v>202.0</v>
      </c>
      <c r="AJ70" s="14">
        <v>206.0</v>
      </c>
      <c r="AK70" s="14"/>
      <c r="AL70" s="14">
        <v>246.0</v>
      </c>
      <c r="AM70" s="14">
        <v>173.0</v>
      </c>
      <c r="AN70" s="14">
        <v>255.0</v>
      </c>
      <c r="AO70" s="14">
        <v>163.0</v>
      </c>
      <c r="AP70" s="14">
        <v>193.0</v>
      </c>
      <c r="AQ70" s="14">
        <v>204.0</v>
      </c>
      <c r="AR70" s="14"/>
      <c r="AS70" s="14">
        <v>185.0</v>
      </c>
      <c r="AT70" s="14">
        <v>244.0</v>
      </c>
      <c r="AU70" s="14">
        <v>169.0</v>
      </c>
      <c r="AV70" s="14">
        <v>163.0</v>
      </c>
      <c r="AW70" s="14">
        <v>173.0</v>
      </c>
      <c r="AX70" s="14">
        <v>173.0</v>
      </c>
      <c r="AY70" s="14">
        <v>151.0</v>
      </c>
      <c r="AZ70" s="26"/>
      <c r="BA70" s="26"/>
      <c r="BB70" s="26"/>
      <c r="BC70" s="26"/>
    </row>
    <row r="71">
      <c r="A71" s="27">
        <f>HYPERLINK("https://arcprize.org/play?task=29c11459", 60)</f>
        <v>60</v>
      </c>
      <c r="B71" s="14">
        <v>47.0</v>
      </c>
      <c r="C71" s="14">
        <v>57.0</v>
      </c>
      <c r="D71" s="14">
        <v>47.0</v>
      </c>
      <c r="E71" s="14">
        <v>56.0</v>
      </c>
      <c r="F71" s="22">
        <v>47.0</v>
      </c>
      <c r="G71" s="14">
        <v>66.0</v>
      </c>
      <c r="H71" s="14">
        <v>50.0</v>
      </c>
      <c r="I71" s="14">
        <v>52.0</v>
      </c>
      <c r="J71" s="23">
        <v>47.0</v>
      </c>
      <c r="K71" s="14">
        <v>48.0</v>
      </c>
      <c r="L71" s="14">
        <v>50.0</v>
      </c>
      <c r="M71" s="22">
        <v>47.0</v>
      </c>
      <c r="N71" s="15"/>
      <c r="O71" s="15"/>
      <c r="P71" s="15">
        <v>58.0</v>
      </c>
      <c r="Q71" s="15">
        <v>59.0</v>
      </c>
      <c r="R71" s="24">
        <v>51.0</v>
      </c>
      <c r="S71" s="14">
        <v>52.0</v>
      </c>
      <c r="T71" s="14">
        <v>57.0</v>
      </c>
      <c r="U71" s="14">
        <v>155.0</v>
      </c>
      <c r="V71" s="29">
        <v>53.0</v>
      </c>
      <c r="W71" s="14">
        <v>48.0</v>
      </c>
      <c r="X71" s="14">
        <v>164.0</v>
      </c>
      <c r="Y71" s="14">
        <v>91.0</v>
      </c>
      <c r="Z71" s="25">
        <v>49.0</v>
      </c>
      <c r="AA71" s="25"/>
      <c r="AB71" s="25">
        <v>66.0</v>
      </c>
      <c r="AC71" s="14">
        <v>68.0</v>
      </c>
      <c r="AD71" s="14">
        <v>55.0</v>
      </c>
      <c r="AE71" s="14">
        <v>68.0</v>
      </c>
      <c r="AF71" s="14">
        <v>164.0</v>
      </c>
      <c r="AG71" s="14">
        <v>56.0</v>
      </c>
      <c r="AH71" s="14">
        <v>50.0</v>
      </c>
      <c r="AI71" s="14">
        <v>53.0</v>
      </c>
      <c r="AJ71" s="14">
        <v>53.0</v>
      </c>
      <c r="AK71" s="14">
        <v>48.0</v>
      </c>
      <c r="AL71" s="14">
        <v>68.0</v>
      </c>
      <c r="AM71" s="14">
        <v>55.0</v>
      </c>
      <c r="AN71" s="14">
        <v>68.0</v>
      </c>
      <c r="AO71" s="14">
        <v>47.0</v>
      </c>
      <c r="AP71" s="14">
        <v>50.0</v>
      </c>
      <c r="AQ71" s="14">
        <v>50.0</v>
      </c>
      <c r="AR71" s="14"/>
      <c r="AS71" s="14">
        <v>56.0</v>
      </c>
      <c r="AT71" s="14">
        <v>57.0</v>
      </c>
      <c r="AU71" s="14">
        <v>48.0</v>
      </c>
      <c r="AV71" s="14">
        <v>48.0</v>
      </c>
      <c r="AW71" s="14">
        <v>48.0</v>
      </c>
      <c r="AX71" s="14">
        <v>50.0</v>
      </c>
      <c r="AY71" s="14">
        <v>47.0</v>
      </c>
      <c r="AZ71" s="26"/>
      <c r="BA71" s="26"/>
      <c r="BB71" s="26"/>
      <c r="BC71" s="26"/>
    </row>
    <row r="72">
      <c r="A72" s="27">
        <f>HYPERLINK("https://arcprize.org/play?task=29ec7d0e", 61)</f>
        <v>61</v>
      </c>
      <c r="B72" s="14">
        <v>63.0</v>
      </c>
      <c r="C72" s="14">
        <v>157.0</v>
      </c>
      <c r="D72" s="14">
        <v>63.0</v>
      </c>
      <c r="E72" s="14">
        <v>257.0</v>
      </c>
      <c r="F72" s="22">
        <v>62.0</v>
      </c>
      <c r="G72" s="14">
        <v>262.0</v>
      </c>
      <c r="H72" s="15"/>
      <c r="I72" s="14">
        <v>128.0</v>
      </c>
      <c r="J72" s="23">
        <v>63.0</v>
      </c>
      <c r="K72" s="14">
        <v>63.0</v>
      </c>
      <c r="L72" s="14">
        <v>67.0</v>
      </c>
      <c r="M72" s="22">
        <v>63.0</v>
      </c>
      <c r="N72" s="15"/>
      <c r="O72" s="15"/>
      <c r="P72" s="15"/>
      <c r="Q72" s="14">
        <v>67.0</v>
      </c>
      <c r="R72" s="24">
        <v>63.0</v>
      </c>
      <c r="S72" s="14">
        <v>187.0</v>
      </c>
      <c r="T72" s="14">
        <v>161.0</v>
      </c>
      <c r="U72" s="14">
        <v>364.0</v>
      </c>
      <c r="V72" s="29">
        <v>67.0</v>
      </c>
      <c r="W72" s="14">
        <v>63.0</v>
      </c>
      <c r="X72" s="14">
        <v>291.0</v>
      </c>
      <c r="Y72" s="14">
        <v>297.0</v>
      </c>
      <c r="Z72" s="25">
        <v>63.0</v>
      </c>
      <c r="AA72" s="25"/>
      <c r="AB72" s="25">
        <v>165.0</v>
      </c>
      <c r="AC72" s="14">
        <v>257.0</v>
      </c>
      <c r="AD72" s="14"/>
      <c r="AE72" s="14">
        <v>257.0</v>
      </c>
      <c r="AF72" s="14">
        <v>291.0</v>
      </c>
      <c r="AG72" s="14">
        <v>176.0</v>
      </c>
      <c r="AH72" s="14">
        <v>63.0</v>
      </c>
      <c r="AI72" s="14">
        <v>63.0</v>
      </c>
      <c r="AJ72" s="14">
        <v>173.0</v>
      </c>
      <c r="AK72" s="14"/>
      <c r="AL72" s="14">
        <v>132.0</v>
      </c>
      <c r="AM72" s="14">
        <v>62.0</v>
      </c>
      <c r="AN72" s="14">
        <v>257.0</v>
      </c>
      <c r="AO72" s="14">
        <v>62.0</v>
      </c>
      <c r="AP72" s="14">
        <v>63.0</v>
      </c>
      <c r="AQ72" s="14">
        <v>64.0</v>
      </c>
      <c r="AR72" s="14"/>
      <c r="AS72" s="14">
        <v>63.0</v>
      </c>
      <c r="AT72" s="14">
        <v>253.0</v>
      </c>
      <c r="AU72" s="14">
        <v>63.0</v>
      </c>
      <c r="AV72" s="14">
        <v>62.0</v>
      </c>
      <c r="AW72" s="14">
        <v>63.0</v>
      </c>
      <c r="AX72" s="14">
        <v>63.0</v>
      </c>
      <c r="AY72" s="14">
        <v>62.0</v>
      </c>
      <c r="AZ72" s="26"/>
      <c r="BA72" s="26"/>
      <c r="BB72" s="26"/>
      <c r="BC72" s="26"/>
    </row>
    <row r="73">
      <c r="A73" s="27">
        <f>HYPERLINK("https://arcprize.org/play?task=2bcee788", 62)</f>
        <v>62</v>
      </c>
      <c r="B73" s="14">
        <v>123.0</v>
      </c>
      <c r="C73" s="14">
        <v>301.0</v>
      </c>
      <c r="D73" s="14">
        <v>121.0</v>
      </c>
      <c r="E73" s="14">
        <v>290.0</v>
      </c>
      <c r="F73" s="22">
        <v>127.0</v>
      </c>
      <c r="G73" s="14">
        <v>307.0</v>
      </c>
      <c r="H73" s="15"/>
      <c r="I73" s="14">
        <v>151.0</v>
      </c>
      <c r="J73" s="23">
        <v>154.0</v>
      </c>
      <c r="K73" s="14">
        <v>163.0</v>
      </c>
      <c r="L73" s="14">
        <v>208.0</v>
      </c>
      <c r="M73" s="22">
        <v>167.0</v>
      </c>
      <c r="N73" s="15"/>
      <c r="O73" s="15"/>
      <c r="P73" s="15"/>
      <c r="Q73" s="14">
        <v>321.0</v>
      </c>
      <c r="R73" s="24">
        <v>161.0</v>
      </c>
      <c r="S73" s="15"/>
      <c r="T73" s="15"/>
      <c r="U73" s="15"/>
      <c r="V73" s="31"/>
      <c r="W73" s="15"/>
      <c r="X73" s="14"/>
      <c r="Y73" s="14">
        <v>527.0</v>
      </c>
      <c r="Z73" s="25">
        <v>154.0</v>
      </c>
      <c r="AA73" s="25"/>
      <c r="AB73" s="25">
        <v>317.0</v>
      </c>
      <c r="AC73" s="14">
        <v>290.0</v>
      </c>
      <c r="AD73" s="14"/>
      <c r="AE73" s="14">
        <v>290.0</v>
      </c>
      <c r="AF73" s="14">
        <v>465.0</v>
      </c>
      <c r="AG73" s="14">
        <v>251.0</v>
      </c>
      <c r="AH73" s="14">
        <v>270.0</v>
      </c>
      <c r="AI73" s="14">
        <v>164.0</v>
      </c>
      <c r="AJ73" s="14">
        <v>265.0</v>
      </c>
      <c r="AK73" s="14"/>
      <c r="AL73" s="14">
        <v>280.0</v>
      </c>
      <c r="AM73" s="14">
        <v>282.0</v>
      </c>
      <c r="AN73" s="14">
        <v>290.0</v>
      </c>
      <c r="AO73" s="14">
        <v>185.0</v>
      </c>
      <c r="AP73" s="14">
        <v>257.0</v>
      </c>
      <c r="AQ73" s="14">
        <v>230.0</v>
      </c>
      <c r="AR73" s="14"/>
      <c r="AS73" s="14">
        <v>169.0</v>
      </c>
      <c r="AT73" s="14">
        <v>290.0</v>
      </c>
      <c r="AU73" s="14">
        <v>145.0</v>
      </c>
      <c r="AV73" s="14">
        <v>162.0</v>
      </c>
      <c r="AW73" s="14">
        <v>140.0</v>
      </c>
      <c r="AX73" s="14">
        <v>157.0</v>
      </c>
      <c r="AY73" s="14">
        <v>121.0</v>
      </c>
      <c r="AZ73" s="26"/>
      <c r="BA73" s="26"/>
      <c r="BB73" s="26"/>
      <c r="BC73" s="26"/>
    </row>
    <row r="74">
      <c r="A74" s="27">
        <f>HYPERLINK("https://arcprize.org/play?task=2bee17df", 63)</f>
        <v>63</v>
      </c>
      <c r="B74" s="14">
        <v>74.0</v>
      </c>
      <c r="C74" s="14">
        <v>136.0</v>
      </c>
      <c r="D74" s="14">
        <v>75.0</v>
      </c>
      <c r="E74" s="14">
        <v>137.0</v>
      </c>
      <c r="F74" s="22">
        <v>76.0</v>
      </c>
      <c r="G74" s="14">
        <v>220.0</v>
      </c>
      <c r="H74" s="14"/>
      <c r="I74" s="14">
        <v>101.0</v>
      </c>
      <c r="J74" s="23">
        <v>78.0</v>
      </c>
      <c r="K74" s="14">
        <v>78.0</v>
      </c>
      <c r="L74" s="14">
        <v>86.0</v>
      </c>
      <c r="M74" s="22">
        <v>76.0</v>
      </c>
      <c r="N74" s="15"/>
      <c r="O74" s="15"/>
      <c r="P74" s="15"/>
      <c r="Q74" s="14">
        <v>230.0</v>
      </c>
      <c r="R74" s="24">
        <v>86.0</v>
      </c>
      <c r="S74" s="14">
        <v>109.0</v>
      </c>
      <c r="T74" s="15"/>
      <c r="U74" s="14">
        <v>238.0</v>
      </c>
      <c r="V74" s="29">
        <v>87.0</v>
      </c>
      <c r="W74" s="15"/>
      <c r="X74" s="14">
        <v>225.0</v>
      </c>
      <c r="Y74" s="14">
        <v>198.0</v>
      </c>
      <c r="Z74" s="25">
        <v>79.0</v>
      </c>
      <c r="AA74" s="25"/>
      <c r="AB74" s="25">
        <v>153.0</v>
      </c>
      <c r="AC74" s="14">
        <v>211.0</v>
      </c>
      <c r="AD74" s="14"/>
      <c r="AE74" s="14">
        <v>211.0</v>
      </c>
      <c r="AF74" s="14">
        <v>225.0</v>
      </c>
      <c r="AG74" s="14">
        <v>141.0</v>
      </c>
      <c r="AH74" s="14">
        <v>91.0</v>
      </c>
      <c r="AI74" s="14">
        <v>92.0</v>
      </c>
      <c r="AJ74" s="14">
        <v>110.0</v>
      </c>
      <c r="AK74" s="14"/>
      <c r="AL74" s="14">
        <v>135.0</v>
      </c>
      <c r="AM74" s="14">
        <v>99.0</v>
      </c>
      <c r="AN74" s="14">
        <v>137.0</v>
      </c>
      <c r="AO74" s="14">
        <v>77.0</v>
      </c>
      <c r="AP74" s="14">
        <v>119.0</v>
      </c>
      <c r="AQ74" s="14">
        <v>137.0</v>
      </c>
      <c r="AR74" s="14"/>
      <c r="AS74" s="14">
        <v>85.0</v>
      </c>
      <c r="AT74" s="14">
        <v>137.0</v>
      </c>
      <c r="AU74" s="14">
        <v>79.0</v>
      </c>
      <c r="AV74" s="14">
        <v>77.0</v>
      </c>
      <c r="AW74" s="14">
        <v>79.0</v>
      </c>
      <c r="AX74" s="14">
        <v>80.0</v>
      </c>
      <c r="AY74" s="14">
        <v>74.0</v>
      </c>
      <c r="AZ74" s="26"/>
      <c r="BA74" s="26"/>
      <c r="BB74" s="26"/>
      <c r="BC74" s="26"/>
    </row>
    <row r="75">
      <c r="A75" s="27">
        <f>HYPERLINK("https://arcprize.org/play?task=2c608aff", 64)</f>
        <v>64</v>
      </c>
      <c r="B75" s="14">
        <v>135.0</v>
      </c>
      <c r="C75" s="14">
        <v>425.0</v>
      </c>
      <c r="D75" s="14">
        <v>152.0</v>
      </c>
      <c r="E75" s="14">
        <v>382.0</v>
      </c>
      <c r="F75" s="22">
        <v>146.0</v>
      </c>
      <c r="G75" s="14">
        <v>421.0</v>
      </c>
      <c r="H75" s="15"/>
      <c r="I75" s="14">
        <v>163.0</v>
      </c>
      <c r="J75" s="23">
        <v>155.0</v>
      </c>
      <c r="K75" s="14">
        <v>174.0</v>
      </c>
      <c r="L75" s="14">
        <v>186.0</v>
      </c>
      <c r="M75" s="22">
        <v>169.0</v>
      </c>
      <c r="N75" s="15"/>
      <c r="O75" s="15"/>
      <c r="P75" s="15"/>
      <c r="Q75" s="14">
        <v>280.0</v>
      </c>
      <c r="R75" s="24">
        <v>191.0</v>
      </c>
      <c r="S75" s="15"/>
      <c r="T75" s="15"/>
      <c r="U75" s="15"/>
      <c r="V75" s="31"/>
      <c r="W75" s="14">
        <v>187.0</v>
      </c>
      <c r="X75" s="14"/>
      <c r="Y75" s="14">
        <v>490.0</v>
      </c>
      <c r="Z75" s="25">
        <v>163.0</v>
      </c>
      <c r="AA75" s="25"/>
      <c r="AB75" s="25">
        <v>412.0</v>
      </c>
      <c r="AC75" s="14">
        <v>391.0</v>
      </c>
      <c r="AD75" s="14"/>
      <c r="AE75" s="14">
        <v>391.0</v>
      </c>
      <c r="AF75" s="14">
        <v>677.0</v>
      </c>
      <c r="AG75" s="14">
        <v>239.0</v>
      </c>
      <c r="AH75" s="14">
        <v>279.0</v>
      </c>
      <c r="AI75" s="14">
        <v>206.0</v>
      </c>
      <c r="AJ75" s="14">
        <v>237.0</v>
      </c>
      <c r="AK75" s="14"/>
      <c r="AL75" s="14">
        <v>228.0</v>
      </c>
      <c r="AM75" s="14">
        <v>239.0</v>
      </c>
      <c r="AN75" s="14">
        <v>391.0</v>
      </c>
      <c r="AO75" s="14">
        <v>169.0</v>
      </c>
      <c r="AP75" s="14">
        <v>328.0</v>
      </c>
      <c r="AQ75" s="14">
        <v>221.0</v>
      </c>
      <c r="AR75" s="14"/>
      <c r="AS75" s="14">
        <v>185.0</v>
      </c>
      <c r="AT75" s="14">
        <v>318.0</v>
      </c>
      <c r="AU75" s="14">
        <v>164.0</v>
      </c>
      <c r="AV75" s="14">
        <v>174.0</v>
      </c>
      <c r="AW75" s="14">
        <v>154.0</v>
      </c>
      <c r="AX75" s="14">
        <v>176.0</v>
      </c>
      <c r="AY75" s="14">
        <v>135.0</v>
      </c>
      <c r="AZ75" s="26"/>
      <c r="BA75" s="26"/>
      <c r="BB75" s="26"/>
      <c r="BC75" s="26"/>
    </row>
    <row r="76">
      <c r="A76" s="27">
        <f>HYPERLINK("https://arcprize.org/play?task=2dc579da", 65)</f>
        <v>65</v>
      </c>
      <c r="B76" s="14">
        <v>82.0</v>
      </c>
      <c r="C76" s="14">
        <v>255.0</v>
      </c>
      <c r="D76" s="14">
        <v>84.0</v>
      </c>
      <c r="E76" s="14">
        <v>153.0</v>
      </c>
      <c r="F76" s="22">
        <v>84.0</v>
      </c>
      <c r="G76" s="14">
        <v>239.0</v>
      </c>
      <c r="H76" s="14"/>
      <c r="I76" s="14">
        <v>109.0</v>
      </c>
      <c r="J76" s="23">
        <v>109.0</v>
      </c>
      <c r="K76" s="14">
        <v>107.0</v>
      </c>
      <c r="L76" s="14">
        <v>118.0</v>
      </c>
      <c r="M76" s="22">
        <v>108.0</v>
      </c>
      <c r="N76" s="14">
        <v>122.0</v>
      </c>
      <c r="O76" s="14"/>
      <c r="P76" s="14"/>
      <c r="Q76" s="14">
        <v>118.0</v>
      </c>
      <c r="R76" s="24">
        <v>106.0</v>
      </c>
      <c r="S76" s="14">
        <v>109.0</v>
      </c>
      <c r="T76" s="14">
        <v>147.0</v>
      </c>
      <c r="U76" s="14">
        <v>248.0</v>
      </c>
      <c r="V76" s="33"/>
      <c r="W76" s="14">
        <v>130.0</v>
      </c>
      <c r="X76" s="14">
        <v>257.0</v>
      </c>
      <c r="Y76" s="14">
        <v>261.0</v>
      </c>
      <c r="Z76" s="25">
        <v>106.0</v>
      </c>
      <c r="AA76" s="25"/>
      <c r="AB76" s="25">
        <v>229.0</v>
      </c>
      <c r="AC76" s="14">
        <v>236.0</v>
      </c>
      <c r="AD76" s="14"/>
      <c r="AE76" s="14">
        <v>236.0</v>
      </c>
      <c r="AF76" s="14">
        <v>257.0</v>
      </c>
      <c r="AG76" s="14">
        <v>138.0</v>
      </c>
      <c r="AH76" s="14">
        <v>107.0</v>
      </c>
      <c r="AI76" s="14">
        <v>107.0</v>
      </c>
      <c r="AJ76" s="14">
        <v>150.0</v>
      </c>
      <c r="AK76" s="14"/>
      <c r="AL76" s="14">
        <v>206.0</v>
      </c>
      <c r="AM76" s="14">
        <v>108.0</v>
      </c>
      <c r="AN76" s="14">
        <v>236.0</v>
      </c>
      <c r="AO76" s="14">
        <v>102.0</v>
      </c>
      <c r="AP76" s="14">
        <v>112.0</v>
      </c>
      <c r="AQ76" s="14">
        <v>127.0</v>
      </c>
      <c r="AR76" s="14"/>
      <c r="AS76" s="14">
        <v>122.0</v>
      </c>
      <c r="AT76" s="14">
        <v>220.0</v>
      </c>
      <c r="AU76" s="14">
        <v>107.0</v>
      </c>
      <c r="AV76" s="14">
        <v>102.0</v>
      </c>
      <c r="AW76" s="14">
        <v>106.0</v>
      </c>
      <c r="AX76" s="14">
        <v>106.0</v>
      </c>
      <c r="AY76" s="14">
        <v>82.0</v>
      </c>
      <c r="AZ76" s="26"/>
      <c r="BA76" s="26"/>
      <c r="BB76" s="26"/>
      <c r="BC76" s="26"/>
    </row>
    <row r="77">
      <c r="A77" s="27">
        <f>HYPERLINK("https://arcprize.org/play?task=2dd70a9a", 66)</f>
        <v>66</v>
      </c>
      <c r="B77" s="14">
        <v>240.0</v>
      </c>
      <c r="C77" s="14">
        <v>539.0</v>
      </c>
      <c r="D77" s="14">
        <v>244.0</v>
      </c>
      <c r="E77" s="14">
        <v>599.0</v>
      </c>
      <c r="F77" s="22">
        <v>237.0</v>
      </c>
      <c r="G77" s="14">
        <v>528.0</v>
      </c>
      <c r="H77" s="15"/>
      <c r="I77" s="14">
        <v>303.0</v>
      </c>
      <c r="J77" s="23">
        <v>250.0</v>
      </c>
      <c r="K77" s="14">
        <v>313.0</v>
      </c>
      <c r="L77" s="14">
        <v>349.0</v>
      </c>
      <c r="M77" s="22">
        <v>307.0</v>
      </c>
      <c r="N77" s="15">
        <v>506.0</v>
      </c>
      <c r="O77" s="15"/>
      <c r="P77" s="15"/>
      <c r="Q77" s="15"/>
      <c r="R77" s="24">
        <v>332.0</v>
      </c>
      <c r="S77" s="15"/>
      <c r="T77" s="15"/>
      <c r="U77" s="15"/>
      <c r="V77" s="31"/>
      <c r="W77" s="15"/>
      <c r="X77" s="14"/>
      <c r="Y77" s="14">
        <v>584.0</v>
      </c>
      <c r="Z77" s="25">
        <v>276.0</v>
      </c>
      <c r="AA77" s="25"/>
      <c r="AB77" s="25">
        <v>452.0</v>
      </c>
      <c r="AC77" s="14">
        <v>549.0</v>
      </c>
      <c r="AD77" s="14"/>
      <c r="AE77" s="14">
        <v>349.0</v>
      </c>
      <c r="AF77" s="14">
        <v>534.0</v>
      </c>
      <c r="AG77" s="14">
        <v>436.0</v>
      </c>
      <c r="AH77" s="14">
        <v>306.0</v>
      </c>
      <c r="AI77" s="14">
        <v>326.0</v>
      </c>
      <c r="AJ77" s="14">
        <v>338.0</v>
      </c>
      <c r="AK77" s="14"/>
      <c r="AL77" s="14">
        <v>333.0</v>
      </c>
      <c r="AM77" s="14">
        <v>362.0</v>
      </c>
      <c r="AN77" s="14">
        <v>508.0</v>
      </c>
      <c r="AO77" s="14">
        <v>250.0</v>
      </c>
      <c r="AP77" s="14">
        <v>426.0</v>
      </c>
      <c r="AQ77" s="14">
        <v>369.0</v>
      </c>
      <c r="AR77" s="14"/>
      <c r="AS77" s="14">
        <v>290.0</v>
      </c>
      <c r="AT77" s="14">
        <v>350.0</v>
      </c>
      <c r="AU77" s="14">
        <v>282.0</v>
      </c>
      <c r="AV77" s="14">
        <v>266.0</v>
      </c>
      <c r="AW77" s="14">
        <v>327.0</v>
      </c>
      <c r="AX77" s="14">
        <v>320.0</v>
      </c>
      <c r="AY77" s="14">
        <v>232.0</v>
      </c>
      <c r="AZ77" s="26"/>
      <c r="BA77" s="26"/>
      <c r="BB77" s="26"/>
      <c r="BC77" s="26"/>
    </row>
    <row r="78">
      <c r="A78" s="27">
        <f>HYPERLINK("https://arcprize.org/play?task=2dee498d", 67)</f>
        <v>67</v>
      </c>
      <c r="B78" s="14">
        <v>33.0</v>
      </c>
      <c r="C78" s="14">
        <v>33.0</v>
      </c>
      <c r="D78" s="14">
        <v>33.0</v>
      </c>
      <c r="E78" s="14">
        <v>33.0</v>
      </c>
      <c r="F78" s="22">
        <v>33.0</v>
      </c>
      <c r="G78" s="14">
        <v>33.0</v>
      </c>
      <c r="H78" s="14">
        <v>33.0</v>
      </c>
      <c r="I78" s="14">
        <v>33.0</v>
      </c>
      <c r="J78" s="23">
        <v>33.0</v>
      </c>
      <c r="K78" s="14">
        <v>33.0</v>
      </c>
      <c r="L78" s="14">
        <v>33.0</v>
      </c>
      <c r="M78" s="22">
        <v>33.0</v>
      </c>
      <c r="N78" s="14">
        <v>33.0</v>
      </c>
      <c r="O78" s="14"/>
      <c r="P78" s="14">
        <v>37.0</v>
      </c>
      <c r="Q78" s="14">
        <v>33.0</v>
      </c>
      <c r="R78" s="24">
        <v>33.0</v>
      </c>
      <c r="S78" s="14">
        <v>33.0</v>
      </c>
      <c r="T78" s="14">
        <v>36.0</v>
      </c>
      <c r="U78" s="14">
        <v>43.0</v>
      </c>
      <c r="V78" s="29">
        <v>33.0</v>
      </c>
      <c r="W78" s="14">
        <v>33.0</v>
      </c>
      <c r="X78" s="14">
        <v>43.0</v>
      </c>
      <c r="Y78" s="14">
        <v>39.0</v>
      </c>
      <c r="Z78" s="30">
        <v>33.0</v>
      </c>
      <c r="AA78" s="25"/>
      <c r="AB78" s="25">
        <v>35.0</v>
      </c>
      <c r="AC78" s="14">
        <v>33.0</v>
      </c>
      <c r="AD78" s="14">
        <v>33.0</v>
      </c>
      <c r="AE78" s="14">
        <v>33.0</v>
      </c>
      <c r="AF78" s="14">
        <v>43.0</v>
      </c>
      <c r="AG78" s="14">
        <v>33.0</v>
      </c>
      <c r="AH78" s="14">
        <v>33.0</v>
      </c>
      <c r="AI78" s="14">
        <v>33.0</v>
      </c>
      <c r="AJ78" s="14">
        <v>33.0</v>
      </c>
      <c r="AK78" s="14">
        <v>33.0</v>
      </c>
      <c r="AL78" s="14">
        <v>33.0</v>
      </c>
      <c r="AM78" s="14">
        <v>33.0</v>
      </c>
      <c r="AN78" s="14">
        <v>33.0</v>
      </c>
      <c r="AO78" s="14">
        <v>33.0</v>
      </c>
      <c r="AP78" s="14">
        <v>33.0</v>
      </c>
      <c r="AQ78" s="14">
        <v>33.0</v>
      </c>
      <c r="AR78" s="14"/>
      <c r="AS78" s="14">
        <v>33.0</v>
      </c>
      <c r="AT78" s="14">
        <v>33.0</v>
      </c>
      <c r="AU78" s="14">
        <v>33.0</v>
      </c>
      <c r="AV78" s="14">
        <v>33.0</v>
      </c>
      <c r="AW78" s="14">
        <v>33.0</v>
      </c>
      <c r="AX78" s="14">
        <v>33.0</v>
      </c>
      <c r="AY78" s="14">
        <v>33.0</v>
      </c>
      <c r="AZ78" s="26"/>
      <c r="BA78" s="26"/>
      <c r="BB78" s="26"/>
      <c r="BC78" s="26"/>
    </row>
    <row r="79">
      <c r="A79" s="27">
        <f>HYPERLINK("https://arcprize.org/play?task=31aa019c", 68)</f>
        <v>68</v>
      </c>
      <c r="B79" s="14">
        <v>99.0</v>
      </c>
      <c r="C79" s="14">
        <v>266.0</v>
      </c>
      <c r="D79" s="14">
        <v>103.0</v>
      </c>
      <c r="E79" s="14">
        <v>263.0</v>
      </c>
      <c r="F79" s="22">
        <v>112.0</v>
      </c>
      <c r="G79" s="14">
        <v>285.0</v>
      </c>
      <c r="H79" s="14"/>
      <c r="I79" s="14">
        <v>159.0</v>
      </c>
      <c r="J79" s="23">
        <v>128.0</v>
      </c>
      <c r="K79" s="14">
        <v>118.0</v>
      </c>
      <c r="L79" s="14">
        <v>142.0</v>
      </c>
      <c r="M79" s="22">
        <v>137.0</v>
      </c>
      <c r="N79" s="14"/>
      <c r="O79" s="14"/>
      <c r="P79" s="14"/>
      <c r="Q79" s="14">
        <v>174.0</v>
      </c>
      <c r="R79" s="24">
        <v>137.0</v>
      </c>
      <c r="S79" s="14">
        <v>184.0</v>
      </c>
      <c r="T79" s="14"/>
      <c r="U79" s="14">
        <v>322.0</v>
      </c>
      <c r="V79" s="33"/>
      <c r="W79" s="14">
        <v>118.0</v>
      </c>
      <c r="X79" s="14">
        <v>290.0</v>
      </c>
      <c r="Y79" s="14">
        <v>244.0</v>
      </c>
      <c r="Z79" s="25">
        <v>132.0</v>
      </c>
      <c r="AA79" s="25"/>
      <c r="AB79" s="25">
        <v>221.0</v>
      </c>
      <c r="AC79" s="14">
        <v>261.0</v>
      </c>
      <c r="AD79" s="14"/>
      <c r="AE79" s="14">
        <v>263.0</v>
      </c>
      <c r="AF79" s="14">
        <v>290.0</v>
      </c>
      <c r="AG79" s="14">
        <v>150.0</v>
      </c>
      <c r="AH79" s="14">
        <v>137.0</v>
      </c>
      <c r="AI79" s="14">
        <v>150.0</v>
      </c>
      <c r="AJ79" s="14">
        <v>184.0</v>
      </c>
      <c r="AK79" s="14"/>
      <c r="AL79" s="14">
        <v>194.0</v>
      </c>
      <c r="AM79" s="14">
        <v>136.0</v>
      </c>
      <c r="AN79" s="14">
        <v>263.0</v>
      </c>
      <c r="AO79" s="14">
        <v>116.0</v>
      </c>
      <c r="AP79" s="14">
        <v>154.0</v>
      </c>
      <c r="AQ79" s="14">
        <v>151.0</v>
      </c>
      <c r="AR79" s="14"/>
      <c r="AS79" s="14">
        <v>158.0</v>
      </c>
      <c r="AT79" s="14">
        <v>170.0</v>
      </c>
      <c r="AU79" s="14">
        <v>129.0</v>
      </c>
      <c r="AV79" s="14">
        <v>122.0</v>
      </c>
      <c r="AW79" s="14">
        <v>122.0</v>
      </c>
      <c r="AX79" s="14">
        <v>136.0</v>
      </c>
      <c r="AY79" s="14">
        <v>99.0</v>
      </c>
      <c r="AZ79" s="26"/>
      <c r="BA79" s="26"/>
      <c r="BB79" s="26"/>
      <c r="BC79" s="26"/>
    </row>
    <row r="80">
      <c r="A80" s="27">
        <f>HYPERLINK("https://arcprize.org/play?task=321b1fc6", 69)</f>
        <v>69</v>
      </c>
      <c r="B80" s="14">
        <v>148.0</v>
      </c>
      <c r="C80" s="14">
        <v>238.0</v>
      </c>
      <c r="D80" s="14">
        <v>150.0</v>
      </c>
      <c r="E80" s="14">
        <v>216.0</v>
      </c>
      <c r="F80" s="22">
        <v>143.0</v>
      </c>
      <c r="G80" s="14">
        <v>227.0</v>
      </c>
      <c r="H80" s="15"/>
      <c r="I80" s="14">
        <v>212.0</v>
      </c>
      <c r="J80" s="23">
        <v>181.0</v>
      </c>
      <c r="K80" s="14">
        <v>157.0</v>
      </c>
      <c r="L80" s="14">
        <v>162.0</v>
      </c>
      <c r="M80" s="22">
        <v>174.0</v>
      </c>
      <c r="N80" s="15"/>
      <c r="O80" s="15"/>
      <c r="P80" s="15"/>
      <c r="Q80" s="14">
        <v>234.0</v>
      </c>
      <c r="R80" s="24">
        <v>189.0</v>
      </c>
      <c r="S80" s="15"/>
      <c r="T80" s="15"/>
      <c r="U80" s="14">
        <v>273.0</v>
      </c>
      <c r="V80" s="31"/>
      <c r="W80" s="15"/>
      <c r="X80" s="14">
        <v>230.0</v>
      </c>
      <c r="Y80" s="14">
        <v>238.0</v>
      </c>
      <c r="Z80" s="25">
        <v>158.0</v>
      </c>
      <c r="AA80" s="25"/>
      <c r="AB80" s="25">
        <v>227.0</v>
      </c>
      <c r="AC80" s="14">
        <v>216.0</v>
      </c>
      <c r="AD80" s="14"/>
      <c r="AE80" s="14">
        <v>216.0</v>
      </c>
      <c r="AF80" s="14">
        <v>227.0</v>
      </c>
      <c r="AG80" s="14">
        <v>189.0</v>
      </c>
      <c r="AH80" s="14">
        <v>189.0</v>
      </c>
      <c r="AI80" s="14">
        <v>199.0</v>
      </c>
      <c r="AJ80" s="14">
        <v>226.0</v>
      </c>
      <c r="AK80" s="14"/>
      <c r="AL80" s="14">
        <v>216.0</v>
      </c>
      <c r="AM80" s="14">
        <v>198.0</v>
      </c>
      <c r="AN80" s="14">
        <v>216.0</v>
      </c>
      <c r="AO80" s="14">
        <v>155.0</v>
      </c>
      <c r="AP80" s="14">
        <v>201.0</v>
      </c>
      <c r="AQ80" s="14">
        <v>182.0</v>
      </c>
      <c r="AR80" s="14"/>
      <c r="AS80" s="14">
        <v>186.0</v>
      </c>
      <c r="AT80" s="14">
        <v>211.0</v>
      </c>
      <c r="AU80" s="14">
        <v>168.0</v>
      </c>
      <c r="AV80" s="14">
        <v>158.0</v>
      </c>
      <c r="AW80" s="14">
        <v>175.0</v>
      </c>
      <c r="AX80" s="14">
        <v>171.0</v>
      </c>
      <c r="AY80" s="14">
        <v>143.0</v>
      </c>
      <c r="AZ80" s="26"/>
      <c r="BA80" s="26"/>
      <c r="BB80" s="26"/>
      <c r="BC80" s="26"/>
    </row>
    <row r="81">
      <c r="A81" s="27">
        <f>HYPERLINK("https://arcprize.org/play?task=32597951", 70)</f>
        <v>70</v>
      </c>
      <c r="B81" s="14">
        <v>80.0</v>
      </c>
      <c r="C81" s="14">
        <v>164.0</v>
      </c>
      <c r="D81" s="14">
        <v>82.0</v>
      </c>
      <c r="E81" s="14">
        <v>164.0</v>
      </c>
      <c r="F81" s="22">
        <v>78.0</v>
      </c>
      <c r="G81" s="14">
        <v>234.0</v>
      </c>
      <c r="H81" s="14"/>
      <c r="I81" s="14">
        <v>163.0</v>
      </c>
      <c r="J81" s="23">
        <v>87.0</v>
      </c>
      <c r="K81" s="14">
        <v>114.0</v>
      </c>
      <c r="L81" s="14">
        <v>123.0</v>
      </c>
      <c r="M81" s="22">
        <v>90.0</v>
      </c>
      <c r="N81" s="14"/>
      <c r="O81" s="14"/>
      <c r="P81" s="14"/>
      <c r="Q81" s="14">
        <v>243.0</v>
      </c>
      <c r="R81" s="24">
        <v>109.0</v>
      </c>
      <c r="S81" s="14">
        <v>181.0</v>
      </c>
      <c r="T81" s="14">
        <v>260.0</v>
      </c>
      <c r="U81" s="14">
        <v>208.0</v>
      </c>
      <c r="V81" s="33"/>
      <c r="W81" s="14"/>
      <c r="X81" s="14">
        <v>234.0</v>
      </c>
      <c r="Y81" s="14">
        <v>211.0</v>
      </c>
      <c r="Z81" s="25">
        <v>111.0</v>
      </c>
      <c r="AA81" s="25"/>
      <c r="AB81" s="25">
        <v>191.0</v>
      </c>
      <c r="AC81" s="14">
        <v>217.0</v>
      </c>
      <c r="AD81" s="14"/>
      <c r="AE81" s="14">
        <v>217.0</v>
      </c>
      <c r="AF81" s="14">
        <v>234.0</v>
      </c>
      <c r="AG81" s="14">
        <v>143.0</v>
      </c>
      <c r="AH81" s="14">
        <v>164.0</v>
      </c>
      <c r="AI81" s="14">
        <v>151.0</v>
      </c>
      <c r="AJ81" s="14">
        <v>188.0</v>
      </c>
      <c r="AK81" s="14"/>
      <c r="AL81" s="14">
        <v>164.0</v>
      </c>
      <c r="AM81" s="14">
        <v>117.0</v>
      </c>
      <c r="AN81" s="14">
        <v>164.0</v>
      </c>
      <c r="AO81" s="14">
        <v>112.0</v>
      </c>
      <c r="AP81" s="14">
        <v>164.0</v>
      </c>
      <c r="AQ81" s="14">
        <v>130.0</v>
      </c>
      <c r="AR81" s="14"/>
      <c r="AS81" s="14">
        <v>123.0</v>
      </c>
      <c r="AT81" s="14">
        <v>164.0</v>
      </c>
      <c r="AU81" s="14">
        <v>92.0</v>
      </c>
      <c r="AV81" s="14">
        <v>100.0</v>
      </c>
      <c r="AW81" s="14">
        <v>89.0</v>
      </c>
      <c r="AX81" s="14">
        <v>104.0</v>
      </c>
      <c r="AY81" s="14">
        <v>78.0</v>
      </c>
      <c r="AZ81" s="26"/>
      <c r="BA81" s="26"/>
      <c r="BB81" s="26"/>
      <c r="BC81" s="26"/>
    </row>
    <row r="82">
      <c r="A82" s="27">
        <f>HYPERLINK("https://arcprize.org/play?task=3345333e", 71)</f>
        <v>71</v>
      </c>
      <c r="B82" s="14">
        <v>115.0</v>
      </c>
      <c r="C82" s="14">
        <v>467.0</v>
      </c>
      <c r="D82" s="14">
        <v>104.0</v>
      </c>
      <c r="E82" s="14">
        <v>450.0</v>
      </c>
      <c r="F82" s="22">
        <v>118.0</v>
      </c>
      <c r="G82" s="14">
        <v>352.0</v>
      </c>
      <c r="H82" s="14"/>
      <c r="I82" s="14">
        <v>244.0</v>
      </c>
      <c r="J82" s="23">
        <v>119.0</v>
      </c>
      <c r="K82" s="14">
        <v>121.0</v>
      </c>
      <c r="L82" s="14">
        <v>124.0</v>
      </c>
      <c r="M82" s="22">
        <v>117.0</v>
      </c>
      <c r="N82" s="14"/>
      <c r="O82" s="14"/>
      <c r="P82" s="14"/>
      <c r="Q82" s="14">
        <v>267.0</v>
      </c>
      <c r="R82" s="24">
        <v>131.0</v>
      </c>
      <c r="S82" s="14"/>
      <c r="T82" s="14"/>
      <c r="U82" s="14"/>
      <c r="V82" s="33"/>
      <c r="W82" s="14"/>
      <c r="X82" s="14"/>
      <c r="Y82" s="14">
        <v>509.0</v>
      </c>
      <c r="Z82" s="25">
        <v>123.0</v>
      </c>
      <c r="AA82" s="25"/>
      <c r="AB82" s="25">
        <v>367.0</v>
      </c>
      <c r="AC82" s="14">
        <v>342.0</v>
      </c>
      <c r="AD82" s="14"/>
      <c r="AE82" s="14">
        <v>157.0</v>
      </c>
      <c r="AF82" s="14">
        <v>362.0</v>
      </c>
      <c r="AG82" s="14"/>
      <c r="AH82" s="14">
        <v>134.0</v>
      </c>
      <c r="AI82" s="14">
        <v>231.0</v>
      </c>
      <c r="AJ82" s="14">
        <v>331.0</v>
      </c>
      <c r="AK82" s="14"/>
      <c r="AL82" s="14">
        <v>310.0</v>
      </c>
      <c r="AM82" s="14">
        <v>119.0</v>
      </c>
      <c r="AN82" s="14">
        <v>450.0</v>
      </c>
      <c r="AO82" s="14">
        <v>100.0</v>
      </c>
      <c r="AP82" s="14">
        <v>241.0</v>
      </c>
      <c r="AQ82" s="14">
        <v>146.0</v>
      </c>
      <c r="AR82" s="14"/>
      <c r="AS82" s="14">
        <v>127.0</v>
      </c>
      <c r="AT82" s="14">
        <v>292.0</v>
      </c>
      <c r="AU82" s="14">
        <v>133.0</v>
      </c>
      <c r="AV82" s="14">
        <v>118.0</v>
      </c>
      <c r="AW82" s="14">
        <v>115.0</v>
      </c>
      <c r="AX82" s="14">
        <v>165.0</v>
      </c>
      <c r="AY82" s="14">
        <v>99.0</v>
      </c>
      <c r="AZ82" s="26"/>
      <c r="BA82" s="26"/>
      <c r="BB82" s="26"/>
      <c r="BC82" s="26"/>
    </row>
    <row r="83">
      <c r="A83" s="27">
        <f>HYPERLINK("https://arcprize.org/play?task=3428a4f5", 72)</f>
        <v>72</v>
      </c>
      <c r="B83" s="14">
        <v>54.0</v>
      </c>
      <c r="C83" s="14">
        <v>73.0</v>
      </c>
      <c r="D83" s="14">
        <v>54.0</v>
      </c>
      <c r="E83" s="14">
        <v>73.0</v>
      </c>
      <c r="F83" s="22">
        <v>54.0</v>
      </c>
      <c r="G83" s="14">
        <v>67.0</v>
      </c>
      <c r="H83" s="14">
        <v>62.0</v>
      </c>
      <c r="I83" s="14">
        <v>64.0</v>
      </c>
      <c r="J83" s="23">
        <v>60.0</v>
      </c>
      <c r="K83" s="14">
        <v>60.0</v>
      </c>
      <c r="L83" s="14">
        <v>60.0</v>
      </c>
      <c r="M83" s="22">
        <v>60.0</v>
      </c>
      <c r="N83" s="14">
        <v>75.0</v>
      </c>
      <c r="O83" s="14"/>
      <c r="P83" s="14">
        <v>75.0</v>
      </c>
      <c r="Q83" s="14">
        <v>71.0</v>
      </c>
      <c r="R83" s="24">
        <v>60.0</v>
      </c>
      <c r="S83" s="14">
        <v>68.0</v>
      </c>
      <c r="T83" s="14">
        <v>72.0</v>
      </c>
      <c r="U83" s="14">
        <v>79.0</v>
      </c>
      <c r="V83" s="29">
        <v>62.0</v>
      </c>
      <c r="W83" s="14">
        <v>62.0</v>
      </c>
      <c r="X83" s="14">
        <v>79.0</v>
      </c>
      <c r="Y83" s="14">
        <v>79.0</v>
      </c>
      <c r="Z83" s="25">
        <v>60.0</v>
      </c>
      <c r="AA83" s="25"/>
      <c r="AB83" s="25">
        <v>79.0</v>
      </c>
      <c r="AC83" s="14">
        <v>73.0</v>
      </c>
      <c r="AD83" s="14">
        <v>68.0</v>
      </c>
      <c r="AE83" s="14">
        <v>63.0</v>
      </c>
      <c r="AF83" s="14">
        <v>79.0</v>
      </c>
      <c r="AG83" s="14">
        <v>60.0</v>
      </c>
      <c r="AH83" s="14">
        <v>60.0</v>
      </c>
      <c r="AI83" s="14">
        <v>66.0</v>
      </c>
      <c r="AJ83" s="14">
        <v>69.0</v>
      </c>
      <c r="AK83" s="14">
        <v>64.0</v>
      </c>
      <c r="AL83" s="14">
        <v>73.0</v>
      </c>
      <c r="AM83" s="14">
        <v>60.0</v>
      </c>
      <c r="AN83" s="14">
        <v>73.0</v>
      </c>
      <c r="AO83" s="14">
        <v>60.0</v>
      </c>
      <c r="AP83" s="14">
        <v>73.0</v>
      </c>
      <c r="AQ83" s="14">
        <v>60.0</v>
      </c>
      <c r="AR83" s="14"/>
      <c r="AS83" s="14">
        <v>63.0</v>
      </c>
      <c r="AT83" s="14">
        <v>73.0</v>
      </c>
      <c r="AU83" s="14">
        <v>62.0</v>
      </c>
      <c r="AV83" s="14">
        <v>60.0</v>
      </c>
      <c r="AW83" s="14">
        <v>54.0</v>
      </c>
      <c r="AX83" s="14">
        <v>60.0</v>
      </c>
      <c r="AY83" s="14">
        <v>54.0</v>
      </c>
      <c r="AZ83" s="26"/>
      <c r="BA83" s="26"/>
      <c r="BB83" s="26"/>
      <c r="BC83" s="26"/>
    </row>
    <row r="84">
      <c r="A84" s="27">
        <f>HYPERLINK("https://arcprize.org/play?task=3618c87e", 73)</f>
        <v>73</v>
      </c>
      <c r="B84" s="14">
        <v>46.0</v>
      </c>
      <c r="C84" s="14">
        <v>76.0</v>
      </c>
      <c r="D84" s="14">
        <v>46.0</v>
      </c>
      <c r="E84" s="14">
        <v>76.0</v>
      </c>
      <c r="F84" s="22">
        <v>46.0</v>
      </c>
      <c r="G84" s="14">
        <v>76.0</v>
      </c>
      <c r="H84" s="14">
        <v>46.0</v>
      </c>
      <c r="I84" s="14">
        <v>46.0</v>
      </c>
      <c r="J84" s="23">
        <v>46.0</v>
      </c>
      <c r="K84" s="14">
        <v>46.0</v>
      </c>
      <c r="L84" s="14">
        <v>46.0</v>
      </c>
      <c r="M84" s="22">
        <v>46.0</v>
      </c>
      <c r="N84" s="15"/>
      <c r="O84" s="15"/>
      <c r="P84" s="15"/>
      <c r="Q84" s="14">
        <v>77.0</v>
      </c>
      <c r="R84" s="24">
        <v>46.0</v>
      </c>
      <c r="S84" s="14">
        <v>57.0</v>
      </c>
      <c r="T84" s="14">
        <v>85.0</v>
      </c>
      <c r="U84" s="14">
        <v>94.0</v>
      </c>
      <c r="V84" s="29">
        <v>48.0</v>
      </c>
      <c r="W84" s="14">
        <v>47.0</v>
      </c>
      <c r="X84" s="14">
        <v>117.0</v>
      </c>
      <c r="Y84" s="14">
        <v>117.0</v>
      </c>
      <c r="Z84" s="30">
        <v>46.0</v>
      </c>
      <c r="AA84" s="25"/>
      <c r="AB84" s="25">
        <v>68.0</v>
      </c>
      <c r="AC84" s="14">
        <v>76.0</v>
      </c>
      <c r="AD84" s="14">
        <v>46.0</v>
      </c>
      <c r="AE84" s="14">
        <v>76.0</v>
      </c>
      <c r="AF84" s="14">
        <v>117.0</v>
      </c>
      <c r="AG84" s="14">
        <v>46.0</v>
      </c>
      <c r="AH84" s="14">
        <v>46.0</v>
      </c>
      <c r="AI84" s="14">
        <v>63.0</v>
      </c>
      <c r="AJ84" s="14">
        <v>63.0</v>
      </c>
      <c r="AK84" s="14">
        <v>49.0</v>
      </c>
      <c r="AL84" s="14">
        <v>76.0</v>
      </c>
      <c r="AM84" s="14">
        <v>47.0</v>
      </c>
      <c r="AN84" s="14">
        <v>76.0</v>
      </c>
      <c r="AO84" s="14">
        <v>46.0</v>
      </c>
      <c r="AP84" s="14">
        <v>47.0</v>
      </c>
      <c r="AQ84" s="14">
        <v>46.0</v>
      </c>
      <c r="AR84" s="14"/>
      <c r="AS84" s="14">
        <v>46.0</v>
      </c>
      <c r="AT84" s="14">
        <v>76.0</v>
      </c>
      <c r="AU84" s="14">
        <v>46.0</v>
      </c>
      <c r="AV84" s="14">
        <v>46.0</v>
      </c>
      <c r="AW84" s="14">
        <v>46.0</v>
      </c>
      <c r="AX84" s="14">
        <v>46.0</v>
      </c>
      <c r="AY84" s="14">
        <v>46.0</v>
      </c>
      <c r="AZ84" s="26"/>
      <c r="BA84" s="26"/>
      <c r="BB84" s="26"/>
      <c r="BC84" s="26"/>
    </row>
    <row r="85">
      <c r="A85" s="27">
        <f>HYPERLINK("https://arcprize.org/play?task=3631a71a", 74)</f>
        <v>74</v>
      </c>
      <c r="B85" s="14">
        <v>77.0</v>
      </c>
      <c r="C85" s="14">
        <v>286.0</v>
      </c>
      <c r="D85" s="14">
        <v>77.0</v>
      </c>
      <c r="E85" s="14">
        <v>335.0</v>
      </c>
      <c r="F85" s="22">
        <v>77.0</v>
      </c>
      <c r="G85" s="14">
        <v>224.0</v>
      </c>
      <c r="H85" s="15"/>
      <c r="I85" s="14">
        <v>110.0</v>
      </c>
      <c r="J85" s="23">
        <v>99.0</v>
      </c>
      <c r="K85" s="14">
        <v>100.0</v>
      </c>
      <c r="L85" s="14">
        <v>94.0</v>
      </c>
      <c r="M85" s="22">
        <v>83.0</v>
      </c>
      <c r="N85" s="15"/>
      <c r="O85" s="15"/>
      <c r="P85" s="15">
        <v>368.0</v>
      </c>
      <c r="Q85" s="14">
        <v>225.0</v>
      </c>
      <c r="R85" s="24">
        <v>89.0</v>
      </c>
      <c r="S85" s="15"/>
      <c r="T85" s="15"/>
      <c r="U85" s="15"/>
      <c r="V85" s="29">
        <v>128.0</v>
      </c>
      <c r="W85" s="15"/>
      <c r="X85" s="14"/>
      <c r="Y85" s="14">
        <v>283.0</v>
      </c>
      <c r="Z85" s="25">
        <v>81.0</v>
      </c>
      <c r="AA85" s="25"/>
      <c r="AB85" s="25">
        <v>216.0</v>
      </c>
      <c r="AC85" s="14">
        <v>335.0</v>
      </c>
      <c r="AD85" s="14"/>
      <c r="AE85" s="14">
        <v>94.0</v>
      </c>
      <c r="AF85" s="14">
        <v>287.0</v>
      </c>
      <c r="AG85" s="14">
        <v>150.0</v>
      </c>
      <c r="AH85" s="14">
        <v>137.0</v>
      </c>
      <c r="AI85" s="14">
        <v>160.0</v>
      </c>
      <c r="AJ85" s="14">
        <v>167.0</v>
      </c>
      <c r="AK85" s="14"/>
      <c r="AL85" s="14">
        <v>178.0</v>
      </c>
      <c r="AM85" s="14">
        <v>118.0</v>
      </c>
      <c r="AN85" s="14">
        <v>335.0</v>
      </c>
      <c r="AO85" s="14">
        <v>89.0</v>
      </c>
      <c r="AP85" s="14">
        <v>153.0</v>
      </c>
      <c r="AQ85" s="14">
        <v>161.0</v>
      </c>
      <c r="AR85" s="14"/>
      <c r="AS85" s="14">
        <v>141.0</v>
      </c>
      <c r="AT85" s="14">
        <v>129.0</v>
      </c>
      <c r="AU85" s="14">
        <v>81.0</v>
      </c>
      <c r="AV85" s="14">
        <v>102.0</v>
      </c>
      <c r="AW85" s="14">
        <v>112.0</v>
      </c>
      <c r="AX85" s="14">
        <v>118.0</v>
      </c>
      <c r="AY85" s="14">
        <v>77.0</v>
      </c>
      <c r="AZ85" s="26"/>
      <c r="BA85" s="26"/>
      <c r="BB85" s="26"/>
      <c r="BC85" s="26"/>
    </row>
    <row r="86">
      <c r="A86" s="27">
        <f>HYPERLINK("https://arcprize.org/play?task=363442ee", 75)</f>
        <v>75</v>
      </c>
      <c r="B86" s="14">
        <v>86.0</v>
      </c>
      <c r="C86" s="14">
        <v>219.0</v>
      </c>
      <c r="D86" s="14">
        <v>86.0</v>
      </c>
      <c r="E86" s="14">
        <v>204.0</v>
      </c>
      <c r="F86" s="22">
        <v>86.0</v>
      </c>
      <c r="G86" s="14">
        <v>169.0</v>
      </c>
      <c r="H86" s="14"/>
      <c r="I86" s="14">
        <v>99.0</v>
      </c>
      <c r="J86" s="23">
        <v>86.0</v>
      </c>
      <c r="K86" s="14">
        <v>86.0</v>
      </c>
      <c r="L86" s="14">
        <v>95.0</v>
      </c>
      <c r="M86" s="22">
        <v>86.0</v>
      </c>
      <c r="N86" s="14"/>
      <c r="O86" s="14"/>
      <c r="P86" s="14"/>
      <c r="Q86" s="14">
        <v>121.0</v>
      </c>
      <c r="R86" s="24">
        <v>86.0</v>
      </c>
      <c r="S86" s="14">
        <v>137.0</v>
      </c>
      <c r="T86" s="14"/>
      <c r="U86" s="14">
        <v>219.0</v>
      </c>
      <c r="V86" s="29">
        <v>103.0</v>
      </c>
      <c r="W86" s="14"/>
      <c r="X86" s="14">
        <v>223.0</v>
      </c>
      <c r="Y86" s="14">
        <v>155.0</v>
      </c>
      <c r="Z86" s="25">
        <v>86.0</v>
      </c>
      <c r="AA86" s="25"/>
      <c r="AB86" s="25">
        <v>161.0</v>
      </c>
      <c r="AC86" s="14">
        <v>208.0</v>
      </c>
      <c r="AD86" s="14"/>
      <c r="AE86" s="14">
        <v>208.0</v>
      </c>
      <c r="AF86" s="14">
        <v>223.0</v>
      </c>
      <c r="AG86" s="14">
        <v>116.0</v>
      </c>
      <c r="AH86" s="14">
        <v>99.0</v>
      </c>
      <c r="AI86" s="14">
        <v>109.0</v>
      </c>
      <c r="AJ86" s="14">
        <v>131.0</v>
      </c>
      <c r="AK86" s="14"/>
      <c r="AL86" s="14">
        <v>192.0</v>
      </c>
      <c r="AM86" s="14">
        <v>109.0</v>
      </c>
      <c r="AN86" s="14">
        <v>208.0</v>
      </c>
      <c r="AO86" s="14">
        <v>86.0</v>
      </c>
      <c r="AP86" s="14">
        <v>126.0</v>
      </c>
      <c r="AQ86" s="14">
        <v>117.0</v>
      </c>
      <c r="AR86" s="14"/>
      <c r="AS86" s="14">
        <v>100.0</v>
      </c>
      <c r="AT86" s="14">
        <v>136.0</v>
      </c>
      <c r="AU86" s="14">
        <v>88.0</v>
      </c>
      <c r="AV86" s="14">
        <v>86.0</v>
      </c>
      <c r="AW86" s="14">
        <v>86.0</v>
      </c>
      <c r="AX86" s="14">
        <v>98.0</v>
      </c>
      <c r="AY86" s="14">
        <v>86.0</v>
      </c>
      <c r="AZ86" s="26"/>
      <c r="BA86" s="26"/>
      <c r="BB86" s="26"/>
      <c r="BC86" s="26"/>
    </row>
    <row r="87">
      <c r="A87" s="27">
        <f>HYPERLINK("https://arcprize.org/play?task=36d67576", 76)</f>
        <v>76</v>
      </c>
      <c r="B87" s="14">
        <v>258.0</v>
      </c>
      <c r="C87" s="14">
        <v>484.0</v>
      </c>
      <c r="D87" s="14">
        <v>269.0</v>
      </c>
      <c r="E87" s="14">
        <v>420.0</v>
      </c>
      <c r="F87" s="22">
        <v>264.0</v>
      </c>
      <c r="G87" s="14">
        <v>458.0</v>
      </c>
      <c r="H87" s="15"/>
      <c r="I87" s="15"/>
      <c r="J87" s="23">
        <v>320.0</v>
      </c>
      <c r="K87" s="14">
        <v>282.0</v>
      </c>
      <c r="L87" s="14">
        <v>356.0</v>
      </c>
      <c r="M87" s="22">
        <v>326.0</v>
      </c>
      <c r="N87" s="15"/>
      <c r="O87" s="15"/>
      <c r="P87" s="15"/>
      <c r="Q87" s="14">
        <v>440.0</v>
      </c>
      <c r="R87" s="24">
        <v>299.0</v>
      </c>
      <c r="S87" s="15"/>
      <c r="T87" s="15"/>
      <c r="U87" s="15"/>
      <c r="V87" s="31"/>
      <c r="W87" s="15"/>
      <c r="X87" s="14"/>
      <c r="Y87" s="14">
        <v>988.0</v>
      </c>
      <c r="Z87" s="25">
        <v>302.0</v>
      </c>
      <c r="AA87" s="25"/>
      <c r="AB87" s="25">
        <v>650.0</v>
      </c>
      <c r="AC87" s="14">
        <v>420.0</v>
      </c>
      <c r="AD87" s="14"/>
      <c r="AE87" s="14">
        <v>356.0</v>
      </c>
      <c r="AF87" s="14">
        <v>762.0</v>
      </c>
      <c r="AG87" s="14"/>
      <c r="AH87" s="14">
        <v>330.0</v>
      </c>
      <c r="AI87" s="14">
        <v>386.0</v>
      </c>
      <c r="AJ87" s="14">
        <v>416.0</v>
      </c>
      <c r="AK87" s="14"/>
      <c r="AL87" s="14">
        <v>420.0</v>
      </c>
      <c r="AM87" s="14">
        <v>433.0</v>
      </c>
      <c r="AN87" s="14">
        <v>420.0</v>
      </c>
      <c r="AO87" s="14">
        <v>328.0</v>
      </c>
      <c r="AP87" s="14">
        <v>412.0</v>
      </c>
      <c r="AQ87" s="14">
        <v>413.0</v>
      </c>
      <c r="AR87" s="14"/>
      <c r="AS87" s="14">
        <v>326.0</v>
      </c>
      <c r="AT87" s="14">
        <v>420.0</v>
      </c>
      <c r="AU87" s="14">
        <v>286.0</v>
      </c>
      <c r="AV87" s="14">
        <v>279.0</v>
      </c>
      <c r="AW87" s="14">
        <v>270.0</v>
      </c>
      <c r="AX87" s="14">
        <v>341.0</v>
      </c>
      <c r="AY87" s="14">
        <v>254.0</v>
      </c>
      <c r="AZ87" s="26"/>
      <c r="BA87" s="26"/>
      <c r="BB87" s="26"/>
      <c r="BC87" s="26"/>
    </row>
    <row r="88">
      <c r="A88" s="27">
        <f>HYPERLINK("https://arcprize.org/play?task=36fdfd69", 77)</f>
        <v>77</v>
      </c>
      <c r="B88" s="14">
        <v>124.0</v>
      </c>
      <c r="C88" s="14">
        <v>420.0</v>
      </c>
      <c r="D88" s="14">
        <v>110.0</v>
      </c>
      <c r="E88" s="14">
        <v>558.0</v>
      </c>
      <c r="F88" s="22">
        <v>124.0</v>
      </c>
      <c r="G88" s="14">
        <v>597.0</v>
      </c>
      <c r="H88" s="15"/>
      <c r="I88" s="15"/>
      <c r="J88" s="23">
        <v>126.0</v>
      </c>
      <c r="K88" s="14">
        <v>214.0</v>
      </c>
      <c r="L88" s="14">
        <v>174.0</v>
      </c>
      <c r="M88" s="22">
        <v>125.0</v>
      </c>
      <c r="N88" s="15"/>
      <c r="O88" s="15"/>
      <c r="P88" s="15"/>
      <c r="Q88" s="14">
        <v>666.0</v>
      </c>
      <c r="R88" s="24">
        <v>128.0</v>
      </c>
      <c r="S88" s="15"/>
      <c r="T88" s="15"/>
      <c r="U88" s="15"/>
      <c r="V88" s="31"/>
      <c r="W88" s="15"/>
      <c r="X88" s="14"/>
      <c r="Y88" s="14">
        <v>470.0</v>
      </c>
      <c r="Z88" s="25">
        <v>127.0</v>
      </c>
      <c r="AA88" s="25"/>
      <c r="AB88" s="25">
        <v>368.0</v>
      </c>
      <c r="AC88" s="14">
        <v>381.0</v>
      </c>
      <c r="AD88" s="14"/>
      <c r="AE88" s="14">
        <v>357.0</v>
      </c>
      <c r="AF88" s="14">
        <v>665.0</v>
      </c>
      <c r="AG88" s="14">
        <v>242.0</v>
      </c>
      <c r="AH88" s="14">
        <v>202.0</v>
      </c>
      <c r="AI88" s="14">
        <v>223.0</v>
      </c>
      <c r="AJ88" s="14">
        <v>314.0</v>
      </c>
      <c r="AK88" s="14"/>
      <c r="AL88" s="14">
        <v>241.0</v>
      </c>
      <c r="AM88" s="14">
        <v>260.0</v>
      </c>
      <c r="AN88" s="14">
        <v>558.0</v>
      </c>
      <c r="AO88" s="14">
        <v>125.0</v>
      </c>
      <c r="AP88" s="14">
        <v>269.0</v>
      </c>
      <c r="AQ88" s="14">
        <v>196.0</v>
      </c>
      <c r="AR88" s="14"/>
      <c r="AS88" s="14">
        <v>149.0</v>
      </c>
      <c r="AT88" s="14">
        <v>304.0</v>
      </c>
      <c r="AU88" s="14">
        <v>128.0</v>
      </c>
      <c r="AV88" s="14">
        <v>135.0</v>
      </c>
      <c r="AW88" s="14">
        <v>130.0</v>
      </c>
      <c r="AX88" s="14">
        <v>148.0</v>
      </c>
      <c r="AY88" s="14">
        <v>110.0</v>
      </c>
      <c r="AZ88" s="26"/>
      <c r="BA88" s="26"/>
      <c r="BB88" s="26"/>
      <c r="BC88" s="26"/>
    </row>
    <row r="89">
      <c r="A89" s="27">
        <f>HYPERLINK("https://arcprize.org/play?task=3906de3d", 78)</f>
        <v>78</v>
      </c>
      <c r="B89" s="14">
        <v>60.0</v>
      </c>
      <c r="C89" s="14">
        <v>102.0</v>
      </c>
      <c r="D89" s="14">
        <v>59.0</v>
      </c>
      <c r="E89" s="14">
        <v>102.0</v>
      </c>
      <c r="F89" s="22">
        <v>60.0</v>
      </c>
      <c r="G89" s="14">
        <v>92.0</v>
      </c>
      <c r="H89" s="14">
        <v>61.0</v>
      </c>
      <c r="I89" s="14">
        <v>65.0</v>
      </c>
      <c r="J89" s="23">
        <v>61.0</v>
      </c>
      <c r="K89" s="14">
        <v>61.0</v>
      </c>
      <c r="L89" s="14">
        <v>61.0</v>
      </c>
      <c r="M89" s="22">
        <v>60.0</v>
      </c>
      <c r="N89" s="14"/>
      <c r="O89" s="14"/>
      <c r="P89" s="14">
        <v>111.0</v>
      </c>
      <c r="Q89" s="14">
        <v>82.0</v>
      </c>
      <c r="R89" s="24">
        <v>61.0</v>
      </c>
      <c r="S89" s="14">
        <v>83.0</v>
      </c>
      <c r="T89" s="14">
        <v>167.0</v>
      </c>
      <c r="U89" s="14">
        <v>140.0</v>
      </c>
      <c r="V89" s="29">
        <v>87.0</v>
      </c>
      <c r="W89" s="14">
        <v>61.0</v>
      </c>
      <c r="X89" s="14">
        <v>165.0</v>
      </c>
      <c r="Y89" s="14">
        <v>165.0</v>
      </c>
      <c r="Z89" s="25">
        <v>61.0</v>
      </c>
      <c r="AA89" s="25"/>
      <c r="AB89" s="25">
        <v>130.0</v>
      </c>
      <c r="AC89" s="14">
        <v>102.0</v>
      </c>
      <c r="AD89" s="14">
        <v>65.0</v>
      </c>
      <c r="AE89" s="14">
        <v>102.0</v>
      </c>
      <c r="AF89" s="14">
        <v>165.0</v>
      </c>
      <c r="AG89" s="14">
        <v>78.0</v>
      </c>
      <c r="AH89" s="14">
        <v>71.0</v>
      </c>
      <c r="AI89" s="14">
        <v>69.0</v>
      </c>
      <c r="AJ89" s="14">
        <v>102.0</v>
      </c>
      <c r="AK89" s="14"/>
      <c r="AL89" s="14">
        <v>102.0</v>
      </c>
      <c r="AM89" s="14">
        <v>61.0</v>
      </c>
      <c r="AN89" s="14">
        <v>102.0</v>
      </c>
      <c r="AO89" s="14">
        <v>60.0</v>
      </c>
      <c r="AP89" s="14">
        <v>61.0</v>
      </c>
      <c r="AQ89" s="14">
        <v>61.0</v>
      </c>
      <c r="AR89" s="14"/>
      <c r="AS89" s="14">
        <v>65.0</v>
      </c>
      <c r="AT89" s="14">
        <v>102.0</v>
      </c>
      <c r="AU89" s="14">
        <v>62.0</v>
      </c>
      <c r="AV89" s="14">
        <v>60.0</v>
      </c>
      <c r="AW89" s="14">
        <v>60.0</v>
      </c>
      <c r="AX89" s="14">
        <v>61.0</v>
      </c>
      <c r="AY89" s="14">
        <v>59.0</v>
      </c>
      <c r="AZ89" s="26"/>
      <c r="BA89" s="26"/>
      <c r="BB89" s="26"/>
      <c r="BC89" s="26"/>
    </row>
    <row r="90">
      <c r="A90" s="27">
        <f>HYPERLINK("https://arcprize.org/play?task=39a8645d", 79)</f>
        <v>79</v>
      </c>
      <c r="B90" s="14">
        <v>107.0</v>
      </c>
      <c r="C90" s="14">
        <v>261.0</v>
      </c>
      <c r="D90" s="14">
        <v>105.0</v>
      </c>
      <c r="E90" s="14">
        <v>240.0</v>
      </c>
      <c r="F90" s="22">
        <v>121.0</v>
      </c>
      <c r="G90" s="14">
        <v>264.0</v>
      </c>
      <c r="H90" s="15"/>
      <c r="I90" s="14">
        <v>123.0</v>
      </c>
      <c r="J90" s="23">
        <v>123.0</v>
      </c>
      <c r="K90" s="14">
        <v>125.0</v>
      </c>
      <c r="L90" s="14">
        <v>123.0</v>
      </c>
      <c r="M90" s="22">
        <v>123.0</v>
      </c>
      <c r="N90" s="15"/>
      <c r="O90" s="15"/>
      <c r="P90" s="15"/>
      <c r="Q90" s="14">
        <v>215.0</v>
      </c>
      <c r="R90" s="24">
        <v>129.0</v>
      </c>
      <c r="S90" s="15"/>
      <c r="T90" s="14">
        <v>225.0</v>
      </c>
      <c r="U90" s="15"/>
      <c r="V90" s="31"/>
      <c r="W90" s="15"/>
      <c r="X90" s="14"/>
      <c r="Y90" s="14">
        <v>504.0</v>
      </c>
      <c r="Z90" s="25">
        <v>137.0</v>
      </c>
      <c r="AA90" s="25"/>
      <c r="AB90" s="25">
        <v>331.0</v>
      </c>
      <c r="AC90" s="14">
        <v>240.0</v>
      </c>
      <c r="AD90" s="14"/>
      <c r="AE90" s="14">
        <v>240.0</v>
      </c>
      <c r="AF90" s="14">
        <v>425.0</v>
      </c>
      <c r="AG90" s="14">
        <v>2178.0</v>
      </c>
      <c r="AH90" s="14">
        <v>309.0</v>
      </c>
      <c r="AI90" s="14">
        <v>128.0</v>
      </c>
      <c r="AJ90" s="14">
        <v>247.0</v>
      </c>
      <c r="AK90" s="14"/>
      <c r="AL90" s="14">
        <v>239.0</v>
      </c>
      <c r="AM90" s="14">
        <v>172.0</v>
      </c>
      <c r="AN90" s="14">
        <v>240.0</v>
      </c>
      <c r="AO90" s="14">
        <v>123.0</v>
      </c>
      <c r="AP90" s="14">
        <v>123.0</v>
      </c>
      <c r="AQ90" s="14">
        <v>243.0</v>
      </c>
      <c r="AR90" s="14"/>
      <c r="AS90" s="14">
        <v>177.0</v>
      </c>
      <c r="AT90" s="14">
        <v>240.0</v>
      </c>
      <c r="AU90" s="14">
        <v>123.0</v>
      </c>
      <c r="AV90" s="14">
        <v>123.0</v>
      </c>
      <c r="AW90" s="14">
        <v>123.0</v>
      </c>
      <c r="AX90" s="14">
        <v>123.0</v>
      </c>
      <c r="AY90" s="14">
        <v>105.0</v>
      </c>
      <c r="AZ90" s="26"/>
      <c r="BA90" s="26"/>
      <c r="BB90" s="26"/>
      <c r="BC90" s="26"/>
    </row>
    <row r="91">
      <c r="A91" s="27">
        <f>HYPERLINK("https://arcprize.org/play?task=39e1d7f9", 80)</f>
        <v>80</v>
      </c>
      <c r="B91" s="14">
        <v>232.0</v>
      </c>
      <c r="C91" s="14">
        <v>449.0</v>
      </c>
      <c r="D91" s="14">
        <v>231.0</v>
      </c>
      <c r="E91" s="14">
        <v>435.0</v>
      </c>
      <c r="F91" s="22">
        <v>243.0</v>
      </c>
      <c r="G91" s="14">
        <v>435.0</v>
      </c>
      <c r="H91" s="15"/>
      <c r="I91" s="15"/>
      <c r="J91" s="23">
        <v>256.0</v>
      </c>
      <c r="K91" s="14">
        <v>264.0</v>
      </c>
      <c r="L91" s="14">
        <v>284.0</v>
      </c>
      <c r="M91" s="22">
        <v>286.0</v>
      </c>
      <c r="N91" s="15"/>
      <c r="O91" s="15"/>
      <c r="P91" s="15"/>
      <c r="Q91" s="15"/>
      <c r="R91" s="24">
        <v>291.0</v>
      </c>
      <c r="S91" s="14">
        <v>548.0</v>
      </c>
      <c r="T91" s="15"/>
      <c r="U91" s="15"/>
      <c r="V91" s="31"/>
      <c r="W91" s="15"/>
      <c r="X91" s="14"/>
      <c r="Y91" s="14">
        <v>420.0</v>
      </c>
      <c r="Z91" s="25">
        <v>263.0</v>
      </c>
      <c r="AA91" s="25"/>
      <c r="AB91" s="25">
        <v>609.0</v>
      </c>
      <c r="AC91" s="14">
        <v>435.0</v>
      </c>
      <c r="AD91" s="14"/>
      <c r="AE91" s="14">
        <v>284.0</v>
      </c>
      <c r="AF91" s="14">
        <v>562.0</v>
      </c>
      <c r="AG91" s="14"/>
      <c r="AH91" s="14">
        <v>360.0</v>
      </c>
      <c r="AI91" s="14">
        <v>366.0</v>
      </c>
      <c r="AJ91" s="14">
        <v>388.0</v>
      </c>
      <c r="AK91" s="14"/>
      <c r="AL91" s="14">
        <v>435.0</v>
      </c>
      <c r="AM91" s="14">
        <v>288.0</v>
      </c>
      <c r="AN91" s="14">
        <v>435.0</v>
      </c>
      <c r="AO91" s="14">
        <v>253.0</v>
      </c>
      <c r="AP91" s="14">
        <v>394.0</v>
      </c>
      <c r="AQ91" s="14">
        <v>307.0</v>
      </c>
      <c r="AR91" s="14"/>
      <c r="AS91" s="14">
        <v>255.0</v>
      </c>
      <c r="AT91" s="14">
        <v>435.0</v>
      </c>
      <c r="AU91" s="14">
        <v>255.0</v>
      </c>
      <c r="AV91" s="14">
        <v>240.0</v>
      </c>
      <c r="AW91" s="14">
        <v>256.0</v>
      </c>
      <c r="AX91" s="14">
        <v>239.0</v>
      </c>
      <c r="AY91" s="14">
        <v>223.0</v>
      </c>
      <c r="AZ91" s="26"/>
      <c r="BA91" s="26"/>
      <c r="BB91" s="26"/>
      <c r="BC91" s="26"/>
    </row>
    <row r="92">
      <c r="A92" s="27">
        <f>HYPERLINK("https://arcprize.org/play?task=3aa6fb7a", 81)</f>
        <v>81</v>
      </c>
      <c r="B92" s="14">
        <v>90.0</v>
      </c>
      <c r="C92" s="14">
        <v>155.0</v>
      </c>
      <c r="D92" s="14">
        <v>83.0</v>
      </c>
      <c r="E92" s="14">
        <v>155.0</v>
      </c>
      <c r="F92" s="22">
        <v>81.0</v>
      </c>
      <c r="G92" s="14">
        <v>212.0</v>
      </c>
      <c r="H92" s="14"/>
      <c r="I92" s="14">
        <v>138.0</v>
      </c>
      <c r="J92" s="23">
        <v>96.0</v>
      </c>
      <c r="K92" s="14">
        <v>99.0</v>
      </c>
      <c r="L92" s="14">
        <v>106.0</v>
      </c>
      <c r="M92" s="22">
        <v>95.0</v>
      </c>
      <c r="N92" s="15"/>
      <c r="O92" s="15"/>
      <c r="P92" s="15"/>
      <c r="Q92" s="14">
        <v>190.0</v>
      </c>
      <c r="R92" s="24">
        <v>98.0</v>
      </c>
      <c r="S92" s="14">
        <v>150.0</v>
      </c>
      <c r="T92" s="14">
        <v>158.0</v>
      </c>
      <c r="U92" s="14">
        <v>324.0</v>
      </c>
      <c r="V92" s="29">
        <v>122.0</v>
      </c>
      <c r="W92" s="14">
        <v>97.0</v>
      </c>
      <c r="X92" s="14">
        <v>297.0</v>
      </c>
      <c r="Y92" s="14">
        <v>286.0</v>
      </c>
      <c r="Z92" s="25">
        <v>94.0</v>
      </c>
      <c r="AA92" s="25"/>
      <c r="AB92" s="25">
        <v>169.0</v>
      </c>
      <c r="AC92" s="14">
        <v>273.0</v>
      </c>
      <c r="AD92" s="14"/>
      <c r="AE92" s="14">
        <v>276.0</v>
      </c>
      <c r="AF92" s="14">
        <v>297.0</v>
      </c>
      <c r="AG92" s="14">
        <v>148.0</v>
      </c>
      <c r="AH92" s="14">
        <v>131.0</v>
      </c>
      <c r="AI92" s="14">
        <v>109.0</v>
      </c>
      <c r="AJ92" s="14">
        <v>186.0</v>
      </c>
      <c r="AK92" s="14"/>
      <c r="AL92" s="14">
        <v>192.0</v>
      </c>
      <c r="AM92" s="14">
        <v>134.0</v>
      </c>
      <c r="AN92" s="14">
        <v>258.0</v>
      </c>
      <c r="AO92" s="14">
        <v>95.0</v>
      </c>
      <c r="AP92" s="14">
        <v>143.0</v>
      </c>
      <c r="AQ92" s="14">
        <v>130.0</v>
      </c>
      <c r="AR92" s="14"/>
      <c r="AS92" s="14">
        <v>96.0</v>
      </c>
      <c r="AT92" s="14">
        <v>155.0</v>
      </c>
      <c r="AU92" s="14">
        <v>95.0</v>
      </c>
      <c r="AV92" s="14">
        <v>96.0</v>
      </c>
      <c r="AW92" s="14">
        <v>91.0</v>
      </c>
      <c r="AX92" s="14">
        <v>119.0</v>
      </c>
      <c r="AY92" s="14">
        <v>81.0</v>
      </c>
      <c r="AZ92" s="26"/>
      <c r="BA92" s="26"/>
      <c r="BB92" s="26"/>
      <c r="BC92" s="26"/>
    </row>
    <row r="93">
      <c r="A93" s="27">
        <f>HYPERLINK("https://arcprize.org/play?task=3ac3eb23", 82)</f>
        <v>82</v>
      </c>
      <c r="B93" s="14">
        <v>50.0</v>
      </c>
      <c r="C93" s="14">
        <v>109.0</v>
      </c>
      <c r="D93" s="14">
        <v>50.0</v>
      </c>
      <c r="E93" s="14">
        <v>109.0</v>
      </c>
      <c r="F93" s="22">
        <v>50.0</v>
      </c>
      <c r="G93" s="14">
        <v>109.0</v>
      </c>
      <c r="H93" s="14">
        <v>50.0</v>
      </c>
      <c r="I93" s="14">
        <v>58.0</v>
      </c>
      <c r="J93" s="23">
        <v>50.0</v>
      </c>
      <c r="K93" s="14">
        <v>50.0</v>
      </c>
      <c r="L93" s="14">
        <v>50.0</v>
      </c>
      <c r="M93" s="22">
        <v>50.0</v>
      </c>
      <c r="N93" s="15"/>
      <c r="O93" s="15"/>
      <c r="P93" s="15">
        <v>90.0</v>
      </c>
      <c r="Q93" s="14">
        <v>110.0</v>
      </c>
      <c r="R93" s="24">
        <v>52.0</v>
      </c>
      <c r="S93" s="14">
        <v>88.0</v>
      </c>
      <c r="T93" s="14">
        <v>58.0</v>
      </c>
      <c r="U93" s="14">
        <v>189.0</v>
      </c>
      <c r="V93" s="29">
        <v>50.0</v>
      </c>
      <c r="W93" s="14">
        <v>50.0</v>
      </c>
      <c r="X93" s="14">
        <v>199.0</v>
      </c>
      <c r="Y93" s="14">
        <v>156.0</v>
      </c>
      <c r="Z93" s="30">
        <v>50.0</v>
      </c>
      <c r="AA93" s="25"/>
      <c r="AB93" s="25">
        <v>110.0</v>
      </c>
      <c r="AC93" s="14">
        <v>109.0</v>
      </c>
      <c r="AD93" s="14">
        <v>55.0</v>
      </c>
      <c r="AE93" s="14">
        <v>60.0</v>
      </c>
      <c r="AF93" s="14">
        <v>199.0</v>
      </c>
      <c r="AG93" s="14">
        <v>60.0</v>
      </c>
      <c r="AH93" s="14">
        <v>50.0</v>
      </c>
      <c r="AI93" s="14">
        <v>60.0</v>
      </c>
      <c r="AJ93" s="14">
        <v>109.0</v>
      </c>
      <c r="AK93" s="14">
        <v>60.0</v>
      </c>
      <c r="AL93" s="14">
        <v>105.0</v>
      </c>
      <c r="AM93" s="14">
        <v>50.0</v>
      </c>
      <c r="AN93" s="14">
        <v>109.0</v>
      </c>
      <c r="AO93" s="14">
        <v>50.0</v>
      </c>
      <c r="AP93" s="14">
        <v>50.0</v>
      </c>
      <c r="AQ93" s="14">
        <v>60.0</v>
      </c>
      <c r="AR93" s="14"/>
      <c r="AS93" s="14">
        <v>50.0</v>
      </c>
      <c r="AT93" s="14">
        <v>109.0</v>
      </c>
      <c r="AU93" s="14">
        <v>50.0</v>
      </c>
      <c r="AV93" s="14">
        <v>50.0</v>
      </c>
      <c r="AW93" s="14">
        <v>50.0</v>
      </c>
      <c r="AX93" s="14">
        <v>50.0</v>
      </c>
      <c r="AY93" s="14">
        <v>50.0</v>
      </c>
      <c r="AZ93" s="26"/>
      <c r="BA93" s="26"/>
      <c r="BB93" s="26"/>
      <c r="BC93" s="26"/>
    </row>
    <row r="94">
      <c r="A94" s="27">
        <f>HYPERLINK("https://arcprize.org/play?task=3af2c5a8", 83)</f>
        <v>83</v>
      </c>
      <c r="B94" s="14">
        <v>40.0</v>
      </c>
      <c r="C94" s="14">
        <v>40.0</v>
      </c>
      <c r="D94" s="14">
        <v>40.0</v>
      </c>
      <c r="E94" s="14">
        <v>40.0</v>
      </c>
      <c r="F94" s="22">
        <v>40.0</v>
      </c>
      <c r="G94" s="14">
        <v>40.0</v>
      </c>
      <c r="H94" s="14">
        <v>40.0</v>
      </c>
      <c r="I94" s="14">
        <v>40.0</v>
      </c>
      <c r="J94" s="23">
        <v>40.0</v>
      </c>
      <c r="K94" s="14">
        <v>40.0</v>
      </c>
      <c r="L94" s="14">
        <v>40.0</v>
      </c>
      <c r="M94" s="22">
        <v>40.0</v>
      </c>
      <c r="N94" s="14">
        <v>40.0</v>
      </c>
      <c r="O94" s="14"/>
      <c r="P94" s="14">
        <v>41.0</v>
      </c>
      <c r="Q94" s="14">
        <v>40.0</v>
      </c>
      <c r="R94" s="24">
        <v>40.0</v>
      </c>
      <c r="S94" s="14">
        <v>45.0</v>
      </c>
      <c r="T94" s="14">
        <v>40.0</v>
      </c>
      <c r="U94" s="14">
        <v>40.0</v>
      </c>
      <c r="V94" s="29">
        <v>40.0</v>
      </c>
      <c r="W94" s="14">
        <v>40.0</v>
      </c>
      <c r="X94" s="14">
        <v>49.0</v>
      </c>
      <c r="Y94" s="14">
        <v>49.0</v>
      </c>
      <c r="Z94" s="30">
        <v>40.0</v>
      </c>
      <c r="AA94" s="25"/>
      <c r="AB94" s="25">
        <v>41.0</v>
      </c>
      <c r="AC94" s="14">
        <v>40.0</v>
      </c>
      <c r="AD94" s="14">
        <v>40.0</v>
      </c>
      <c r="AE94" s="14">
        <v>40.0</v>
      </c>
      <c r="AF94" s="14">
        <v>49.0</v>
      </c>
      <c r="AG94" s="14">
        <v>40.0</v>
      </c>
      <c r="AH94" s="14">
        <v>40.0</v>
      </c>
      <c r="AI94" s="14">
        <v>40.0</v>
      </c>
      <c r="AJ94" s="14">
        <v>40.0</v>
      </c>
      <c r="AK94" s="14">
        <v>40.0</v>
      </c>
      <c r="AL94" s="14">
        <v>40.0</v>
      </c>
      <c r="AM94" s="14">
        <v>40.0</v>
      </c>
      <c r="AN94" s="14">
        <v>40.0</v>
      </c>
      <c r="AO94" s="14">
        <v>40.0</v>
      </c>
      <c r="AP94" s="14">
        <v>40.0</v>
      </c>
      <c r="AQ94" s="14">
        <v>40.0</v>
      </c>
      <c r="AR94" s="14"/>
      <c r="AS94" s="14">
        <v>40.0</v>
      </c>
      <c r="AT94" s="14">
        <v>40.0</v>
      </c>
      <c r="AU94" s="14">
        <v>40.0</v>
      </c>
      <c r="AV94" s="14">
        <v>40.0</v>
      </c>
      <c r="AW94" s="14">
        <v>40.0</v>
      </c>
      <c r="AX94" s="14">
        <v>40.0</v>
      </c>
      <c r="AY94" s="14">
        <v>40.0</v>
      </c>
      <c r="AZ94" s="26"/>
      <c r="BA94" s="26"/>
      <c r="BB94" s="26"/>
      <c r="BC94" s="26"/>
    </row>
    <row r="95">
      <c r="A95" s="27">
        <f>HYPERLINK("https://arcprize.org/play?task=3bd67248", 84)</f>
        <v>84</v>
      </c>
      <c r="B95" s="14">
        <v>62.0</v>
      </c>
      <c r="C95" s="14">
        <v>69.0</v>
      </c>
      <c r="D95" s="14">
        <v>62.0</v>
      </c>
      <c r="E95" s="14">
        <v>72.0</v>
      </c>
      <c r="F95" s="22">
        <v>62.0</v>
      </c>
      <c r="G95" s="14">
        <v>72.0</v>
      </c>
      <c r="H95" s="14">
        <v>77.0</v>
      </c>
      <c r="I95" s="14">
        <v>82.0</v>
      </c>
      <c r="J95" s="23">
        <v>62.0</v>
      </c>
      <c r="K95" s="14">
        <v>63.0</v>
      </c>
      <c r="L95" s="14">
        <v>63.0</v>
      </c>
      <c r="M95" s="22">
        <v>62.0</v>
      </c>
      <c r="N95" s="14">
        <v>89.0</v>
      </c>
      <c r="O95" s="14"/>
      <c r="P95" s="14"/>
      <c r="Q95" s="14">
        <v>74.0</v>
      </c>
      <c r="R95" s="24">
        <v>64.0</v>
      </c>
      <c r="S95" s="14"/>
      <c r="T95" s="14">
        <v>69.0</v>
      </c>
      <c r="U95" s="14">
        <v>76.0</v>
      </c>
      <c r="V95" s="29">
        <v>63.0</v>
      </c>
      <c r="W95" s="14">
        <v>62.0</v>
      </c>
      <c r="X95" s="14">
        <v>84.0</v>
      </c>
      <c r="Y95" s="14">
        <v>84.0</v>
      </c>
      <c r="Z95" s="25">
        <v>63.0</v>
      </c>
      <c r="AA95" s="25"/>
      <c r="AB95" s="25">
        <v>68.0</v>
      </c>
      <c r="AC95" s="14">
        <v>72.0</v>
      </c>
      <c r="AD95" s="14">
        <v>69.0</v>
      </c>
      <c r="AE95" s="14">
        <v>72.0</v>
      </c>
      <c r="AF95" s="14">
        <v>84.0</v>
      </c>
      <c r="AG95" s="14">
        <v>69.0</v>
      </c>
      <c r="AH95" s="14">
        <v>65.0</v>
      </c>
      <c r="AI95" s="14">
        <v>67.0</v>
      </c>
      <c r="AJ95" s="14">
        <v>72.0</v>
      </c>
      <c r="AK95" s="14"/>
      <c r="AL95" s="14">
        <v>69.0</v>
      </c>
      <c r="AM95" s="14">
        <v>65.0</v>
      </c>
      <c r="AN95" s="14">
        <v>72.0</v>
      </c>
      <c r="AO95" s="14">
        <v>62.0</v>
      </c>
      <c r="AP95" s="14">
        <v>64.0</v>
      </c>
      <c r="AQ95" s="14">
        <v>66.0</v>
      </c>
      <c r="AR95" s="14"/>
      <c r="AS95" s="14">
        <v>67.0</v>
      </c>
      <c r="AT95" s="14">
        <v>72.0</v>
      </c>
      <c r="AU95" s="14">
        <v>64.0</v>
      </c>
      <c r="AV95" s="14">
        <v>62.0</v>
      </c>
      <c r="AW95" s="14">
        <v>62.0</v>
      </c>
      <c r="AX95" s="14">
        <v>63.0</v>
      </c>
      <c r="AY95" s="14">
        <v>62.0</v>
      </c>
      <c r="AZ95" s="26"/>
      <c r="BA95" s="26"/>
      <c r="BB95" s="26"/>
      <c r="BC95" s="26"/>
    </row>
    <row r="96">
      <c r="A96" s="27">
        <f>HYPERLINK("https://arcprize.org/play?task=3bdb4ada", 85)</f>
        <v>85</v>
      </c>
      <c r="B96" s="14">
        <v>49.0</v>
      </c>
      <c r="C96" s="14">
        <v>89.0</v>
      </c>
      <c r="D96" s="14">
        <v>49.0</v>
      </c>
      <c r="E96" s="14">
        <v>89.0</v>
      </c>
      <c r="F96" s="22">
        <v>49.0</v>
      </c>
      <c r="G96" s="14">
        <v>271.0</v>
      </c>
      <c r="H96" s="15"/>
      <c r="I96" s="14">
        <v>110.0</v>
      </c>
      <c r="J96" s="23">
        <v>81.0</v>
      </c>
      <c r="K96" s="14">
        <v>82.0</v>
      </c>
      <c r="L96" s="14">
        <v>72.0</v>
      </c>
      <c r="M96" s="22">
        <v>73.0</v>
      </c>
      <c r="N96" s="15"/>
      <c r="O96" s="15"/>
      <c r="P96" s="15"/>
      <c r="Q96" s="14">
        <v>126.0</v>
      </c>
      <c r="R96" s="24">
        <v>66.0</v>
      </c>
      <c r="S96" s="14">
        <v>143.0</v>
      </c>
      <c r="T96" s="14">
        <v>84.0</v>
      </c>
      <c r="U96" s="14">
        <v>297.0</v>
      </c>
      <c r="V96" s="29">
        <v>112.0</v>
      </c>
      <c r="W96" s="14">
        <v>62.0</v>
      </c>
      <c r="X96" s="14">
        <v>271.0</v>
      </c>
      <c r="Y96" s="14">
        <v>221.0</v>
      </c>
      <c r="Z96" s="25">
        <v>59.0</v>
      </c>
      <c r="AA96" s="25"/>
      <c r="AB96" s="25">
        <v>204.0</v>
      </c>
      <c r="AC96" s="14">
        <v>252.0</v>
      </c>
      <c r="AD96" s="14"/>
      <c r="AE96" s="14">
        <v>252.0</v>
      </c>
      <c r="AF96" s="14">
        <v>271.0</v>
      </c>
      <c r="AG96" s="14">
        <v>113.0</v>
      </c>
      <c r="AH96" s="14">
        <v>103.0</v>
      </c>
      <c r="AI96" s="14">
        <v>85.0</v>
      </c>
      <c r="AJ96" s="14">
        <v>165.0</v>
      </c>
      <c r="AK96" s="14">
        <v>69.0</v>
      </c>
      <c r="AL96" s="14">
        <v>89.0</v>
      </c>
      <c r="AM96" s="14">
        <v>64.0</v>
      </c>
      <c r="AN96" s="14">
        <v>89.0</v>
      </c>
      <c r="AO96" s="14">
        <v>59.0</v>
      </c>
      <c r="AP96" s="14">
        <v>89.0</v>
      </c>
      <c r="AQ96" s="14">
        <v>89.0</v>
      </c>
      <c r="AR96" s="14"/>
      <c r="AS96" s="14">
        <v>88.0</v>
      </c>
      <c r="AT96" s="14">
        <v>89.0</v>
      </c>
      <c r="AU96" s="14">
        <v>56.0</v>
      </c>
      <c r="AV96" s="14">
        <v>62.0</v>
      </c>
      <c r="AW96" s="14">
        <v>49.0</v>
      </c>
      <c r="AX96" s="14">
        <v>86.0</v>
      </c>
      <c r="AY96" s="14">
        <v>49.0</v>
      </c>
      <c r="AZ96" s="26"/>
      <c r="BA96" s="26"/>
      <c r="BB96" s="26"/>
      <c r="BC96" s="26"/>
    </row>
    <row r="97">
      <c r="A97" s="27">
        <f>HYPERLINK("https://arcprize.org/play?task=3befdf3e", 86)</f>
        <v>86</v>
      </c>
      <c r="B97" s="14">
        <v>166.0</v>
      </c>
      <c r="C97" s="14">
        <v>518.0</v>
      </c>
      <c r="D97" s="14">
        <v>151.0</v>
      </c>
      <c r="E97" s="14">
        <v>478.0</v>
      </c>
      <c r="F97" s="22">
        <v>154.0</v>
      </c>
      <c r="G97" s="14">
        <v>510.0</v>
      </c>
      <c r="H97" s="15"/>
      <c r="I97" s="15"/>
      <c r="J97" s="23">
        <v>224.0</v>
      </c>
      <c r="K97" s="14">
        <v>217.0</v>
      </c>
      <c r="L97" s="14">
        <v>252.0</v>
      </c>
      <c r="M97" s="22">
        <v>232.0</v>
      </c>
      <c r="N97" s="15"/>
      <c r="O97" s="15"/>
      <c r="P97" s="15"/>
      <c r="Q97" s="15"/>
      <c r="R97" s="24">
        <v>223.0</v>
      </c>
      <c r="S97" s="15"/>
      <c r="T97" s="15"/>
      <c r="U97" s="15"/>
      <c r="V97" s="31"/>
      <c r="W97" s="15"/>
      <c r="X97" s="14"/>
      <c r="Y97" s="14">
        <v>473.0</v>
      </c>
      <c r="Z97" s="25">
        <v>211.0</v>
      </c>
      <c r="AA97" s="25"/>
      <c r="AB97" s="25">
        <v>457.0</v>
      </c>
      <c r="AC97" s="14">
        <v>478.0</v>
      </c>
      <c r="AD97" s="14"/>
      <c r="AE97" s="14">
        <v>252.0</v>
      </c>
      <c r="AF97" s="14">
        <v>412.0</v>
      </c>
      <c r="AG97" s="14"/>
      <c r="AH97" s="14">
        <v>279.0</v>
      </c>
      <c r="AI97" s="14">
        <v>257.0</v>
      </c>
      <c r="AJ97" s="14">
        <v>305.0</v>
      </c>
      <c r="AK97" s="14"/>
      <c r="AL97" s="14">
        <v>299.0</v>
      </c>
      <c r="AM97" s="14">
        <v>267.0</v>
      </c>
      <c r="AN97" s="14">
        <v>476.0</v>
      </c>
      <c r="AO97" s="14">
        <v>221.0</v>
      </c>
      <c r="AP97" s="14">
        <v>327.0</v>
      </c>
      <c r="AQ97" s="14">
        <v>244.0</v>
      </c>
      <c r="AR97" s="14"/>
      <c r="AS97" s="14">
        <v>222.0</v>
      </c>
      <c r="AT97" s="14">
        <v>478.0</v>
      </c>
      <c r="AU97" s="14">
        <v>211.0</v>
      </c>
      <c r="AV97" s="14">
        <v>206.0</v>
      </c>
      <c r="AW97" s="14">
        <v>226.0</v>
      </c>
      <c r="AX97" s="14">
        <v>249.0</v>
      </c>
      <c r="AY97" s="14">
        <v>151.0</v>
      </c>
      <c r="AZ97" s="26"/>
      <c r="BA97" s="26"/>
      <c r="BB97" s="26"/>
      <c r="BC97" s="26"/>
    </row>
    <row r="98">
      <c r="A98" s="27">
        <f>HYPERLINK("https://arcprize.org/play?task=3c9b0459", 87)</f>
        <v>87</v>
      </c>
      <c r="B98" s="14">
        <v>36.0</v>
      </c>
      <c r="C98" s="14">
        <v>36.0</v>
      </c>
      <c r="D98" s="14">
        <v>36.0</v>
      </c>
      <c r="E98" s="14">
        <v>36.0</v>
      </c>
      <c r="F98" s="22">
        <v>36.0</v>
      </c>
      <c r="G98" s="14">
        <v>36.0</v>
      </c>
      <c r="H98" s="14">
        <v>36.0</v>
      </c>
      <c r="I98" s="14">
        <v>36.0</v>
      </c>
      <c r="J98" s="23">
        <v>36.0</v>
      </c>
      <c r="K98" s="14">
        <v>36.0</v>
      </c>
      <c r="L98" s="14">
        <v>36.0</v>
      </c>
      <c r="M98" s="22">
        <v>36.0</v>
      </c>
      <c r="N98" s="14"/>
      <c r="O98" s="14"/>
      <c r="P98" s="14">
        <v>37.0</v>
      </c>
      <c r="Q98" s="14">
        <v>36.0</v>
      </c>
      <c r="R98" s="24">
        <v>36.0</v>
      </c>
      <c r="S98" s="14">
        <v>36.0</v>
      </c>
      <c r="T98" s="14">
        <v>36.0</v>
      </c>
      <c r="U98" s="14">
        <v>36.0</v>
      </c>
      <c r="V98" s="29">
        <v>36.0</v>
      </c>
      <c r="W98" s="14">
        <v>36.0</v>
      </c>
      <c r="X98" s="14">
        <v>36.0</v>
      </c>
      <c r="Y98" s="14">
        <v>36.0</v>
      </c>
      <c r="Z98" s="30">
        <v>36.0</v>
      </c>
      <c r="AA98" s="25"/>
      <c r="AB98" s="25">
        <v>36.0</v>
      </c>
      <c r="AC98" s="14">
        <v>36.0</v>
      </c>
      <c r="AD98" s="14">
        <v>36.0</v>
      </c>
      <c r="AE98" s="14">
        <v>36.0</v>
      </c>
      <c r="AF98" s="14">
        <v>36.0</v>
      </c>
      <c r="AG98" s="14">
        <v>36.0</v>
      </c>
      <c r="AH98" s="14">
        <v>36.0</v>
      </c>
      <c r="AI98" s="14">
        <v>36.0</v>
      </c>
      <c r="AJ98" s="14">
        <v>36.0</v>
      </c>
      <c r="AK98" s="14">
        <v>36.0</v>
      </c>
      <c r="AL98" s="14">
        <v>36.0</v>
      </c>
      <c r="AM98" s="14">
        <v>36.0</v>
      </c>
      <c r="AN98" s="14">
        <v>36.0</v>
      </c>
      <c r="AO98" s="14">
        <v>36.0</v>
      </c>
      <c r="AP98" s="14">
        <v>36.0</v>
      </c>
      <c r="AQ98" s="14">
        <v>36.0</v>
      </c>
      <c r="AR98" s="14"/>
      <c r="AS98" s="14">
        <v>36.0</v>
      </c>
      <c r="AT98" s="14">
        <v>36.0</v>
      </c>
      <c r="AU98" s="14">
        <v>36.0</v>
      </c>
      <c r="AV98" s="14">
        <v>36.0</v>
      </c>
      <c r="AW98" s="14">
        <v>36.0</v>
      </c>
      <c r="AX98" s="14">
        <v>36.0</v>
      </c>
      <c r="AY98" s="14">
        <v>36.0</v>
      </c>
      <c r="AZ98" s="26"/>
      <c r="BA98" s="26"/>
      <c r="BB98" s="26"/>
      <c r="BC98" s="26"/>
    </row>
    <row r="99">
      <c r="A99" s="27">
        <f>HYPERLINK("https://arcprize.org/play?task=3de23699", 88)</f>
        <v>88</v>
      </c>
      <c r="B99" s="14">
        <v>98.0</v>
      </c>
      <c r="C99" s="14">
        <v>327.0</v>
      </c>
      <c r="D99" s="14">
        <v>100.0</v>
      </c>
      <c r="E99" s="14">
        <v>197.0</v>
      </c>
      <c r="F99" s="22">
        <v>95.0</v>
      </c>
      <c r="G99" s="14">
        <v>297.0</v>
      </c>
      <c r="H99" s="14"/>
      <c r="I99" s="14"/>
      <c r="J99" s="23">
        <v>110.0</v>
      </c>
      <c r="K99" s="14">
        <v>108.0</v>
      </c>
      <c r="L99" s="14">
        <v>136.0</v>
      </c>
      <c r="M99" s="22">
        <v>102.0</v>
      </c>
      <c r="N99" s="14"/>
      <c r="O99" s="14"/>
      <c r="P99" s="14"/>
      <c r="Q99" s="14">
        <v>231.0</v>
      </c>
      <c r="R99" s="24">
        <v>119.0</v>
      </c>
      <c r="S99" s="14">
        <v>149.0</v>
      </c>
      <c r="T99" s="14"/>
      <c r="U99" s="14">
        <v>342.0</v>
      </c>
      <c r="V99" s="29">
        <v>136.0</v>
      </c>
      <c r="W99" s="14">
        <v>112.0</v>
      </c>
      <c r="X99" s="14">
        <v>321.0</v>
      </c>
      <c r="Y99" s="14">
        <v>263.0</v>
      </c>
      <c r="Z99" s="25">
        <v>100.0</v>
      </c>
      <c r="AA99" s="25"/>
      <c r="AB99" s="25">
        <v>240.0</v>
      </c>
      <c r="AC99" s="14">
        <v>289.0</v>
      </c>
      <c r="AD99" s="14"/>
      <c r="AE99" s="14">
        <v>289.0</v>
      </c>
      <c r="AF99" s="14">
        <v>321.0</v>
      </c>
      <c r="AG99" s="14">
        <v>158.0</v>
      </c>
      <c r="AH99" s="14">
        <v>135.0</v>
      </c>
      <c r="AI99" s="14">
        <v>174.0</v>
      </c>
      <c r="AJ99" s="14">
        <v>240.0</v>
      </c>
      <c r="AK99" s="14"/>
      <c r="AL99" s="14">
        <v>212.0</v>
      </c>
      <c r="AM99" s="14">
        <v>143.0</v>
      </c>
      <c r="AN99" s="14">
        <v>262.0</v>
      </c>
      <c r="AO99" s="14">
        <v>106.0</v>
      </c>
      <c r="AP99" s="14">
        <v>168.0</v>
      </c>
      <c r="AQ99" s="14">
        <v>158.0</v>
      </c>
      <c r="AR99" s="14"/>
      <c r="AS99" s="14">
        <v>131.0</v>
      </c>
      <c r="AT99" s="14">
        <v>214.0</v>
      </c>
      <c r="AU99" s="14">
        <v>106.0</v>
      </c>
      <c r="AV99" s="14">
        <v>110.0</v>
      </c>
      <c r="AW99" s="14">
        <v>105.0</v>
      </c>
      <c r="AX99" s="14">
        <v>146.0</v>
      </c>
      <c r="AY99" s="14">
        <v>95.0</v>
      </c>
      <c r="AZ99" s="26"/>
      <c r="BA99" s="26"/>
      <c r="BB99" s="26"/>
      <c r="BC99" s="26"/>
    </row>
    <row r="100">
      <c r="A100" s="27">
        <f>HYPERLINK("https://arcprize.org/play?task=3e980e27", 89)</f>
        <v>89</v>
      </c>
      <c r="B100" s="14">
        <v>233.0</v>
      </c>
      <c r="C100" s="14">
        <v>553.0</v>
      </c>
      <c r="D100" s="14">
        <v>232.0</v>
      </c>
      <c r="E100" s="14">
        <v>543.0</v>
      </c>
      <c r="F100" s="22">
        <v>233.0</v>
      </c>
      <c r="G100" s="14">
        <v>587.0</v>
      </c>
      <c r="H100" s="15"/>
      <c r="I100" s="15"/>
      <c r="J100" s="23">
        <v>279.0</v>
      </c>
      <c r="K100" s="14">
        <v>265.0</v>
      </c>
      <c r="L100" s="14">
        <v>325.0</v>
      </c>
      <c r="M100" s="22">
        <v>272.0</v>
      </c>
      <c r="N100" s="15"/>
      <c r="O100" s="15"/>
      <c r="P100" s="15"/>
      <c r="Q100" s="14">
        <v>379.0</v>
      </c>
      <c r="R100" s="24">
        <v>332.0</v>
      </c>
      <c r="S100" s="15"/>
      <c r="T100" s="15"/>
      <c r="U100" s="15"/>
      <c r="V100" s="31"/>
      <c r="W100" s="15"/>
      <c r="X100" s="14"/>
      <c r="Y100" s="14">
        <v>480.0</v>
      </c>
      <c r="Z100" s="25">
        <v>269.0</v>
      </c>
      <c r="AA100" s="25"/>
      <c r="AB100" s="25">
        <v>393.0</v>
      </c>
      <c r="AC100" s="14">
        <v>543.0</v>
      </c>
      <c r="AD100" s="14"/>
      <c r="AE100" s="14">
        <v>325.0</v>
      </c>
      <c r="AF100" s="14">
        <v>507.0</v>
      </c>
      <c r="AG100" s="14"/>
      <c r="AH100" s="14">
        <v>326.0</v>
      </c>
      <c r="AI100" s="14">
        <v>319.0</v>
      </c>
      <c r="AJ100" s="14">
        <v>355.0</v>
      </c>
      <c r="AK100" s="14"/>
      <c r="AL100" s="14">
        <v>368.0</v>
      </c>
      <c r="AM100" s="14">
        <v>292.0</v>
      </c>
      <c r="AN100" s="14">
        <v>543.0</v>
      </c>
      <c r="AO100" s="14">
        <v>260.0</v>
      </c>
      <c r="AP100" s="14">
        <v>424.0</v>
      </c>
      <c r="AQ100" s="14">
        <v>298.0</v>
      </c>
      <c r="AR100" s="14"/>
      <c r="AS100" s="14">
        <v>307.0</v>
      </c>
      <c r="AT100" s="14">
        <v>466.0</v>
      </c>
      <c r="AU100" s="14">
        <v>243.0</v>
      </c>
      <c r="AV100" s="14">
        <v>251.0</v>
      </c>
      <c r="AW100" s="14">
        <v>277.0</v>
      </c>
      <c r="AX100" s="14">
        <v>305.0</v>
      </c>
      <c r="AY100" s="14">
        <v>229.0</v>
      </c>
      <c r="AZ100" s="26"/>
      <c r="BA100" s="26"/>
      <c r="BB100" s="26"/>
      <c r="BC100" s="26"/>
    </row>
    <row r="101">
      <c r="A101" s="27">
        <f>HYPERLINK("https://arcprize.org/play?task=3eda0437", 90)</f>
        <v>90</v>
      </c>
      <c r="B101" s="14">
        <v>147.0</v>
      </c>
      <c r="C101" s="14">
        <v>254.0</v>
      </c>
      <c r="D101" s="14">
        <v>153.0</v>
      </c>
      <c r="E101" s="14">
        <v>275.0</v>
      </c>
      <c r="F101" s="22">
        <v>158.0</v>
      </c>
      <c r="G101" s="14">
        <v>283.0</v>
      </c>
      <c r="H101" s="15"/>
      <c r="I101" s="15"/>
      <c r="J101" s="23">
        <v>190.0</v>
      </c>
      <c r="K101" s="14">
        <v>199.0</v>
      </c>
      <c r="L101" s="14">
        <v>224.0</v>
      </c>
      <c r="M101" s="22">
        <v>197.0</v>
      </c>
      <c r="N101" s="15"/>
      <c r="O101" s="15"/>
      <c r="P101" s="15"/>
      <c r="Q101" s="15"/>
      <c r="R101" s="24">
        <v>190.0</v>
      </c>
      <c r="S101" s="14">
        <v>272.0</v>
      </c>
      <c r="T101" s="15"/>
      <c r="U101" s="15"/>
      <c r="V101" s="31"/>
      <c r="W101" s="15"/>
      <c r="X101" s="14"/>
      <c r="Y101" s="14">
        <v>361.0</v>
      </c>
      <c r="Z101" s="25">
        <v>195.0</v>
      </c>
      <c r="AA101" s="25"/>
      <c r="AB101" s="25">
        <v>244.0</v>
      </c>
      <c r="AC101" s="14">
        <v>271.0</v>
      </c>
      <c r="AD101" s="14"/>
      <c r="AE101" s="14">
        <v>230.0</v>
      </c>
      <c r="AF101" s="14">
        <v>312.0</v>
      </c>
      <c r="AG101" s="14">
        <v>263.0</v>
      </c>
      <c r="AH101" s="14">
        <v>211.0</v>
      </c>
      <c r="AI101" s="14">
        <v>226.0</v>
      </c>
      <c r="AJ101" s="14">
        <v>265.0</v>
      </c>
      <c r="AK101" s="14"/>
      <c r="AL101" s="14">
        <v>263.0</v>
      </c>
      <c r="AM101" s="14">
        <v>212.0</v>
      </c>
      <c r="AN101" s="14">
        <v>275.0</v>
      </c>
      <c r="AO101" s="14">
        <v>190.0</v>
      </c>
      <c r="AP101" s="14">
        <v>232.0</v>
      </c>
      <c r="AQ101" s="14">
        <v>232.0</v>
      </c>
      <c r="AR101" s="14"/>
      <c r="AS101" s="14">
        <v>227.0</v>
      </c>
      <c r="AT101" s="14">
        <v>235.0</v>
      </c>
      <c r="AU101" s="14">
        <v>182.0</v>
      </c>
      <c r="AV101" s="14">
        <v>184.0</v>
      </c>
      <c r="AW101" s="14">
        <v>175.0</v>
      </c>
      <c r="AX101" s="14">
        <v>180.0</v>
      </c>
      <c r="AY101" s="14">
        <v>146.0</v>
      </c>
      <c r="AZ101" s="26"/>
      <c r="BA101" s="26"/>
      <c r="BB101" s="26"/>
      <c r="BC101" s="26"/>
    </row>
    <row r="102">
      <c r="A102" s="27">
        <f>HYPERLINK("https://arcprize.org/play?task=3f7978a0", 91)</f>
        <v>91</v>
      </c>
      <c r="B102" s="14">
        <v>62.0</v>
      </c>
      <c r="C102" s="14">
        <v>123.0</v>
      </c>
      <c r="D102" s="14">
        <v>62.0</v>
      </c>
      <c r="E102" s="14">
        <v>123.0</v>
      </c>
      <c r="F102" s="22">
        <v>62.0</v>
      </c>
      <c r="G102" s="14">
        <v>199.0</v>
      </c>
      <c r="H102" s="14"/>
      <c r="I102" s="15"/>
      <c r="J102" s="23">
        <v>63.0</v>
      </c>
      <c r="K102" s="14">
        <v>64.0</v>
      </c>
      <c r="L102" s="14">
        <v>120.0</v>
      </c>
      <c r="M102" s="22">
        <v>63.0</v>
      </c>
      <c r="N102" s="15"/>
      <c r="O102" s="15"/>
      <c r="P102" s="15">
        <v>142.0</v>
      </c>
      <c r="Q102" s="14">
        <v>139.0</v>
      </c>
      <c r="R102" s="24">
        <v>86.0</v>
      </c>
      <c r="S102" s="14">
        <v>210.0</v>
      </c>
      <c r="T102" s="15"/>
      <c r="U102" s="14">
        <v>206.0</v>
      </c>
      <c r="V102" s="29">
        <v>127.0</v>
      </c>
      <c r="W102" s="15"/>
      <c r="X102" s="14">
        <v>238.0</v>
      </c>
      <c r="Y102" s="14">
        <v>236.0</v>
      </c>
      <c r="Z102" s="25">
        <v>64.0</v>
      </c>
      <c r="AA102" s="25"/>
      <c r="AB102" s="25">
        <v>150.0</v>
      </c>
      <c r="AC102" s="14">
        <v>192.0</v>
      </c>
      <c r="AD102" s="14"/>
      <c r="AE102" s="14">
        <v>192.0</v>
      </c>
      <c r="AF102" s="14">
        <v>238.0</v>
      </c>
      <c r="AG102" s="14">
        <v>119.0</v>
      </c>
      <c r="AH102" s="14">
        <v>110.0</v>
      </c>
      <c r="AI102" s="14">
        <v>123.0</v>
      </c>
      <c r="AJ102" s="14">
        <v>167.0</v>
      </c>
      <c r="AK102" s="14"/>
      <c r="AL102" s="14">
        <v>124.0</v>
      </c>
      <c r="AM102" s="14">
        <v>110.0</v>
      </c>
      <c r="AN102" s="14">
        <v>124.0</v>
      </c>
      <c r="AO102" s="14">
        <v>64.0</v>
      </c>
      <c r="AP102" s="14">
        <v>118.0</v>
      </c>
      <c r="AQ102" s="14">
        <v>110.0</v>
      </c>
      <c r="AR102" s="14"/>
      <c r="AS102" s="14">
        <v>92.0</v>
      </c>
      <c r="AT102" s="14">
        <v>124.0</v>
      </c>
      <c r="AU102" s="14">
        <v>63.0</v>
      </c>
      <c r="AV102" s="14">
        <v>69.0</v>
      </c>
      <c r="AW102" s="14">
        <v>63.0</v>
      </c>
      <c r="AX102" s="14">
        <v>109.0</v>
      </c>
      <c r="AY102" s="14">
        <v>62.0</v>
      </c>
      <c r="AZ102" s="26"/>
      <c r="BA102" s="26"/>
      <c r="BB102" s="26"/>
      <c r="BC102" s="26"/>
    </row>
    <row r="103">
      <c r="A103" s="27">
        <f>HYPERLINK("https://arcprize.org/play?task=40853293", 92)</f>
        <v>92</v>
      </c>
      <c r="B103" s="14">
        <v>86.0</v>
      </c>
      <c r="C103" s="14">
        <v>189.0</v>
      </c>
      <c r="D103" s="14">
        <v>86.0</v>
      </c>
      <c r="E103" s="14">
        <v>189.0</v>
      </c>
      <c r="F103" s="22">
        <v>87.0</v>
      </c>
      <c r="G103" s="14">
        <v>245.0</v>
      </c>
      <c r="H103" s="15"/>
      <c r="I103" s="15"/>
      <c r="J103" s="23">
        <v>101.0</v>
      </c>
      <c r="K103" s="14">
        <v>100.0</v>
      </c>
      <c r="L103" s="14">
        <v>103.0</v>
      </c>
      <c r="M103" s="22">
        <v>98.0</v>
      </c>
      <c r="N103" s="15"/>
      <c r="O103" s="15"/>
      <c r="P103" s="15"/>
      <c r="Q103" s="14">
        <v>181.0</v>
      </c>
      <c r="R103" s="24">
        <v>102.0</v>
      </c>
      <c r="S103" s="15"/>
      <c r="T103" s="15"/>
      <c r="U103" s="14">
        <v>358.0</v>
      </c>
      <c r="V103" s="29">
        <v>126.0</v>
      </c>
      <c r="W103" s="14">
        <v>100.0</v>
      </c>
      <c r="X103" s="14">
        <v>295.0</v>
      </c>
      <c r="Y103" s="14">
        <v>247.0</v>
      </c>
      <c r="Z103" s="25">
        <v>101.0</v>
      </c>
      <c r="AA103" s="25"/>
      <c r="AB103" s="25">
        <v>215.0</v>
      </c>
      <c r="AC103" s="14">
        <v>229.0</v>
      </c>
      <c r="AD103" s="14"/>
      <c r="AE103" s="14">
        <v>229.0</v>
      </c>
      <c r="AF103" s="14">
        <v>245.0</v>
      </c>
      <c r="AG103" s="14">
        <v>289.0</v>
      </c>
      <c r="AH103" s="14">
        <v>155.0</v>
      </c>
      <c r="AI103" s="14">
        <v>104.0</v>
      </c>
      <c r="AJ103" s="14">
        <v>226.0</v>
      </c>
      <c r="AK103" s="14"/>
      <c r="AL103" s="14">
        <v>189.0</v>
      </c>
      <c r="AM103" s="14">
        <v>152.0</v>
      </c>
      <c r="AN103" s="14">
        <v>189.0</v>
      </c>
      <c r="AO103" s="14">
        <v>95.0</v>
      </c>
      <c r="AP103" s="14">
        <v>179.0</v>
      </c>
      <c r="AQ103" s="14">
        <v>153.0</v>
      </c>
      <c r="AR103" s="14"/>
      <c r="AS103" s="14">
        <v>104.0</v>
      </c>
      <c r="AT103" s="14">
        <v>189.0</v>
      </c>
      <c r="AU103" s="14">
        <v>100.0</v>
      </c>
      <c r="AV103" s="14">
        <v>94.0</v>
      </c>
      <c r="AW103" s="14">
        <v>101.0</v>
      </c>
      <c r="AX103" s="14">
        <v>112.0</v>
      </c>
      <c r="AY103" s="14">
        <v>86.0</v>
      </c>
      <c r="AZ103" s="26"/>
      <c r="BA103" s="26"/>
      <c r="BB103" s="26"/>
      <c r="BC103" s="26"/>
    </row>
    <row r="104">
      <c r="A104" s="27">
        <f>HYPERLINK("https://arcprize.org/play?task=4093f84a", 93)</f>
        <v>93</v>
      </c>
      <c r="B104" s="14">
        <v>98.0</v>
      </c>
      <c r="C104" s="14">
        <v>269.0</v>
      </c>
      <c r="D104" s="14">
        <v>98.0</v>
      </c>
      <c r="E104" s="14">
        <v>261.0</v>
      </c>
      <c r="F104" s="22">
        <v>98.0</v>
      </c>
      <c r="G104" s="14">
        <v>283.0</v>
      </c>
      <c r="H104" s="15"/>
      <c r="I104" s="15"/>
      <c r="J104" s="23">
        <v>100.0</v>
      </c>
      <c r="K104" s="14">
        <v>108.0</v>
      </c>
      <c r="L104" s="14">
        <v>120.0</v>
      </c>
      <c r="M104" s="22">
        <v>104.0</v>
      </c>
      <c r="N104" s="15"/>
      <c r="O104" s="15"/>
      <c r="P104" s="15"/>
      <c r="Q104" s="14">
        <v>227.0</v>
      </c>
      <c r="R104" s="24">
        <v>104.0</v>
      </c>
      <c r="S104" s="15"/>
      <c r="T104" s="15"/>
      <c r="U104" s="15"/>
      <c r="V104" s="31"/>
      <c r="W104" s="14">
        <v>112.0</v>
      </c>
      <c r="X104" s="14"/>
      <c r="Y104" s="14">
        <v>333.0</v>
      </c>
      <c r="Z104" s="25">
        <v>103.0</v>
      </c>
      <c r="AA104" s="25"/>
      <c r="AB104" s="25">
        <v>294.0</v>
      </c>
      <c r="AC104" s="14">
        <v>261.0</v>
      </c>
      <c r="AD104" s="14"/>
      <c r="AE104" s="14">
        <v>261.0</v>
      </c>
      <c r="AF104" s="14">
        <v>441.0</v>
      </c>
      <c r="AG104" s="14">
        <v>167.0</v>
      </c>
      <c r="AH104" s="14">
        <v>129.0</v>
      </c>
      <c r="AI104" s="14">
        <v>167.0</v>
      </c>
      <c r="AJ104" s="14">
        <v>269.0</v>
      </c>
      <c r="AK104" s="14"/>
      <c r="AL104" s="14">
        <v>244.0</v>
      </c>
      <c r="AM104" s="14">
        <v>181.0</v>
      </c>
      <c r="AN104" s="14">
        <v>261.0</v>
      </c>
      <c r="AO104" s="14">
        <v>102.0</v>
      </c>
      <c r="AP104" s="14">
        <v>172.0</v>
      </c>
      <c r="AQ104" s="14">
        <v>174.0</v>
      </c>
      <c r="AR104" s="14"/>
      <c r="AS104" s="14">
        <v>127.0</v>
      </c>
      <c r="AT104" s="14">
        <v>261.0</v>
      </c>
      <c r="AU104" s="14">
        <v>118.0</v>
      </c>
      <c r="AV104" s="14">
        <v>108.0</v>
      </c>
      <c r="AW104" s="14">
        <v>100.0</v>
      </c>
      <c r="AX104" s="14">
        <v>104.0</v>
      </c>
      <c r="AY104" s="14">
        <v>98.0</v>
      </c>
      <c r="AZ104" s="26"/>
      <c r="BA104" s="26"/>
      <c r="BB104" s="26"/>
      <c r="BC104" s="26"/>
    </row>
    <row r="105">
      <c r="A105" s="27">
        <f>HYPERLINK("https://arcprize.org/play?task=41e4d17e", 94)</f>
        <v>94</v>
      </c>
      <c r="B105" s="14">
        <v>102.0</v>
      </c>
      <c r="C105" s="14">
        <v>265.0</v>
      </c>
      <c r="D105" s="14">
        <v>97.0</v>
      </c>
      <c r="E105" s="14">
        <v>242.0</v>
      </c>
      <c r="F105" s="22">
        <v>96.0</v>
      </c>
      <c r="G105" s="14">
        <v>260.0</v>
      </c>
      <c r="H105" s="15"/>
      <c r="I105" s="15"/>
      <c r="J105" s="23">
        <v>115.0</v>
      </c>
      <c r="K105" s="14">
        <v>108.0</v>
      </c>
      <c r="L105" s="14">
        <v>154.0</v>
      </c>
      <c r="M105" s="22">
        <v>116.0</v>
      </c>
      <c r="N105" s="15"/>
      <c r="O105" s="15"/>
      <c r="P105" s="15"/>
      <c r="Q105" s="14">
        <v>264.0</v>
      </c>
      <c r="R105" s="24">
        <v>137.0</v>
      </c>
      <c r="S105" s="15"/>
      <c r="T105" s="15"/>
      <c r="U105" s="14">
        <v>248.0</v>
      </c>
      <c r="V105" s="29">
        <v>175.0</v>
      </c>
      <c r="W105" s="14">
        <v>114.0</v>
      </c>
      <c r="X105" s="14">
        <v>264.0</v>
      </c>
      <c r="Y105" s="14">
        <v>231.0</v>
      </c>
      <c r="Z105" s="25">
        <v>105.0</v>
      </c>
      <c r="AA105" s="25"/>
      <c r="AB105" s="25">
        <v>264.0</v>
      </c>
      <c r="AC105" s="14">
        <v>242.0</v>
      </c>
      <c r="AD105" s="14"/>
      <c r="AE105" s="14">
        <v>242.0</v>
      </c>
      <c r="AF105" s="14">
        <v>264.0</v>
      </c>
      <c r="AG105" s="14">
        <v>176.0</v>
      </c>
      <c r="AH105" s="14">
        <v>182.0</v>
      </c>
      <c r="AI105" s="14">
        <v>175.0</v>
      </c>
      <c r="AJ105" s="14">
        <v>235.0</v>
      </c>
      <c r="AK105" s="14"/>
      <c r="AL105" s="14">
        <v>229.0</v>
      </c>
      <c r="AM105" s="14">
        <v>162.0</v>
      </c>
      <c r="AN105" s="14">
        <v>242.0</v>
      </c>
      <c r="AO105" s="14">
        <v>111.0</v>
      </c>
      <c r="AP105" s="14">
        <v>187.0</v>
      </c>
      <c r="AQ105" s="14">
        <v>186.0</v>
      </c>
      <c r="AR105" s="14"/>
      <c r="AS105" s="14">
        <v>141.0</v>
      </c>
      <c r="AT105" s="14">
        <v>225.0</v>
      </c>
      <c r="AU105" s="14">
        <v>102.0</v>
      </c>
      <c r="AV105" s="14">
        <v>124.0</v>
      </c>
      <c r="AW105" s="14">
        <v>130.0</v>
      </c>
      <c r="AX105" s="14">
        <v>108.0</v>
      </c>
      <c r="AY105" s="14">
        <v>96.0</v>
      </c>
      <c r="AZ105" s="26"/>
      <c r="BA105" s="26"/>
      <c r="BB105" s="26"/>
      <c r="BC105" s="26"/>
    </row>
    <row r="106">
      <c r="A106" s="27">
        <f>HYPERLINK("https://arcprize.org/play?task=4258a5f9", 95)</f>
        <v>95</v>
      </c>
      <c r="B106" s="14">
        <v>70.0</v>
      </c>
      <c r="C106" s="14">
        <v>110.0</v>
      </c>
      <c r="D106" s="14">
        <v>74.0</v>
      </c>
      <c r="E106" s="14">
        <v>110.0</v>
      </c>
      <c r="F106" s="22">
        <v>70.0</v>
      </c>
      <c r="G106" s="14">
        <v>170.0</v>
      </c>
      <c r="H106" s="14"/>
      <c r="I106" s="14">
        <v>109.0</v>
      </c>
      <c r="J106" s="23">
        <v>79.0</v>
      </c>
      <c r="K106" s="14">
        <v>86.0</v>
      </c>
      <c r="L106" s="14">
        <v>87.0</v>
      </c>
      <c r="M106" s="22">
        <v>78.0</v>
      </c>
      <c r="N106" s="14"/>
      <c r="O106" s="14"/>
      <c r="P106" s="14"/>
      <c r="Q106" s="14">
        <v>177.0</v>
      </c>
      <c r="R106" s="24">
        <v>106.0</v>
      </c>
      <c r="S106" s="14">
        <v>115.0</v>
      </c>
      <c r="T106" s="14">
        <v>111.0</v>
      </c>
      <c r="U106" s="14">
        <v>162.0</v>
      </c>
      <c r="V106" s="29">
        <v>91.0</v>
      </c>
      <c r="W106" s="14">
        <v>78.0</v>
      </c>
      <c r="X106" s="14">
        <v>170.0</v>
      </c>
      <c r="Y106" s="14">
        <v>170.0</v>
      </c>
      <c r="Z106" s="25">
        <v>86.0</v>
      </c>
      <c r="AA106" s="25"/>
      <c r="AB106" s="25">
        <v>132.0</v>
      </c>
      <c r="AC106" s="14">
        <v>170.0</v>
      </c>
      <c r="AD106" s="14"/>
      <c r="AE106" s="14">
        <v>170.0</v>
      </c>
      <c r="AF106" s="14">
        <v>170.0</v>
      </c>
      <c r="AG106" s="14">
        <v>129.0</v>
      </c>
      <c r="AH106" s="14">
        <v>104.0</v>
      </c>
      <c r="AI106" s="14">
        <v>100.0</v>
      </c>
      <c r="AJ106" s="14">
        <v>133.0</v>
      </c>
      <c r="AK106" s="14"/>
      <c r="AL106" s="14">
        <v>110.0</v>
      </c>
      <c r="AM106" s="14">
        <v>100.0</v>
      </c>
      <c r="AN106" s="14">
        <v>110.0</v>
      </c>
      <c r="AO106" s="14">
        <v>97.0</v>
      </c>
      <c r="AP106" s="14">
        <v>110.0</v>
      </c>
      <c r="AQ106" s="14">
        <v>110.0</v>
      </c>
      <c r="AR106" s="14"/>
      <c r="AS106" s="14">
        <v>94.0</v>
      </c>
      <c r="AT106" s="14">
        <v>110.0</v>
      </c>
      <c r="AU106" s="14">
        <v>77.0</v>
      </c>
      <c r="AV106" s="14">
        <v>79.0</v>
      </c>
      <c r="AW106" s="14">
        <v>85.0</v>
      </c>
      <c r="AX106" s="14">
        <v>91.0</v>
      </c>
      <c r="AY106" s="14">
        <v>70.0</v>
      </c>
      <c r="AZ106" s="26"/>
      <c r="BA106" s="26"/>
      <c r="BB106" s="26"/>
      <c r="BC106" s="26"/>
    </row>
    <row r="107">
      <c r="A107" s="27">
        <f>HYPERLINK("https://arcprize.org/play?task=4290ef0e", 96)</f>
        <v>96</v>
      </c>
      <c r="B107" s="14">
        <v>284.0</v>
      </c>
      <c r="C107" s="14">
        <v>813.0</v>
      </c>
      <c r="D107" s="14">
        <v>282.0</v>
      </c>
      <c r="E107" s="14">
        <v>310.0</v>
      </c>
      <c r="F107" s="22">
        <v>282.0</v>
      </c>
      <c r="G107" s="14">
        <v>870.0</v>
      </c>
      <c r="H107" s="15"/>
      <c r="I107" s="15"/>
      <c r="J107" s="23">
        <v>309.0</v>
      </c>
      <c r="K107" s="14">
        <v>312.0</v>
      </c>
      <c r="L107" s="14">
        <v>361.0</v>
      </c>
      <c r="M107" s="22">
        <v>298.0</v>
      </c>
      <c r="N107" s="15"/>
      <c r="O107" s="15"/>
      <c r="P107" s="15"/>
      <c r="Q107" s="15"/>
      <c r="R107" s="24">
        <v>307.0</v>
      </c>
      <c r="S107" s="15"/>
      <c r="T107" s="14">
        <v>442.0</v>
      </c>
      <c r="U107" s="15"/>
      <c r="V107" s="31"/>
      <c r="W107" s="15"/>
      <c r="X107" s="14"/>
      <c r="Y107" s="14">
        <v>875.0</v>
      </c>
      <c r="Z107" s="25">
        <v>306.0</v>
      </c>
      <c r="AA107" s="25"/>
      <c r="AB107" s="25">
        <v>776.0</v>
      </c>
      <c r="AC107" s="14">
        <v>621.0</v>
      </c>
      <c r="AD107" s="14">
        <v>312.0</v>
      </c>
      <c r="AE107" s="14">
        <v>387.0</v>
      </c>
      <c r="AF107" s="14">
        <v>579.0</v>
      </c>
      <c r="AG107" s="14"/>
      <c r="AH107" s="14">
        <v>580.0</v>
      </c>
      <c r="AI107" s="14">
        <v>325.0</v>
      </c>
      <c r="AJ107" s="14">
        <v>526.0</v>
      </c>
      <c r="AK107" s="14"/>
      <c r="AL107" s="14">
        <v>330.0</v>
      </c>
      <c r="AM107" s="14">
        <v>321.0</v>
      </c>
      <c r="AN107" s="14">
        <v>797.0</v>
      </c>
      <c r="AO107" s="14">
        <v>340.0</v>
      </c>
      <c r="AP107" s="14">
        <v>675.0</v>
      </c>
      <c r="AQ107" s="14">
        <v>317.0</v>
      </c>
      <c r="AR107" s="14"/>
      <c r="AS107" s="14">
        <v>303.0</v>
      </c>
      <c r="AT107" s="14">
        <v>321.0</v>
      </c>
      <c r="AU107" s="14">
        <v>330.0</v>
      </c>
      <c r="AV107" s="14">
        <v>298.0</v>
      </c>
      <c r="AW107" s="14">
        <v>300.0</v>
      </c>
      <c r="AX107" s="14">
        <v>310.0</v>
      </c>
      <c r="AY107" s="14">
        <v>277.0</v>
      </c>
      <c r="AZ107" s="26"/>
      <c r="BA107" s="26"/>
      <c r="BB107" s="26"/>
      <c r="BC107" s="26"/>
    </row>
    <row r="108">
      <c r="A108" s="27">
        <f>HYPERLINK("https://arcprize.org/play?task=42a50994", 97)</f>
        <v>97</v>
      </c>
      <c r="B108" s="14">
        <v>96.0</v>
      </c>
      <c r="C108" s="14">
        <v>280.0</v>
      </c>
      <c r="D108" s="14">
        <v>93.0</v>
      </c>
      <c r="E108" s="14">
        <v>262.0</v>
      </c>
      <c r="F108" s="22">
        <v>98.0</v>
      </c>
      <c r="G108" s="14">
        <v>194.0</v>
      </c>
      <c r="H108" s="15"/>
      <c r="I108" s="15"/>
      <c r="J108" s="23">
        <v>108.0</v>
      </c>
      <c r="K108" s="14">
        <v>108.0</v>
      </c>
      <c r="L108" s="14">
        <v>108.0</v>
      </c>
      <c r="M108" s="22">
        <v>108.0</v>
      </c>
      <c r="N108" s="15"/>
      <c r="O108" s="15"/>
      <c r="P108" s="15"/>
      <c r="Q108" s="14">
        <v>284.0</v>
      </c>
      <c r="R108" s="24">
        <v>110.0</v>
      </c>
      <c r="S108" s="14">
        <v>162.0</v>
      </c>
      <c r="T108" s="14">
        <v>141.0</v>
      </c>
      <c r="U108" s="14">
        <v>313.0</v>
      </c>
      <c r="V108" s="31"/>
      <c r="W108" s="14">
        <v>109.0</v>
      </c>
      <c r="X108" s="14">
        <v>283.0</v>
      </c>
      <c r="Y108" s="14">
        <v>240.0</v>
      </c>
      <c r="Z108" s="25">
        <v>110.0</v>
      </c>
      <c r="AA108" s="25"/>
      <c r="AB108" s="25">
        <v>157.0</v>
      </c>
      <c r="AC108" s="14">
        <v>240.0</v>
      </c>
      <c r="AD108" s="14"/>
      <c r="AE108" s="14">
        <v>265.0</v>
      </c>
      <c r="AF108" s="14">
        <v>283.0</v>
      </c>
      <c r="AG108" s="14">
        <v>143.0</v>
      </c>
      <c r="AH108" s="14">
        <v>136.0</v>
      </c>
      <c r="AI108" s="14">
        <v>116.0</v>
      </c>
      <c r="AJ108" s="14">
        <v>210.0</v>
      </c>
      <c r="AK108" s="14"/>
      <c r="AL108" s="14">
        <v>239.0</v>
      </c>
      <c r="AM108" s="14">
        <v>145.0</v>
      </c>
      <c r="AN108" s="14">
        <v>265.0</v>
      </c>
      <c r="AO108" s="14">
        <v>108.0</v>
      </c>
      <c r="AP108" s="14">
        <v>148.0</v>
      </c>
      <c r="AQ108" s="14">
        <v>160.0</v>
      </c>
      <c r="AR108" s="14"/>
      <c r="AS108" s="14">
        <v>139.0</v>
      </c>
      <c r="AT108" s="14">
        <v>167.0</v>
      </c>
      <c r="AU108" s="14">
        <v>113.0</v>
      </c>
      <c r="AV108" s="14">
        <v>110.0</v>
      </c>
      <c r="AW108" s="14">
        <v>108.0</v>
      </c>
      <c r="AX108" s="14">
        <v>110.0</v>
      </c>
      <c r="AY108" s="14">
        <v>93.0</v>
      </c>
      <c r="AZ108" s="26"/>
      <c r="BA108" s="26"/>
      <c r="BB108" s="26"/>
      <c r="BC108" s="26"/>
    </row>
    <row r="109">
      <c r="A109" s="27">
        <f>HYPERLINK("https://arcprize.org/play?task=4347f46a", 98)</f>
        <v>98</v>
      </c>
      <c r="B109" s="14">
        <v>74.0</v>
      </c>
      <c r="C109" s="14">
        <v>154.0</v>
      </c>
      <c r="D109" s="14">
        <v>64.0</v>
      </c>
      <c r="E109" s="14">
        <v>160.0</v>
      </c>
      <c r="F109" s="22">
        <v>72.0</v>
      </c>
      <c r="G109" s="14">
        <v>175.0</v>
      </c>
      <c r="H109" s="14">
        <v>101.0</v>
      </c>
      <c r="I109" s="15"/>
      <c r="J109" s="23">
        <v>99.0</v>
      </c>
      <c r="K109" s="14">
        <v>97.0</v>
      </c>
      <c r="L109" s="14">
        <v>103.0</v>
      </c>
      <c r="M109" s="22">
        <v>101.0</v>
      </c>
      <c r="N109" s="15"/>
      <c r="O109" s="15"/>
      <c r="P109" s="15">
        <v>122.0</v>
      </c>
      <c r="Q109" s="14">
        <v>191.0</v>
      </c>
      <c r="R109" s="24">
        <v>104.0</v>
      </c>
      <c r="S109" s="15"/>
      <c r="T109" s="14">
        <v>157.0</v>
      </c>
      <c r="U109" s="14">
        <v>185.0</v>
      </c>
      <c r="V109" s="31"/>
      <c r="W109" s="15"/>
      <c r="X109" s="14">
        <v>191.0</v>
      </c>
      <c r="Y109" s="14">
        <v>175.0</v>
      </c>
      <c r="Z109" s="25">
        <v>102.0</v>
      </c>
      <c r="AA109" s="25"/>
      <c r="AB109" s="25">
        <v>181.0</v>
      </c>
      <c r="AC109" s="14">
        <v>171.0</v>
      </c>
      <c r="AD109" s="14"/>
      <c r="AE109" s="14">
        <v>103.0</v>
      </c>
      <c r="AF109" s="14">
        <v>181.0</v>
      </c>
      <c r="AG109" s="14">
        <v>133.0</v>
      </c>
      <c r="AH109" s="14">
        <v>102.0</v>
      </c>
      <c r="AI109" s="14">
        <v>102.0</v>
      </c>
      <c r="AJ109" s="14">
        <v>165.0</v>
      </c>
      <c r="AK109" s="14"/>
      <c r="AL109" s="14">
        <v>152.0</v>
      </c>
      <c r="AM109" s="14">
        <v>122.0</v>
      </c>
      <c r="AN109" s="14">
        <v>172.0</v>
      </c>
      <c r="AO109" s="14">
        <v>96.0</v>
      </c>
      <c r="AP109" s="14">
        <v>114.0</v>
      </c>
      <c r="AQ109" s="14">
        <v>102.0</v>
      </c>
      <c r="AR109" s="14"/>
      <c r="AS109" s="14">
        <v>97.0</v>
      </c>
      <c r="AT109" s="14">
        <v>145.0</v>
      </c>
      <c r="AU109" s="14">
        <v>96.0</v>
      </c>
      <c r="AV109" s="14">
        <v>88.0</v>
      </c>
      <c r="AW109" s="14">
        <v>106.0</v>
      </c>
      <c r="AX109" s="14">
        <v>98.0</v>
      </c>
      <c r="AY109" s="14">
        <v>64.0</v>
      </c>
      <c r="AZ109" s="26"/>
      <c r="BA109" s="26"/>
      <c r="BB109" s="26"/>
      <c r="BC109" s="26"/>
    </row>
    <row r="110">
      <c r="A110" s="27">
        <f>HYPERLINK("https://arcprize.org/play?task=444801d8", 99)</f>
        <v>99</v>
      </c>
      <c r="B110" s="14">
        <v>93.0</v>
      </c>
      <c r="C110" s="14">
        <v>405.0</v>
      </c>
      <c r="D110" s="14">
        <v>103.0</v>
      </c>
      <c r="E110" s="14">
        <v>491.0</v>
      </c>
      <c r="F110" s="22">
        <v>112.0</v>
      </c>
      <c r="G110" s="14">
        <v>508.0</v>
      </c>
      <c r="H110" s="15"/>
      <c r="I110" s="15"/>
      <c r="J110" s="23">
        <v>134.0</v>
      </c>
      <c r="K110" s="14">
        <v>129.0</v>
      </c>
      <c r="L110" s="14">
        <v>171.0</v>
      </c>
      <c r="M110" s="22">
        <v>125.0</v>
      </c>
      <c r="N110" s="15"/>
      <c r="O110" s="15"/>
      <c r="P110" s="15"/>
      <c r="Q110" s="14">
        <v>238.0</v>
      </c>
      <c r="R110" s="24">
        <v>167.0</v>
      </c>
      <c r="S110" s="15"/>
      <c r="T110" s="15"/>
      <c r="U110" s="15"/>
      <c r="V110" s="31"/>
      <c r="W110" s="15"/>
      <c r="X110" s="14"/>
      <c r="Y110" s="14">
        <v>352.0</v>
      </c>
      <c r="Z110" s="25">
        <v>156.0</v>
      </c>
      <c r="AA110" s="25"/>
      <c r="AB110" s="25">
        <v>283.0</v>
      </c>
      <c r="AC110" s="14">
        <v>384.0</v>
      </c>
      <c r="AD110" s="14"/>
      <c r="AE110" s="14">
        <v>185.0</v>
      </c>
      <c r="AF110" s="14">
        <v>459.0</v>
      </c>
      <c r="AG110" s="14">
        <v>161.0</v>
      </c>
      <c r="AH110" s="14">
        <v>242.0</v>
      </c>
      <c r="AI110" s="14">
        <v>225.0</v>
      </c>
      <c r="AJ110" s="14">
        <v>304.0</v>
      </c>
      <c r="AK110" s="14"/>
      <c r="AL110" s="14">
        <v>230.0</v>
      </c>
      <c r="AM110" s="14">
        <v>152.0</v>
      </c>
      <c r="AN110" s="14">
        <v>408.0</v>
      </c>
      <c r="AO110" s="14">
        <v>126.0</v>
      </c>
      <c r="AP110" s="14">
        <v>212.0</v>
      </c>
      <c r="AQ110" s="14">
        <v>189.0</v>
      </c>
      <c r="AR110" s="14"/>
      <c r="AS110" s="14">
        <v>184.0</v>
      </c>
      <c r="AT110" s="14">
        <v>317.0</v>
      </c>
      <c r="AU110" s="14">
        <v>122.0</v>
      </c>
      <c r="AV110" s="14">
        <v>142.0</v>
      </c>
      <c r="AW110" s="14">
        <v>134.0</v>
      </c>
      <c r="AX110" s="14">
        <v>104.0</v>
      </c>
      <c r="AY110" s="14">
        <v>93.0</v>
      </c>
      <c r="AZ110" s="26"/>
      <c r="BA110" s="26"/>
      <c r="BB110" s="26"/>
      <c r="BC110" s="26"/>
    </row>
    <row r="111">
      <c r="A111" s="27">
        <f>HYPERLINK("https://arcprize.org/play?task=445eab21", 100)</f>
        <v>100</v>
      </c>
      <c r="B111" s="14">
        <v>85.0</v>
      </c>
      <c r="C111" s="14">
        <v>154.0</v>
      </c>
      <c r="D111" s="14">
        <v>88.0</v>
      </c>
      <c r="E111" s="14">
        <v>154.0</v>
      </c>
      <c r="F111" s="22">
        <v>88.0</v>
      </c>
      <c r="G111" s="14">
        <v>154.0</v>
      </c>
      <c r="H111" s="14"/>
      <c r="I111" s="14"/>
      <c r="J111" s="23">
        <v>95.0</v>
      </c>
      <c r="K111" s="14">
        <v>96.0</v>
      </c>
      <c r="L111" s="14">
        <v>98.0</v>
      </c>
      <c r="M111" s="22">
        <v>102.0</v>
      </c>
      <c r="N111" s="15"/>
      <c r="O111" s="15"/>
      <c r="P111" s="15"/>
      <c r="Q111" s="14">
        <v>145.0</v>
      </c>
      <c r="R111" s="24">
        <v>88.0</v>
      </c>
      <c r="S111" s="14">
        <v>109.0</v>
      </c>
      <c r="T111" s="14"/>
      <c r="U111" s="14"/>
      <c r="V111" s="31"/>
      <c r="W111" s="14"/>
      <c r="X111" s="14"/>
      <c r="Y111" s="14">
        <v>265.0</v>
      </c>
      <c r="Z111" s="25">
        <v>91.0</v>
      </c>
      <c r="AA111" s="25"/>
      <c r="AB111" s="25">
        <v>180.0</v>
      </c>
      <c r="AC111" s="14">
        <v>154.0</v>
      </c>
      <c r="AD111" s="14"/>
      <c r="AE111" s="14">
        <v>154.0</v>
      </c>
      <c r="AF111" s="14">
        <v>263.0</v>
      </c>
      <c r="AG111" s="14">
        <v>279.0</v>
      </c>
      <c r="AH111" s="14">
        <v>100.0</v>
      </c>
      <c r="AI111" s="14">
        <v>99.0</v>
      </c>
      <c r="AJ111" s="14">
        <v>154.0</v>
      </c>
      <c r="AK111" s="14"/>
      <c r="AL111" s="14">
        <v>120.0</v>
      </c>
      <c r="AM111" s="14">
        <v>118.0</v>
      </c>
      <c r="AN111" s="14">
        <v>137.0</v>
      </c>
      <c r="AO111" s="14">
        <v>86.0</v>
      </c>
      <c r="AP111" s="14">
        <v>99.0</v>
      </c>
      <c r="AQ111" s="14">
        <v>97.0</v>
      </c>
      <c r="AR111" s="14"/>
      <c r="AS111" s="14">
        <v>100.0</v>
      </c>
      <c r="AT111" s="14">
        <v>154.0</v>
      </c>
      <c r="AU111" s="14">
        <v>88.0</v>
      </c>
      <c r="AV111" s="14">
        <v>87.0</v>
      </c>
      <c r="AW111" s="14">
        <v>94.0</v>
      </c>
      <c r="AX111" s="14">
        <v>95.0</v>
      </c>
      <c r="AY111" s="14">
        <v>85.0</v>
      </c>
      <c r="AZ111" s="26"/>
      <c r="BA111" s="26"/>
      <c r="BB111" s="26"/>
      <c r="BC111" s="26"/>
    </row>
    <row r="112">
      <c r="A112" s="27">
        <f>HYPERLINK("https://arcprize.org/play?task=447fd412", 101)</f>
        <v>101</v>
      </c>
      <c r="B112" s="14">
        <v>271.0</v>
      </c>
      <c r="C112" s="14">
        <v>532.0</v>
      </c>
      <c r="D112" s="14">
        <v>258.0</v>
      </c>
      <c r="E112" s="14">
        <v>521.0</v>
      </c>
      <c r="F112" s="22">
        <v>265.0</v>
      </c>
      <c r="G112" s="14">
        <v>981.0</v>
      </c>
      <c r="H112" s="15"/>
      <c r="I112" s="15"/>
      <c r="J112" s="23">
        <v>326.0</v>
      </c>
      <c r="K112" s="14">
        <v>302.0</v>
      </c>
      <c r="L112" s="14">
        <v>361.0</v>
      </c>
      <c r="M112" s="22">
        <v>344.0</v>
      </c>
      <c r="N112" s="15"/>
      <c r="O112" s="15"/>
      <c r="P112" s="15"/>
      <c r="Q112" s="14">
        <v>540.0</v>
      </c>
      <c r="R112" s="24">
        <v>378.0</v>
      </c>
      <c r="S112" s="15"/>
      <c r="T112" s="15"/>
      <c r="U112" s="15"/>
      <c r="V112" s="31"/>
      <c r="W112" s="15"/>
      <c r="X112" s="14"/>
      <c r="Y112" s="14">
        <v>798.0</v>
      </c>
      <c r="Z112" s="25">
        <v>326.0</v>
      </c>
      <c r="AA112" s="25"/>
      <c r="AB112" s="25">
        <v>628.0</v>
      </c>
      <c r="AC112" s="14">
        <v>632.0</v>
      </c>
      <c r="AD112" s="14"/>
      <c r="AE112" s="14">
        <v>361.0</v>
      </c>
      <c r="AF112" s="14">
        <v>628.0</v>
      </c>
      <c r="AG112" s="14"/>
      <c r="AH112" s="14">
        <v>390.0</v>
      </c>
      <c r="AI112" s="14">
        <v>430.0</v>
      </c>
      <c r="AJ112" s="14">
        <v>559.0</v>
      </c>
      <c r="AK112" s="14"/>
      <c r="AL112" s="14">
        <v>396.0</v>
      </c>
      <c r="AM112" s="14">
        <v>399.0</v>
      </c>
      <c r="AN112" s="14">
        <v>764.0</v>
      </c>
      <c r="AO112" s="14">
        <v>290.0</v>
      </c>
      <c r="AP112" s="14">
        <v>472.0</v>
      </c>
      <c r="AQ112" s="14">
        <v>370.0</v>
      </c>
      <c r="AR112" s="14"/>
      <c r="AS112" s="14">
        <v>337.0</v>
      </c>
      <c r="AT112" s="14">
        <v>529.0</v>
      </c>
      <c r="AU112" s="14">
        <v>285.0</v>
      </c>
      <c r="AV112" s="14">
        <v>275.0</v>
      </c>
      <c r="AW112" s="14">
        <v>307.0</v>
      </c>
      <c r="AX112" s="14">
        <v>354.0</v>
      </c>
      <c r="AY112" s="14">
        <v>254.0</v>
      </c>
      <c r="AZ112" s="26"/>
      <c r="BA112" s="26"/>
      <c r="BB112" s="26"/>
      <c r="BC112" s="26"/>
    </row>
    <row r="113">
      <c r="A113" s="27">
        <f>HYPERLINK("https://arcprize.org/play?task=44d8ac46", 102)</f>
        <v>102</v>
      </c>
      <c r="B113" s="14">
        <v>126.0</v>
      </c>
      <c r="C113" s="14">
        <v>279.0</v>
      </c>
      <c r="D113" s="14">
        <v>135.0</v>
      </c>
      <c r="E113" s="14">
        <v>502.0</v>
      </c>
      <c r="F113" s="22">
        <v>124.0</v>
      </c>
      <c r="G113" s="14">
        <v>549.0</v>
      </c>
      <c r="H113" s="15"/>
      <c r="I113" s="15"/>
      <c r="J113" s="23">
        <v>148.0</v>
      </c>
      <c r="K113" s="14">
        <v>171.0</v>
      </c>
      <c r="L113" s="14">
        <v>166.0</v>
      </c>
      <c r="M113" s="22">
        <v>201.0</v>
      </c>
      <c r="N113" s="15"/>
      <c r="O113" s="15"/>
      <c r="P113" s="15"/>
      <c r="Q113" s="14">
        <v>340.0</v>
      </c>
      <c r="R113" s="24">
        <v>194.0</v>
      </c>
      <c r="S113" s="15"/>
      <c r="T113" s="15"/>
      <c r="U113" s="14">
        <v>465.0</v>
      </c>
      <c r="V113" s="31"/>
      <c r="W113" s="14">
        <v>168.0</v>
      </c>
      <c r="X113" s="14"/>
      <c r="Y113" s="14">
        <v>252.0</v>
      </c>
      <c r="Z113" s="25">
        <v>185.0</v>
      </c>
      <c r="AA113" s="25"/>
      <c r="AB113" s="25">
        <v>297.0</v>
      </c>
      <c r="AC113" s="14">
        <v>455.0</v>
      </c>
      <c r="AD113" s="14"/>
      <c r="AE113" s="14">
        <v>206.0</v>
      </c>
      <c r="AF113" s="14">
        <v>447.0</v>
      </c>
      <c r="AG113" s="14"/>
      <c r="AH113" s="14">
        <v>192.0</v>
      </c>
      <c r="AI113" s="14">
        <v>224.0</v>
      </c>
      <c r="AJ113" s="14">
        <v>318.0</v>
      </c>
      <c r="AK113" s="14"/>
      <c r="AL113" s="14">
        <v>210.0</v>
      </c>
      <c r="AM113" s="14">
        <v>224.0</v>
      </c>
      <c r="AN113" s="14">
        <v>363.0</v>
      </c>
      <c r="AO113" s="14">
        <v>150.0</v>
      </c>
      <c r="AP113" s="14">
        <v>233.0</v>
      </c>
      <c r="AQ113" s="14">
        <v>219.0</v>
      </c>
      <c r="AR113" s="14"/>
      <c r="AS113" s="14">
        <v>188.0</v>
      </c>
      <c r="AT113" s="14">
        <v>505.0</v>
      </c>
      <c r="AU113" s="14">
        <v>183.0</v>
      </c>
      <c r="AV113" s="14">
        <v>161.0</v>
      </c>
      <c r="AW113" s="14">
        <v>194.0</v>
      </c>
      <c r="AX113" s="14">
        <v>197.0</v>
      </c>
      <c r="AY113" s="14">
        <v>124.0</v>
      </c>
      <c r="AZ113" s="26"/>
      <c r="BA113" s="26"/>
      <c r="BB113" s="26"/>
      <c r="BC113" s="26"/>
    </row>
    <row r="114">
      <c r="A114" s="27">
        <f>HYPERLINK("https://arcprize.org/play?task=44f52bb0", 103)</f>
        <v>103</v>
      </c>
      <c r="B114" s="14">
        <v>29.0</v>
      </c>
      <c r="C114" s="14">
        <v>38.0</v>
      </c>
      <c r="D114" s="14">
        <v>29.0</v>
      </c>
      <c r="E114" s="14">
        <v>38.0</v>
      </c>
      <c r="F114" s="22">
        <v>29.0</v>
      </c>
      <c r="G114" s="14">
        <v>29.0</v>
      </c>
      <c r="H114" s="14">
        <v>29.0</v>
      </c>
      <c r="I114" s="14">
        <v>29.0</v>
      </c>
      <c r="J114" s="23">
        <v>29.0</v>
      </c>
      <c r="K114" s="14">
        <v>29.0</v>
      </c>
      <c r="L114" s="14">
        <v>29.0</v>
      </c>
      <c r="M114" s="22">
        <v>29.0</v>
      </c>
      <c r="N114" s="14"/>
      <c r="O114" s="14"/>
      <c r="P114" s="14">
        <v>52.0</v>
      </c>
      <c r="Q114" s="14">
        <v>31.0</v>
      </c>
      <c r="R114" s="24">
        <v>29.0</v>
      </c>
      <c r="S114" s="14">
        <v>44.0</v>
      </c>
      <c r="T114" s="14">
        <v>31.0</v>
      </c>
      <c r="U114" s="14">
        <v>54.0</v>
      </c>
      <c r="V114" s="29">
        <v>30.0</v>
      </c>
      <c r="W114" s="14">
        <v>29.0</v>
      </c>
      <c r="X114" s="14">
        <v>78.0</v>
      </c>
      <c r="Y114" s="14">
        <v>78.0</v>
      </c>
      <c r="Z114" s="30">
        <v>29.0</v>
      </c>
      <c r="AA114" s="25"/>
      <c r="AB114" s="25">
        <v>45.0</v>
      </c>
      <c r="AC114" s="14">
        <v>38.0</v>
      </c>
      <c r="AD114" s="14">
        <v>29.0</v>
      </c>
      <c r="AE114" s="14">
        <v>38.0</v>
      </c>
      <c r="AF114" s="14">
        <v>78.0</v>
      </c>
      <c r="AG114" s="14">
        <v>78.0</v>
      </c>
      <c r="AH114" s="14">
        <v>29.0</v>
      </c>
      <c r="AI114" s="14">
        <v>29.0</v>
      </c>
      <c r="AJ114" s="14">
        <v>38.0</v>
      </c>
      <c r="AK114" s="14">
        <v>29.0</v>
      </c>
      <c r="AL114" s="14">
        <v>32.0</v>
      </c>
      <c r="AM114" s="14">
        <v>29.0</v>
      </c>
      <c r="AN114" s="14">
        <v>38.0</v>
      </c>
      <c r="AO114" s="14">
        <v>29.0</v>
      </c>
      <c r="AP114" s="14">
        <v>29.0</v>
      </c>
      <c r="AQ114" s="14">
        <v>30.0</v>
      </c>
      <c r="AR114" s="14"/>
      <c r="AS114" s="14">
        <v>31.0</v>
      </c>
      <c r="AT114" s="14">
        <v>38.0</v>
      </c>
      <c r="AU114" s="14">
        <v>29.0</v>
      </c>
      <c r="AV114" s="14">
        <v>29.0</v>
      </c>
      <c r="AW114" s="14">
        <v>29.0</v>
      </c>
      <c r="AX114" s="14">
        <v>29.0</v>
      </c>
      <c r="AY114" s="14">
        <v>29.0</v>
      </c>
      <c r="AZ114" s="26"/>
      <c r="BA114" s="26"/>
      <c r="BB114" s="26"/>
      <c r="BC114" s="26"/>
    </row>
    <row r="115">
      <c r="A115" s="27">
        <f>HYPERLINK("https://arcprize.org/play?task=4522001f", 104)</f>
        <v>104</v>
      </c>
      <c r="B115" s="14">
        <v>84.0</v>
      </c>
      <c r="C115" s="14">
        <v>143.0</v>
      </c>
      <c r="D115" s="14">
        <v>84.0</v>
      </c>
      <c r="E115" s="14">
        <v>153.0</v>
      </c>
      <c r="F115" s="22">
        <v>84.0</v>
      </c>
      <c r="G115" s="14">
        <v>153.0</v>
      </c>
      <c r="H115" s="15"/>
      <c r="I115" s="14">
        <v>128.0</v>
      </c>
      <c r="J115" s="23">
        <v>94.0</v>
      </c>
      <c r="K115" s="14">
        <v>85.0</v>
      </c>
      <c r="L115" s="14">
        <v>92.0</v>
      </c>
      <c r="M115" s="22">
        <v>93.0</v>
      </c>
      <c r="N115" s="15"/>
      <c r="O115" s="15"/>
      <c r="P115" s="15"/>
      <c r="Q115" s="14">
        <v>154.0</v>
      </c>
      <c r="R115" s="24">
        <v>102.0</v>
      </c>
      <c r="S115" s="15"/>
      <c r="T115" s="15"/>
      <c r="U115" s="14">
        <v>242.0</v>
      </c>
      <c r="V115" s="29">
        <v>138.0</v>
      </c>
      <c r="W115" s="14">
        <v>106.0</v>
      </c>
      <c r="X115" s="14">
        <v>336.0</v>
      </c>
      <c r="Y115" s="14">
        <v>273.0</v>
      </c>
      <c r="Z115" s="25">
        <v>96.0</v>
      </c>
      <c r="AA115" s="25"/>
      <c r="AB115" s="25">
        <v>206.0</v>
      </c>
      <c r="AC115" s="14">
        <v>153.0</v>
      </c>
      <c r="AD115" s="14"/>
      <c r="AE115" s="14">
        <v>153.0</v>
      </c>
      <c r="AF115" s="14">
        <v>225.0</v>
      </c>
      <c r="AG115" s="14">
        <v>237.0</v>
      </c>
      <c r="AH115" s="14">
        <v>153.0</v>
      </c>
      <c r="AI115" s="14">
        <v>119.0</v>
      </c>
      <c r="AJ115" s="14">
        <v>153.0</v>
      </c>
      <c r="AK115" s="14"/>
      <c r="AL115" s="14">
        <v>153.0</v>
      </c>
      <c r="AM115" s="14">
        <v>102.0</v>
      </c>
      <c r="AN115" s="14">
        <v>153.0</v>
      </c>
      <c r="AO115" s="14">
        <v>89.0</v>
      </c>
      <c r="AP115" s="14">
        <v>128.0</v>
      </c>
      <c r="AQ115" s="14">
        <v>130.0</v>
      </c>
      <c r="AR115" s="14"/>
      <c r="AS115" s="14">
        <v>125.0</v>
      </c>
      <c r="AT115" s="14">
        <v>153.0</v>
      </c>
      <c r="AU115" s="14">
        <v>96.0</v>
      </c>
      <c r="AV115" s="14">
        <v>89.0</v>
      </c>
      <c r="AW115" s="14">
        <v>89.0</v>
      </c>
      <c r="AX115" s="14">
        <v>91.0</v>
      </c>
      <c r="AY115" s="14">
        <v>84.0</v>
      </c>
      <c r="AZ115" s="26"/>
      <c r="BA115" s="26"/>
      <c r="BB115" s="26"/>
      <c r="BC115" s="26"/>
    </row>
    <row r="116">
      <c r="A116" s="27">
        <f>HYPERLINK("https://arcprize.org/play?task=4612dd53", 105)</f>
        <v>105</v>
      </c>
      <c r="B116" s="14">
        <v>134.0</v>
      </c>
      <c r="C116" s="14">
        <v>342.0</v>
      </c>
      <c r="D116" s="14">
        <v>139.0</v>
      </c>
      <c r="E116" s="14">
        <v>380.0</v>
      </c>
      <c r="F116" s="22">
        <v>124.0</v>
      </c>
      <c r="G116" s="14">
        <v>414.0</v>
      </c>
      <c r="H116" s="15"/>
      <c r="I116" s="15"/>
      <c r="J116" s="23">
        <v>126.0</v>
      </c>
      <c r="K116" s="14">
        <v>211.0</v>
      </c>
      <c r="L116" s="14">
        <v>256.0</v>
      </c>
      <c r="M116" s="22">
        <v>152.0</v>
      </c>
      <c r="N116" s="15"/>
      <c r="O116" s="15"/>
      <c r="P116" s="15"/>
      <c r="Q116" s="14">
        <v>297.0</v>
      </c>
      <c r="R116" s="24">
        <v>208.0</v>
      </c>
      <c r="S116" s="15"/>
      <c r="T116" s="15"/>
      <c r="U116" s="15"/>
      <c r="V116" s="31"/>
      <c r="W116" s="29">
        <v>217.0</v>
      </c>
      <c r="X116" s="14"/>
      <c r="Y116" s="14">
        <v>322.0</v>
      </c>
      <c r="Z116" s="25">
        <v>172.0</v>
      </c>
      <c r="AA116" s="25"/>
      <c r="AB116" s="25">
        <v>266.0</v>
      </c>
      <c r="AC116" s="14">
        <v>349.0</v>
      </c>
      <c r="AD116" s="14"/>
      <c r="AE116" s="14">
        <v>298.0</v>
      </c>
      <c r="AF116" s="14">
        <v>376.0</v>
      </c>
      <c r="AG116" s="14"/>
      <c r="AH116" s="14">
        <v>303.0</v>
      </c>
      <c r="AI116" s="14">
        <v>249.0</v>
      </c>
      <c r="AJ116" s="14">
        <v>319.0</v>
      </c>
      <c r="AK116" s="14"/>
      <c r="AL116" s="14">
        <v>243.0</v>
      </c>
      <c r="AM116" s="14">
        <v>270.0</v>
      </c>
      <c r="AN116" s="14">
        <v>382.0</v>
      </c>
      <c r="AO116" s="14">
        <v>155.0</v>
      </c>
      <c r="AP116" s="14">
        <v>326.0</v>
      </c>
      <c r="AQ116" s="14">
        <v>246.0</v>
      </c>
      <c r="AR116" s="14"/>
      <c r="AS116" s="14">
        <v>241.0</v>
      </c>
      <c r="AT116" s="14">
        <v>384.0</v>
      </c>
      <c r="AU116" s="14">
        <v>175.0</v>
      </c>
      <c r="AV116" s="14">
        <v>161.0</v>
      </c>
      <c r="AW116" s="14">
        <v>214.0</v>
      </c>
      <c r="AX116" s="14">
        <v>206.0</v>
      </c>
      <c r="AY116" s="14">
        <v>124.0</v>
      </c>
      <c r="AZ116" s="26"/>
      <c r="BA116" s="26"/>
      <c r="BB116" s="26"/>
      <c r="BC116" s="26"/>
    </row>
    <row r="117">
      <c r="A117" s="27">
        <f>HYPERLINK("https://arcprize.org/play?task=46442a0e", 106)</f>
        <v>106</v>
      </c>
      <c r="B117" s="14">
        <v>67.0</v>
      </c>
      <c r="C117" s="14">
        <v>97.0</v>
      </c>
      <c r="D117" s="14">
        <v>55.0</v>
      </c>
      <c r="E117" s="14">
        <v>97.0</v>
      </c>
      <c r="F117" s="22">
        <v>59.0</v>
      </c>
      <c r="G117" s="14">
        <v>97.0</v>
      </c>
      <c r="H117" s="14">
        <v>89.0</v>
      </c>
      <c r="I117" s="14">
        <v>110.0</v>
      </c>
      <c r="J117" s="23">
        <v>67.0</v>
      </c>
      <c r="K117" s="14">
        <v>67.0</v>
      </c>
      <c r="L117" s="14">
        <v>76.0</v>
      </c>
      <c r="M117" s="22">
        <v>66.0</v>
      </c>
      <c r="N117" s="14"/>
      <c r="O117" s="14"/>
      <c r="P117" s="14"/>
      <c r="Q117" s="14">
        <v>81.0</v>
      </c>
      <c r="R117" s="24">
        <v>72.0</v>
      </c>
      <c r="S117" s="14"/>
      <c r="T117" s="14">
        <v>99.0</v>
      </c>
      <c r="U117" s="14">
        <v>122.0</v>
      </c>
      <c r="V117" s="29">
        <v>76.0</v>
      </c>
      <c r="W117" s="14">
        <v>81.0</v>
      </c>
      <c r="X117" s="14">
        <v>122.0</v>
      </c>
      <c r="Y117" s="14">
        <v>122.0</v>
      </c>
      <c r="Z117" s="25">
        <v>81.0</v>
      </c>
      <c r="AA117" s="25"/>
      <c r="AB117" s="25">
        <v>107.0</v>
      </c>
      <c r="AC117" s="14">
        <v>97.0</v>
      </c>
      <c r="AD117" s="14"/>
      <c r="AE117" s="14">
        <v>97.0</v>
      </c>
      <c r="AF117" s="14">
        <v>122.0</v>
      </c>
      <c r="AG117" s="14">
        <v>122.0</v>
      </c>
      <c r="AH117" s="14">
        <v>81.0</v>
      </c>
      <c r="AI117" s="14">
        <v>78.0</v>
      </c>
      <c r="AJ117" s="14">
        <v>97.0</v>
      </c>
      <c r="AK117" s="14"/>
      <c r="AL117" s="14">
        <v>97.0</v>
      </c>
      <c r="AM117" s="14">
        <v>79.0</v>
      </c>
      <c r="AN117" s="14">
        <v>97.0</v>
      </c>
      <c r="AO117" s="14">
        <v>66.0</v>
      </c>
      <c r="AP117" s="14">
        <v>97.0</v>
      </c>
      <c r="AQ117" s="14">
        <v>81.0</v>
      </c>
      <c r="AR117" s="14"/>
      <c r="AS117" s="14">
        <v>81.0</v>
      </c>
      <c r="AT117" s="14">
        <v>97.0</v>
      </c>
      <c r="AU117" s="14">
        <v>67.0</v>
      </c>
      <c r="AV117" s="14">
        <v>66.0</v>
      </c>
      <c r="AW117" s="14">
        <v>66.0</v>
      </c>
      <c r="AX117" s="14">
        <v>68.0</v>
      </c>
      <c r="AY117" s="14">
        <v>55.0</v>
      </c>
      <c r="AZ117" s="26"/>
      <c r="BA117" s="26"/>
      <c r="BB117" s="26"/>
      <c r="BC117" s="26"/>
    </row>
    <row r="118">
      <c r="A118" s="27">
        <f>HYPERLINK("https://arcprize.org/play?task=469497ad", 107)</f>
        <v>107</v>
      </c>
      <c r="B118" s="14">
        <v>161.0</v>
      </c>
      <c r="C118" s="14">
        <v>332.0</v>
      </c>
      <c r="D118" s="14">
        <v>132.0</v>
      </c>
      <c r="E118" s="14">
        <v>307.0</v>
      </c>
      <c r="F118" s="22">
        <v>142.0</v>
      </c>
      <c r="G118" s="14">
        <v>328.0</v>
      </c>
      <c r="H118" s="14"/>
      <c r="I118" s="14"/>
      <c r="J118" s="23">
        <v>144.0</v>
      </c>
      <c r="K118" s="14">
        <v>143.0</v>
      </c>
      <c r="L118" s="14">
        <v>183.0</v>
      </c>
      <c r="M118" s="22">
        <v>193.0</v>
      </c>
      <c r="N118" s="14"/>
      <c r="O118" s="14"/>
      <c r="P118" s="14"/>
      <c r="Q118" s="14">
        <v>288.0</v>
      </c>
      <c r="R118" s="24">
        <v>145.0</v>
      </c>
      <c r="S118" s="14">
        <v>186.0</v>
      </c>
      <c r="T118" s="14">
        <v>174.0</v>
      </c>
      <c r="U118" s="14">
        <v>379.0</v>
      </c>
      <c r="V118" s="33"/>
      <c r="W118" s="29">
        <v>143.0</v>
      </c>
      <c r="X118" s="14">
        <v>332.0</v>
      </c>
      <c r="Y118" s="14">
        <v>332.0</v>
      </c>
      <c r="Z118" s="25">
        <v>143.0</v>
      </c>
      <c r="AA118" s="25"/>
      <c r="AB118" s="25">
        <v>332.0</v>
      </c>
      <c r="AC118" s="14">
        <v>307.0</v>
      </c>
      <c r="AD118" s="14"/>
      <c r="AE118" s="14">
        <v>307.0</v>
      </c>
      <c r="AF118" s="14">
        <v>332.0</v>
      </c>
      <c r="AG118" s="14">
        <v>427.0</v>
      </c>
      <c r="AH118" s="14">
        <v>171.0</v>
      </c>
      <c r="AI118" s="14">
        <v>252.0</v>
      </c>
      <c r="AJ118" s="14">
        <v>277.0</v>
      </c>
      <c r="AK118" s="14"/>
      <c r="AL118" s="14">
        <v>307.0</v>
      </c>
      <c r="AM118" s="14">
        <v>144.0</v>
      </c>
      <c r="AN118" s="14">
        <v>307.0</v>
      </c>
      <c r="AO118" s="14">
        <v>137.0</v>
      </c>
      <c r="AP118" s="14">
        <v>271.0</v>
      </c>
      <c r="AQ118" s="14">
        <v>221.0</v>
      </c>
      <c r="AR118" s="14"/>
      <c r="AS118" s="14">
        <v>187.0</v>
      </c>
      <c r="AT118" s="14">
        <v>307.0</v>
      </c>
      <c r="AU118" s="14">
        <v>205.0</v>
      </c>
      <c r="AV118" s="14">
        <v>149.0</v>
      </c>
      <c r="AW118" s="14">
        <v>137.0</v>
      </c>
      <c r="AX118" s="14">
        <v>142.0</v>
      </c>
      <c r="AY118" s="14">
        <v>132.0</v>
      </c>
      <c r="AZ118" s="26"/>
      <c r="BA118" s="26"/>
      <c r="BB118" s="26"/>
      <c r="BC118" s="26"/>
    </row>
    <row r="119">
      <c r="A119" s="27">
        <f>HYPERLINK("https://arcprize.org/play?task=46f33fce", 108)</f>
        <v>108</v>
      </c>
      <c r="B119" s="14">
        <v>52.0</v>
      </c>
      <c r="C119" s="14">
        <v>176.0</v>
      </c>
      <c r="D119" s="14">
        <v>46.0</v>
      </c>
      <c r="E119" s="14">
        <v>176.0</v>
      </c>
      <c r="F119" s="22">
        <v>52.0</v>
      </c>
      <c r="G119" s="14">
        <v>176.0</v>
      </c>
      <c r="I119" s="14">
        <v>68.0</v>
      </c>
      <c r="J119" s="23">
        <v>64.0</v>
      </c>
      <c r="K119" s="14">
        <v>57.0</v>
      </c>
      <c r="L119" s="14">
        <v>64.0</v>
      </c>
      <c r="M119" s="22">
        <v>58.0</v>
      </c>
      <c r="N119" s="14"/>
      <c r="O119" s="14"/>
      <c r="P119" s="14"/>
      <c r="Q119" s="14">
        <v>86.0</v>
      </c>
      <c r="R119" s="24">
        <v>64.0</v>
      </c>
      <c r="S119" s="14">
        <v>64.0</v>
      </c>
      <c r="T119" s="14">
        <v>68.0</v>
      </c>
      <c r="U119" s="14">
        <v>103.0</v>
      </c>
      <c r="V119" s="29">
        <v>68.0</v>
      </c>
      <c r="W119" s="14">
        <v>64.0</v>
      </c>
      <c r="X119" s="14">
        <v>176.0</v>
      </c>
      <c r="Y119" s="14">
        <v>81.0</v>
      </c>
      <c r="Z119" s="25">
        <v>64.0</v>
      </c>
      <c r="AA119" s="25"/>
      <c r="AB119" s="25">
        <v>88.0</v>
      </c>
      <c r="AC119" s="14">
        <v>176.0</v>
      </c>
      <c r="AD119" s="14"/>
      <c r="AE119" s="14">
        <v>176.0</v>
      </c>
      <c r="AF119" s="14">
        <v>176.0</v>
      </c>
      <c r="AG119" s="14">
        <v>176.0</v>
      </c>
      <c r="AH119" s="14">
        <v>64.0</v>
      </c>
      <c r="AI119" s="14">
        <v>70.0</v>
      </c>
      <c r="AJ119" s="14">
        <v>119.0</v>
      </c>
      <c r="AK119" s="14">
        <v>66.0</v>
      </c>
      <c r="AL119" s="14">
        <v>121.0</v>
      </c>
      <c r="AM119" s="14">
        <v>64.0</v>
      </c>
      <c r="AN119" s="14">
        <v>176.0</v>
      </c>
      <c r="AO119" s="14">
        <v>46.0</v>
      </c>
      <c r="AP119" s="14">
        <v>64.0</v>
      </c>
      <c r="AQ119" s="14">
        <v>64.0</v>
      </c>
      <c r="AR119" s="14"/>
      <c r="AS119" s="14">
        <v>64.0</v>
      </c>
      <c r="AT119" s="14">
        <v>72.0</v>
      </c>
      <c r="AU119" s="14">
        <v>59.0</v>
      </c>
      <c r="AV119" s="14">
        <v>46.0</v>
      </c>
      <c r="AW119" s="14">
        <v>63.0</v>
      </c>
      <c r="AX119" s="14">
        <v>64.0</v>
      </c>
      <c r="AY119" s="14">
        <v>44.0</v>
      </c>
      <c r="AZ119" s="26"/>
      <c r="BA119" s="26"/>
      <c r="BB119" s="26"/>
      <c r="BC119" s="26"/>
    </row>
    <row r="120">
      <c r="A120" s="27">
        <f>HYPERLINK("https://arcprize.org/play?task=47c1f68c", 109)</f>
        <v>109</v>
      </c>
      <c r="B120" s="14">
        <v>80.0</v>
      </c>
      <c r="C120" s="14">
        <v>193.0</v>
      </c>
      <c r="D120" s="14">
        <v>77.0</v>
      </c>
      <c r="E120" s="14">
        <v>193.0</v>
      </c>
      <c r="F120" s="22">
        <v>80.0</v>
      </c>
      <c r="G120" s="14">
        <v>193.0</v>
      </c>
      <c r="H120" s="14">
        <v>97.0</v>
      </c>
      <c r="I120" s="15"/>
      <c r="J120" s="23">
        <v>90.0</v>
      </c>
      <c r="K120" s="14">
        <v>80.0</v>
      </c>
      <c r="L120" s="14">
        <v>93.0</v>
      </c>
      <c r="M120" s="22">
        <v>84.0</v>
      </c>
      <c r="N120" s="15"/>
      <c r="O120" s="15"/>
      <c r="P120" s="15"/>
      <c r="Q120" s="14">
        <v>115.0</v>
      </c>
      <c r="R120" s="24">
        <v>91.0</v>
      </c>
      <c r="S120" s="14">
        <v>124.0</v>
      </c>
      <c r="T120" s="15"/>
      <c r="U120" s="14">
        <v>141.0</v>
      </c>
      <c r="V120" s="29">
        <v>94.0</v>
      </c>
      <c r="W120" s="14">
        <v>101.0</v>
      </c>
      <c r="X120" s="14"/>
      <c r="Y120" s="14">
        <v>287.0</v>
      </c>
      <c r="Z120" s="25">
        <v>91.0</v>
      </c>
      <c r="AA120" s="25"/>
      <c r="AB120" s="25">
        <v>149.0</v>
      </c>
      <c r="AC120" s="14">
        <v>193.0</v>
      </c>
      <c r="AD120" s="14"/>
      <c r="AE120" s="14">
        <v>193.0</v>
      </c>
      <c r="AF120" s="14">
        <v>284.0</v>
      </c>
      <c r="AG120" s="14"/>
      <c r="AH120" s="14">
        <v>94.0</v>
      </c>
      <c r="AI120" s="14">
        <v>96.0</v>
      </c>
      <c r="AJ120" s="14">
        <v>156.0</v>
      </c>
      <c r="AK120" s="14"/>
      <c r="AL120" s="14">
        <v>118.0</v>
      </c>
      <c r="AM120" s="14">
        <v>92.0</v>
      </c>
      <c r="AN120" s="14">
        <v>193.0</v>
      </c>
      <c r="AO120" s="14">
        <v>91.0</v>
      </c>
      <c r="AP120" s="14">
        <v>104.0</v>
      </c>
      <c r="AQ120" s="14">
        <v>96.0</v>
      </c>
      <c r="AR120" s="14"/>
      <c r="AS120" s="14">
        <v>103.0</v>
      </c>
      <c r="AT120" s="14">
        <v>104.0</v>
      </c>
      <c r="AU120" s="14">
        <v>81.0</v>
      </c>
      <c r="AV120" s="14">
        <v>91.0</v>
      </c>
      <c r="AW120" s="14">
        <v>90.0</v>
      </c>
      <c r="AX120" s="14">
        <v>91.0</v>
      </c>
      <c r="AY120" s="14">
        <v>77.0</v>
      </c>
      <c r="AZ120" s="26"/>
      <c r="BA120" s="26"/>
      <c r="BB120" s="26"/>
      <c r="BC120" s="26"/>
    </row>
    <row r="121">
      <c r="A121" s="27">
        <f>HYPERLINK("https://arcprize.org/play?task=484b58aa", 110)</f>
        <v>110</v>
      </c>
      <c r="B121" s="14">
        <v>84.0</v>
      </c>
      <c r="C121" s="14">
        <v>201.0</v>
      </c>
      <c r="D121" s="14">
        <v>84.0</v>
      </c>
      <c r="E121" s="14">
        <v>201.0</v>
      </c>
      <c r="F121" s="22">
        <v>85.0</v>
      </c>
      <c r="G121" s="14">
        <v>261.0</v>
      </c>
      <c r="H121" s="14"/>
      <c r="I121" s="14"/>
      <c r="J121" s="23">
        <v>114.0</v>
      </c>
      <c r="K121" s="14">
        <v>157.0</v>
      </c>
      <c r="L121" s="14">
        <v>195.0</v>
      </c>
      <c r="M121" s="22">
        <v>152.0</v>
      </c>
      <c r="N121" s="14"/>
      <c r="O121" s="14"/>
      <c r="P121" s="14"/>
      <c r="Q121" s="14">
        <v>291.0</v>
      </c>
      <c r="R121" s="24">
        <v>158.0</v>
      </c>
      <c r="S121" s="14"/>
      <c r="T121" s="14"/>
      <c r="U121" s="14">
        <v>328.0</v>
      </c>
      <c r="V121" s="33"/>
      <c r="W121" s="14"/>
      <c r="X121" s="14">
        <v>291.0</v>
      </c>
      <c r="Y121" s="14">
        <v>293.0</v>
      </c>
      <c r="Z121" s="25">
        <v>93.0</v>
      </c>
      <c r="AA121" s="25"/>
      <c r="AB121" s="25">
        <v>284.0</v>
      </c>
      <c r="AC121" s="14">
        <v>257.0</v>
      </c>
      <c r="AD121" s="14"/>
      <c r="AE121" s="14">
        <v>257.0</v>
      </c>
      <c r="AF121" s="14">
        <v>291.0</v>
      </c>
      <c r="AG121" s="14">
        <v>388.0</v>
      </c>
      <c r="AH121" s="14">
        <v>235.0</v>
      </c>
      <c r="AI121" s="14">
        <v>139.0</v>
      </c>
      <c r="AJ121" s="14">
        <v>215.0</v>
      </c>
      <c r="AK121" s="14"/>
      <c r="AL121" s="14">
        <v>201.0</v>
      </c>
      <c r="AM121" s="14">
        <v>186.0</v>
      </c>
      <c r="AN121" s="14">
        <v>201.0</v>
      </c>
      <c r="AO121" s="14">
        <v>83.0</v>
      </c>
      <c r="AP121" s="14">
        <v>192.0</v>
      </c>
      <c r="AQ121" s="14">
        <v>201.0</v>
      </c>
      <c r="AR121" s="14"/>
      <c r="AS121" s="14">
        <v>154.0</v>
      </c>
      <c r="AT121" s="14">
        <v>201.0</v>
      </c>
      <c r="AU121" s="14">
        <v>99.0</v>
      </c>
      <c r="AV121" s="14">
        <v>85.0</v>
      </c>
      <c r="AW121" s="14">
        <v>102.0</v>
      </c>
      <c r="AX121" s="14">
        <v>110.0</v>
      </c>
      <c r="AY121" s="14">
        <v>83.0</v>
      </c>
      <c r="AZ121" s="26"/>
      <c r="BA121" s="26"/>
      <c r="BB121" s="26"/>
      <c r="BC121" s="26"/>
    </row>
    <row r="122">
      <c r="A122" s="27">
        <f>HYPERLINK("https://arcprize.org/play?task=48d8fb45", 111)</f>
        <v>111</v>
      </c>
      <c r="B122" s="14">
        <v>60.0</v>
      </c>
      <c r="C122" s="14">
        <v>98.0</v>
      </c>
      <c r="D122" s="14">
        <v>60.0</v>
      </c>
      <c r="E122" s="14">
        <v>98.0</v>
      </c>
      <c r="F122" s="22">
        <v>60.0</v>
      </c>
      <c r="G122" s="14">
        <v>102.0</v>
      </c>
      <c r="H122" s="14">
        <v>85.0</v>
      </c>
      <c r="I122" s="14">
        <v>94.0</v>
      </c>
      <c r="J122" s="23">
        <v>60.0</v>
      </c>
      <c r="K122" s="14">
        <v>63.0</v>
      </c>
      <c r="L122" s="14">
        <v>61.0</v>
      </c>
      <c r="M122" s="22">
        <v>61.0</v>
      </c>
      <c r="N122" s="15"/>
      <c r="O122" s="15"/>
      <c r="P122" s="15"/>
      <c r="Q122" s="14">
        <v>96.0</v>
      </c>
      <c r="R122" s="24">
        <v>63.0</v>
      </c>
      <c r="S122" s="14">
        <v>108.0</v>
      </c>
      <c r="T122" s="14">
        <v>75.0</v>
      </c>
      <c r="U122" s="14">
        <v>102.0</v>
      </c>
      <c r="V122" s="29">
        <v>73.0</v>
      </c>
      <c r="W122" s="14">
        <v>75.0</v>
      </c>
      <c r="X122" s="14">
        <v>102.0</v>
      </c>
      <c r="Y122" s="14">
        <v>102.0</v>
      </c>
      <c r="Z122" s="25">
        <v>63.0</v>
      </c>
      <c r="AA122" s="25"/>
      <c r="AB122" s="25">
        <v>102.0</v>
      </c>
      <c r="AC122" s="14">
        <v>98.0</v>
      </c>
      <c r="AD122" s="14"/>
      <c r="AE122" s="14">
        <v>102.0</v>
      </c>
      <c r="AF122" s="14">
        <v>102.0</v>
      </c>
      <c r="AG122" s="14">
        <v>102.0</v>
      </c>
      <c r="AH122" s="14">
        <v>71.0</v>
      </c>
      <c r="AI122" s="14">
        <v>94.0</v>
      </c>
      <c r="AJ122" s="14">
        <v>102.0</v>
      </c>
      <c r="AK122" s="14"/>
      <c r="AL122" s="14">
        <v>98.0</v>
      </c>
      <c r="AM122" s="14">
        <v>63.0</v>
      </c>
      <c r="AN122" s="14">
        <v>102.0</v>
      </c>
      <c r="AO122" s="14">
        <v>61.0</v>
      </c>
      <c r="AP122" s="14">
        <v>81.0</v>
      </c>
      <c r="AQ122" s="14">
        <v>77.0</v>
      </c>
      <c r="AR122" s="14"/>
      <c r="AS122" s="14">
        <v>80.0</v>
      </c>
      <c r="AT122" s="14">
        <v>98.0</v>
      </c>
      <c r="AU122" s="14">
        <v>62.0</v>
      </c>
      <c r="AV122" s="14">
        <v>61.0</v>
      </c>
      <c r="AW122" s="14">
        <v>60.0</v>
      </c>
      <c r="AX122" s="14">
        <v>63.0</v>
      </c>
      <c r="AY122" s="14">
        <v>60.0</v>
      </c>
      <c r="AZ122" s="26"/>
      <c r="BA122" s="26"/>
      <c r="BB122" s="26"/>
      <c r="BC122" s="26"/>
    </row>
    <row r="123">
      <c r="A123" s="27">
        <f>HYPERLINK("https://arcprize.org/play?task=4938f0c2", 112)</f>
        <v>112</v>
      </c>
      <c r="B123" s="14">
        <v>91.0</v>
      </c>
      <c r="C123" s="14">
        <v>198.0</v>
      </c>
      <c r="D123" s="14">
        <v>106.0</v>
      </c>
      <c r="E123" s="14">
        <v>181.0</v>
      </c>
      <c r="F123" s="22">
        <v>91.0</v>
      </c>
      <c r="G123" s="14">
        <v>186.0</v>
      </c>
      <c r="H123" s="15"/>
      <c r="I123" s="15"/>
      <c r="J123" s="23">
        <v>106.0</v>
      </c>
      <c r="K123" s="14">
        <v>131.0</v>
      </c>
      <c r="L123" s="14">
        <v>141.0</v>
      </c>
      <c r="M123" s="22">
        <v>106.0</v>
      </c>
      <c r="N123" s="15"/>
      <c r="O123" s="15"/>
      <c r="P123" s="15"/>
      <c r="Q123" s="14">
        <v>193.0</v>
      </c>
      <c r="R123" s="24">
        <v>147.0</v>
      </c>
      <c r="S123" s="15"/>
      <c r="T123" s="15"/>
      <c r="U123" s="14">
        <v>213.0</v>
      </c>
      <c r="V123" s="31"/>
      <c r="W123" s="14">
        <v>124.0</v>
      </c>
      <c r="X123" s="14">
        <v>211.0</v>
      </c>
      <c r="Y123" s="14">
        <v>211.0</v>
      </c>
      <c r="Z123" s="25">
        <v>114.0</v>
      </c>
      <c r="AA123" s="25"/>
      <c r="AB123" s="25">
        <v>211.0</v>
      </c>
      <c r="AC123" s="14">
        <v>181.0</v>
      </c>
      <c r="AD123" s="14"/>
      <c r="AE123" s="14">
        <v>181.0</v>
      </c>
      <c r="AF123" s="14">
        <v>211.0</v>
      </c>
      <c r="AG123" s="14">
        <v>225.0</v>
      </c>
      <c r="AH123" s="14">
        <v>149.0</v>
      </c>
      <c r="AI123" s="14">
        <v>147.0</v>
      </c>
      <c r="AJ123" s="14">
        <v>186.0</v>
      </c>
      <c r="AK123" s="14"/>
      <c r="AL123" s="14">
        <v>181.0</v>
      </c>
      <c r="AM123" s="14">
        <v>155.0</v>
      </c>
      <c r="AN123" s="14">
        <v>181.0</v>
      </c>
      <c r="AO123" s="14">
        <v>134.0</v>
      </c>
      <c r="AP123" s="14">
        <v>166.0</v>
      </c>
      <c r="AQ123" s="14">
        <v>161.0</v>
      </c>
      <c r="AR123" s="14"/>
      <c r="AS123" s="14">
        <v>115.0</v>
      </c>
      <c r="AT123" s="14">
        <v>181.0</v>
      </c>
      <c r="AU123" s="14">
        <v>103.0</v>
      </c>
      <c r="AV123" s="14">
        <v>101.0</v>
      </c>
      <c r="AW123" s="14">
        <v>126.0</v>
      </c>
      <c r="AX123" s="14">
        <v>129.0</v>
      </c>
      <c r="AY123" s="14">
        <v>91.0</v>
      </c>
      <c r="AZ123" s="26"/>
      <c r="BA123" s="26"/>
      <c r="BB123" s="26"/>
      <c r="BC123" s="26"/>
    </row>
    <row r="124">
      <c r="A124" s="27">
        <f>HYPERLINK("https://arcprize.org/play?task=496994bd", 113)</f>
        <v>113</v>
      </c>
      <c r="B124" s="14">
        <v>25.0</v>
      </c>
      <c r="C124" s="14">
        <v>28.0</v>
      </c>
      <c r="D124" s="14">
        <v>25.0</v>
      </c>
      <c r="E124" s="14">
        <v>28.0</v>
      </c>
      <c r="F124" s="22">
        <v>25.0</v>
      </c>
      <c r="G124" s="14">
        <v>25.0</v>
      </c>
      <c r="H124" s="14">
        <v>25.0</v>
      </c>
      <c r="I124" s="14">
        <v>25.0</v>
      </c>
      <c r="J124" s="23">
        <v>25.0</v>
      </c>
      <c r="K124" s="14">
        <v>25.0</v>
      </c>
      <c r="L124" s="14">
        <v>25.0</v>
      </c>
      <c r="M124" s="22">
        <v>25.0</v>
      </c>
      <c r="N124" s="14"/>
      <c r="O124" s="14"/>
      <c r="P124" s="14">
        <v>38.0</v>
      </c>
      <c r="Q124" s="14">
        <v>25.0</v>
      </c>
      <c r="R124" s="24">
        <v>25.0</v>
      </c>
      <c r="S124" s="14"/>
      <c r="T124" s="14">
        <v>25.0</v>
      </c>
      <c r="U124" s="14">
        <v>25.0</v>
      </c>
      <c r="V124" s="29">
        <v>25.0</v>
      </c>
      <c r="W124" s="14">
        <v>25.0</v>
      </c>
      <c r="X124" s="14">
        <v>28.0</v>
      </c>
      <c r="Y124" s="14">
        <v>28.0</v>
      </c>
      <c r="Z124" s="30">
        <v>25.0</v>
      </c>
      <c r="AA124" s="25"/>
      <c r="AB124" s="25">
        <v>28.0</v>
      </c>
      <c r="AC124" s="14">
        <v>28.0</v>
      </c>
      <c r="AD124" s="14">
        <v>25.0</v>
      </c>
      <c r="AE124" s="14">
        <v>28.0</v>
      </c>
      <c r="AF124" s="14">
        <v>28.0</v>
      </c>
      <c r="AG124" s="14">
        <v>25.0</v>
      </c>
      <c r="AH124" s="14">
        <v>25.0</v>
      </c>
      <c r="AI124" s="14">
        <v>25.0</v>
      </c>
      <c r="AJ124" s="14">
        <v>28.0</v>
      </c>
      <c r="AK124" s="14">
        <v>25.0</v>
      </c>
      <c r="AL124" s="14">
        <v>28.0</v>
      </c>
      <c r="AM124" s="14">
        <v>25.0</v>
      </c>
      <c r="AN124" s="14">
        <v>28.0</v>
      </c>
      <c r="AO124" s="14">
        <v>25.0</v>
      </c>
      <c r="AP124" s="14">
        <v>25.0</v>
      </c>
      <c r="AQ124" s="14">
        <v>25.0</v>
      </c>
      <c r="AR124" s="14"/>
      <c r="AS124" s="14">
        <v>25.0</v>
      </c>
      <c r="AT124" s="14">
        <v>28.0</v>
      </c>
      <c r="AU124" s="14">
        <v>25.0</v>
      </c>
      <c r="AV124" s="14">
        <v>25.0</v>
      </c>
      <c r="AW124" s="14">
        <v>25.0</v>
      </c>
      <c r="AX124" s="14">
        <v>25.0</v>
      </c>
      <c r="AY124" s="14">
        <v>25.0</v>
      </c>
      <c r="AZ124" s="26"/>
      <c r="BA124" s="26"/>
      <c r="BB124" s="26"/>
      <c r="BC124" s="26"/>
    </row>
    <row r="125">
      <c r="A125" s="27">
        <f>HYPERLINK("https://arcprize.org/play?task=49d1d64f", 114)</f>
        <v>114</v>
      </c>
      <c r="B125" s="14">
        <v>64.0</v>
      </c>
      <c r="C125" s="14">
        <v>100.0</v>
      </c>
      <c r="D125" s="14">
        <v>64.0</v>
      </c>
      <c r="E125" s="14">
        <v>100.0</v>
      </c>
      <c r="F125" s="22">
        <v>64.0</v>
      </c>
      <c r="G125" s="14">
        <v>65.0</v>
      </c>
      <c r="H125" s="14">
        <v>65.0</v>
      </c>
      <c r="I125" s="15"/>
      <c r="J125" s="23">
        <v>64.0</v>
      </c>
      <c r="K125" s="14">
        <v>65.0</v>
      </c>
      <c r="L125" s="14">
        <v>65.0</v>
      </c>
      <c r="M125" s="22">
        <v>65.0</v>
      </c>
      <c r="N125" s="15"/>
      <c r="O125" s="15"/>
      <c r="P125" s="15"/>
      <c r="Q125" s="14">
        <v>105.0</v>
      </c>
      <c r="R125" s="24">
        <v>65.0</v>
      </c>
      <c r="S125" s="15"/>
      <c r="T125" s="14">
        <v>66.0</v>
      </c>
      <c r="U125" s="14">
        <v>121.0</v>
      </c>
      <c r="V125" s="29">
        <v>66.0</v>
      </c>
      <c r="W125" s="14">
        <v>66.0</v>
      </c>
      <c r="X125" s="14">
        <v>121.0</v>
      </c>
      <c r="Y125" s="14">
        <v>121.0</v>
      </c>
      <c r="Z125" s="30">
        <v>65.0</v>
      </c>
      <c r="AA125" s="25"/>
      <c r="AB125" s="25">
        <v>67.0</v>
      </c>
      <c r="AC125" s="14">
        <v>74.0</v>
      </c>
      <c r="AD125" s="14">
        <v>65.0</v>
      </c>
      <c r="AE125" s="14">
        <v>100.0</v>
      </c>
      <c r="AF125" s="14">
        <v>122.0</v>
      </c>
      <c r="AG125" s="14">
        <v>121.0</v>
      </c>
      <c r="AH125" s="14">
        <v>65.0</v>
      </c>
      <c r="AI125" s="14">
        <v>97.0</v>
      </c>
      <c r="AJ125" s="14">
        <v>100.0</v>
      </c>
      <c r="AK125" s="14"/>
      <c r="AL125" s="14">
        <v>98.0</v>
      </c>
      <c r="AM125" s="14">
        <v>65.0</v>
      </c>
      <c r="AN125" s="14">
        <v>100.0</v>
      </c>
      <c r="AO125" s="14">
        <v>65.0</v>
      </c>
      <c r="AP125" s="14">
        <v>65.0</v>
      </c>
      <c r="AQ125" s="14">
        <v>65.0</v>
      </c>
      <c r="AR125" s="14"/>
      <c r="AS125" s="14">
        <v>66.0</v>
      </c>
      <c r="AT125" s="14">
        <v>100.0</v>
      </c>
      <c r="AU125" s="14">
        <v>65.0</v>
      </c>
      <c r="AV125" s="14">
        <v>65.0</v>
      </c>
      <c r="AW125" s="14">
        <v>65.0</v>
      </c>
      <c r="AX125" s="14">
        <v>65.0</v>
      </c>
      <c r="AY125" s="14">
        <v>64.0</v>
      </c>
      <c r="AZ125" s="26"/>
      <c r="BA125" s="26"/>
      <c r="BB125" s="26"/>
      <c r="BC125" s="26"/>
    </row>
    <row r="126">
      <c r="A126" s="27">
        <f>HYPERLINK("https://arcprize.org/play?task=4be741c5", 115)</f>
        <v>115</v>
      </c>
      <c r="B126" s="14">
        <v>51.0</v>
      </c>
      <c r="C126" s="14">
        <v>120.0</v>
      </c>
      <c r="D126" s="14">
        <v>52.0</v>
      </c>
      <c r="E126" s="14">
        <v>113.0</v>
      </c>
      <c r="F126" s="22">
        <v>52.0</v>
      </c>
      <c r="G126" s="14">
        <v>123.0</v>
      </c>
      <c r="H126" s="14">
        <v>61.0</v>
      </c>
      <c r="I126" s="14"/>
      <c r="J126" s="23">
        <v>70.0</v>
      </c>
      <c r="K126" s="14">
        <v>70.0</v>
      </c>
      <c r="L126" s="14">
        <v>69.0</v>
      </c>
      <c r="M126" s="22">
        <v>52.0</v>
      </c>
      <c r="N126" s="14"/>
      <c r="O126" s="14"/>
      <c r="P126" s="14"/>
      <c r="Q126" s="14">
        <v>128.0</v>
      </c>
      <c r="R126" s="24">
        <v>69.0</v>
      </c>
      <c r="S126" s="14"/>
      <c r="T126" s="14"/>
      <c r="U126" s="14">
        <v>147.0</v>
      </c>
      <c r="V126" s="29">
        <v>71.0</v>
      </c>
      <c r="W126" s="14">
        <v>89.0</v>
      </c>
      <c r="X126" s="14">
        <v>192.0</v>
      </c>
      <c r="Y126" s="14">
        <v>176.0</v>
      </c>
      <c r="Z126" s="25">
        <v>66.0</v>
      </c>
      <c r="AA126" s="25"/>
      <c r="AB126" s="25">
        <v>142.0</v>
      </c>
      <c r="AC126" s="14">
        <v>123.0</v>
      </c>
      <c r="AD126" s="14">
        <v>88.0</v>
      </c>
      <c r="AE126" s="14">
        <v>123.0</v>
      </c>
      <c r="AF126" s="14">
        <v>192.0</v>
      </c>
      <c r="AG126" s="14">
        <v>75.0</v>
      </c>
      <c r="AH126" s="14">
        <v>82.0</v>
      </c>
      <c r="AI126" s="14">
        <v>84.0</v>
      </c>
      <c r="AJ126" s="14">
        <v>123.0</v>
      </c>
      <c r="AK126" s="14"/>
      <c r="AL126" s="14">
        <v>115.0</v>
      </c>
      <c r="AM126" s="14">
        <v>54.0</v>
      </c>
      <c r="AN126" s="14">
        <v>123.0</v>
      </c>
      <c r="AO126" s="14">
        <v>66.0</v>
      </c>
      <c r="AP126" s="14">
        <v>74.0</v>
      </c>
      <c r="AQ126" s="14">
        <v>79.0</v>
      </c>
      <c r="AR126" s="14"/>
      <c r="AS126" s="14">
        <v>71.0</v>
      </c>
      <c r="AT126" s="14">
        <v>67.0</v>
      </c>
      <c r="AU126" s="14">
        <v>71.0</v>
      </c>
      <c r="AV126" s="14">
        <v>51.0</v>
      </c>
      <c r="AW126" s="14">
        <v>66.0</v>
      </c>
      <c r="AX126" s="14">
        <v>66.0</v>
      </c>
      <c r="AY126" s="14">
        <v>51.0</v>
      </c>
      <c r="AZ126" s="26"/>
      <c r="BA126" s="26"/>
      <c r="BB126" s="26"/>
      <c r="BC126" s="26"/>
    </row>
    <row r="127">
      <c r="A127" s="27">
        <f>HYPERLINK("https://arcprize.org/play?task=4c4377d9", 116)</f>
        <v>116</v>
      </c>
      <c r="B127" s="14">
        <v>20.0</v>
      </c>
      <c r="C127" s="14">
        <v>20.0</v>
      </c>
      <c r="D127" s="14">
        <v>20.0</v>
      </c>
      <c r="E127" s="14">
        <v>20.0</v>
      </c>
      <c r="F127" s="22">
        <v>20.0</v>
      </c>
      <c r="G127" s="14">
        <v>20.0</v>
      </c>
      <c r="H127" s="14">
        <v>20.0</v>
      </c>
      <c r="I127" s="14">
        <v>20.0</v>
      </c>
      <c r="J127" s="23">
        <v>20.0</v>
      </c>
      <c r="K127" s="14">
        <v>20.0</v>
      </c>
      <c r="L127" s="14">
        <v>20.0</v>
      </c>
      <c r="M127" s="22">
        <v>20.0</v>
      </c>
      <c r="N127" s="14"/>
      <c r="O127" s="14"/>
      <c r="P127" s="14">
        <v>21.0</v>
      </c>
      <c r="Q127" s="14">
        <v>20.0</v>
      </c>
      <c r="R127" s="24">
        <v>20.0</v>
      </c>
      <c r="S127" s="14"/>
      <c r="T127" s="14">
        <v>20.0</v>
      </c>
      <c r="U127" s="14">
        <v>20.0</v>
      </c>
      <c r="V127" s="29">
        <v>20.0</v>
      </c>
      <c r="W127" s="14">
        <v>20.0</v>
      </c>
      <c r="X127" s="14">
        <v>20.0</v>
      </c>
      <c r="Y127" s="14">
        <v>20.0</v>
      </c>
      <c r="Z127" s="30">
        <v>20.0</v>
      </c>
      <c r="AA127" s="25"/>
      <c r="AB127" s="25">
        <v>20.0</v>
      </c>
      <c r="AC127" s="14">
        <v>20.0</v>
      </c>
      <c r="AD127" s="14">
        <v>20.0</v>
      </c>
      <c r="AE127" s="14">
        <v>20.0</v>
      </c>
      <c r="AF127" s="14">
        <v>20.0</v>
      </c>
      <c r="AG127" s="14">
        <v>20.0</v>
      </c>
      <c r="AH127" s="14">
        <v>20.0</v>
      </c>
      <c r="AI127" s="14">
        <v>20.0</v>
      </c>
      <c r="AJ127" s="14">
        <v>20.0</v>
      </c>
      <c r="AK127" s="14">
        <v>20.0</v>
      </c>
      <c r="AL127" s="14">
        <v>20.0</v>
      </c>
      <c r="AM127" s="14">
        <v>20.0</v>
      </c>
      <c r="AN127" s="14">
        <v>20.0</v>
      </c>
      <c r="AO127" s="14">
        <v>20.0</v>
      </c>
      <c r="AP127" s="14">
        <v>20.0</v>
      </c>
      <c r="AQ127" s="14">
        <v>20.0</v>
      </c>
      <c r="AR127" s="14"/>
      <c r="AS127" s="14">
        <v>20.0</v>
      </c>
      <c r="AT127" s="14">
        <v>20.0</v>
      </c>
      <c r="AU127" s="14">
        <v>20.0</v>
      </c>
      <c r="AV127" s="14">
        <v>20.0</v>
      </c>
      <c r="AW127" s="14">
        <v>20.0</v>
      </c>
      <c r="AX127" s="14">
        <v>20.0</v>
      </c>
      <c r="AY127" s="14">
        <v>20.0</v>
      </c>
      <c r="AZ127" s="26"/>
      <c r="BA127" s="26"/>
      <c r="BB127" s="26"/>
      <c r="BC127" s="26"/>
    </row>
    <row r="128">
      <c r="A128" s="27">
        <f>HYPERLINK("https://arcprize.org/play?task=4c5c2cf0", 117)</f>
        <v>117</v>
      </c>
      <c r="B128" s="14">
        <v>115.0</v>
      </c>
      <c r="C128" s="14">
        <v>534.0</v>
      </c>
      <c r="D128" s="14">
        <v>130.0</v>
      </c>
      <c r="E128" s="14">
        <v>882.0</v>
      </c>
      <c r="F128" s="22">
        <v>147.0</v>
      </c>
      <c r="G128" s="14">
        <v>965.0</v>
      </c>
      <c r="H128" s="15"/>
      <c r="I128" s="15"/>
      <c r="J128" s="23">
        <v>172.0</v>
      </c>
      <c r="K128" s="14">
        <v>196.0</v>
      </c>
      <c r="L128" s="14">
        <v>253.0</v>
      </c>
      <c r="M128" s="22">
        <v>219.0</v>
      </c>
      <c r="N128" s="15"/>
      <c r="O128" s="15"/>
      <c r="P128" s="15"/>
      <c r="Q128" s="15"/>
      <c r="R128" s="24">
        <v>199.0</v>
      </c>
      <c r="S128" s="15"/>
      <c r="T128" s="15"/>
      <c r="U128" s="14">
        <v>369.0</v>
      </c>
      <c r="V128" s="31"/>
      <c r="W128" s="15"/>
      <c r="X128" s="14"/>
      <c r="Y128" s="14">
        <v>333.0</v>
      </c>
      <c r="Z128" s="25">
        <v>194.0</v>
      </c>
      <c r="AA128" s="25"/>
      <c r="AB128" s="25">
        <v>244.0</v>
      </c>
      <c r="AC128" s="14">
        <v>529.0</v>
      </c>
      <c r="AD128" s="14"/>
      <c r="AE128" s="14">
        <v>253.0</v>
      </c>
      <c r="AF128" s="14">
        <v>485.0</v>
      </c>
      <c r="AG128" s="14"/>
      <c r="AH128" s="14">
        <v>220.0</v>
      </c>
      <c r="AI128" s="14">
        <v>225.0</v>
      </c>
      <c r="AJ128" s="14">
        <v>286.0</v>
      </c>
      <c r="AK128" s="14"/>
      <c r="AL128" s="14">
        <v>265.0</v>
      </c>
      <c r="AM128" s="14">
        <v>223.0</v>
      </c>
      <c r="AN128" s="14">
        <v>397.0</v>
      </c>
      <c r="AO128" s="14">
        <v>175.0</v>
      </c>
      <c r="AP128" s="14">
        <v>263.0</v>
      </c>
      <c r="AQ128" s="14">
        <v>230.0</v>
      </c>
      <c r="AR128" s="14"/>
      <c r="AS128" s="14">
        <v>203.0</v>
      </c>
      <c r="AT128" s="14">
        <v>210.0</v>
      </c>
      <c r="AU128" s="14">
        <v>184.0</v>
      </c>
      <c r="AV128" s="14">
        <v>179.0</v>
      </c>
      <c r="AW128" s="14">
        <v>177.0</v>
      </c>
      <c r="AX128" s="14">
        <v>181.0</v>
      </c>
      <c r="AY128" s="14">
        <v>115.0</v>
      </c>
      <c r="AZ128" s="26"/>
      <c r="BA128" s="26"/>
      <c r="BB128" s="26"/>
      <c r="BC128" s="26"/>
    </row>
    <row r="129">
      <c r="A129" s="27">
        <f>HYPERLINK("https://arcprize.org/play?task=50846271", 118)</f>
        <v>118</v>
      </c>
      <c r="B129" s="14">
        <v>245.0</v>
      </c>
      <c r="C129" s="14">
        <v>295.0</v>
      </c>
      <c r="D129" s="14">
        <v>225.0</v>
      </c>
      <c r="E129" s="14">
        <v>280.0</v>
      </c>
      <c r="F129" s="22">
        <v>244.0</v>
      </c>
      <c r="G129" s="14">
        <v>280.0</v>
      </c>
      <c r="H129" s="15"/>
      <c r="I129" s="15"/>
      <c r="J129" s="23">
        <v>280.0</v>
      </c>
      <c r="K129" s="14">
        <v>280.0</v>
      </c>
      <c r="L129" s="14">
        <v>280.0</v>
      </c>
      <c r="M129" s="22">
        <v>272.0</v>
      </c>
      <c r="N129" s="15"/>
      <c r="O129" s="15"/>
      <c r="P129" s="15"/>
      <c r="Q129" s="14">
        <v>290.0</v>
      </c>
      <c r="R129" s="24">
        <v>278.0</v>
      </c>
      <c r="S129" s="15"/>
      <c r="T129" s="15"/>
      <c r="U129" s="15"/>
      <c r="V129" s="31"/>
      <c r="W129" s="15"/>
      <c r="X129" s="14"/>
      <c r="Y129" s="14">
        <v>553.0</v>
      </c>
      <c r="Z129" s="25">
        <v>280.0</v>
      </c>
      <c r="AA129" s="25">
        <v>280.0</v>
      </c>
      <c r="AB129" s="25">
        <v>290.0</v>
      </c>
      <c r="AC129" s="14">
        <v>280.0</v>
      </c>
      <c r="AD129" s="14">
        <v>280.0</v>
      </c>
      <c r="AE129" s="14">
        <v>280.0</v>
      </c>
      <c r="AF129" s="14">
        <v>511.0</v>
      </c>
      <c r="AG129" s="14"/>
      <c r="AH129" s="14">
        <v>320.0</v>
      </c>
      <c r="AI129" s="14">
        <v>280.0</v>
      </c>
      <c r="AJ129" s="14">
        <v>280.0</v>
      </c>
      <c r="AK129" s="14"/>
      <c r="AL129" s="14">
        <v>280.0</v>
      </c>
      <c r="AM129" s="14">
        <v>322.0</v>
      </c>
      <c r="AN129" s="14">
        <v>280.0</v>
      </c>
      <c r="AO129" s="14">
        <v>257.0</v>
      </c>
      <c r="AP129" s="14">
        <v>279.0</v>
      </c>
      <c r="AQ129" s="14">
        <v>287.0</v>
      </c>
      <c r="AR129" s="14"/>
      <c r="AS129" s="14">
        <v>280.0</v>
      </c>
      <c r="AT129" s="14">
        <v>280.0</v>
      </c>
      <c r="AU129" s="14">
        <v>267.0</v>
      </c>
      <c r="AV129" s="14">
        <v>270.0</v>
      </c>
      <c r="AW129" s="14">
        <v>276.0</v>
      </c>
      <c r="AX129" s="14">
        <v>275.0</v>
      </c>
      <c r="AY129" s="14">
        <v>222.0</v>
      </c>
      <c r="AZ129" s="26"/>
      <c r="BA129" s="26"/>
      <c r="BB129" s="26"/>
      <c r="BC129" s="26"/>
    </row>
    <row r="130">
      <c r="A130" s="27">
        <f>HYPERLINK("https://arcprize.org/play?task=508bd3b6", 119)</f>
        <v>119</v>
      </c>
      <c r="B130" s="14">
        <v>102.0</v>
      </c>
      <c r="C130" s="14">
        <v>278.0</v>
      </c>
      <c r="D130" s="14">
        <v>102.0</v>
      </c>
      <c r="E130" s="14">
        <v>272.0</v>
      </c>
      <c r="F130" s="22">
        <v>102.0</v>
      </c>
      <c r="G130" s="14">
        <v>505.0</v>
      </c>
      <c r="H130" s="15"/>
      <c r="I130" s="15"/>
      <c r="J130" s="23">
        <v>107.0</v>
      </c>
      <c r="K130" s="14">
        <v>163.0</v>
      </c>
      <c r="L130" s="14">
        <v>206.0</v>
      </c>
      <c r="M130" s="22">
        <v>107.0</v>
      </c>
      <c r="N130" s="15"/>
      <c r="O130" s="15"/>
      <c r="P130" s="15">
        <v>698.0</v>
      </c>
      <c r="Q130" s="14">
        <v>265.0</v>
      </c>
      <c r="R130" s="24">
        <v>108.0</v>
      </c>
      <c r="S130" s="15"/>
      <c r="T130" s="15"/>
      <c r="U130" s="15"/>
      <c r="V130" s="31"/>
      <c r="W130" s="15"/>
      <c r="X130" s="14"/>
      <c r="Y130" s="14">
        <v>354.0</v>
      </c>
      <c r="Z130" s="25">
        <v>118.0</v>
      </c>
      <c r="AA130" s="25"/>
      <c r="AB130" s="25">
        <v>401.0</v>
      </c>
      <c r="AC130" s="14">
        <v>383.0</v>
      </c>
      <c r="AD130" s="14"/>
      <c r="AE130" s="14">
        <v>206.0</v>
      </c>
      <c r="AF130" s="14">
        <v>719.0</v>
      </c>
      <c r="AG130" s="14"/>
      <c r="AH130" s="14">
        <v>321.0</v>
      </c>
      <c r="AI130" s="14">
        <v>166.0</v>
      </c>
      <c r="AJ130" s="14">
        <v>276.0</v>
      </c>
      <c r="AK130" s="14"/>
      <c r="AL130" s="14">
        <v>245.0</v>
      </c>
      <c r="AM130" s="14">
        <v>209.0</v>
      </c>
      <c r="AN130" s="14">
        <v>468.0</v>
      </c>
      <c r="AO130" s="14">
        <v>112.0</v>
      </c>
      <c r="AP130" s="14">
        <v>256.0</v>
      </c>
      <c r="AQ130" s="14">
        <v>234.0</v>
      </c>
      <c r="AR130" s="14"/>
      <c r="AS130" s="14">
        <v>135.0</v>
      </c>
      <c r="AT130" s="14">
        <v>275.0</v>
      </c>
      <c r="AU130" s="14">
        <v>111.0</v>
      </c>
      <c r="AV130" s="14">
        <v>107.0</v>
      </c>
      <c r="AW130" s="14">
        <v>102.0</v>
      </c>
      <c r="AX130" s="14">
        <v>107.0</v>
      </c>
      <c r="AY130" s="14">
        <v>102.0</v>
      </c>
      <c r="AZ130" s="26"/>
      <c r="BA130" s="26"/>
      <c r="BB130" s="26"/>
      <c r="BC130" s="26"/>
    </row>
    <row r="131">
      <c r="A131" s="27">
        <f>HYPERLINK("https://arcprize.org/play?task=50cb2852", 120)</f>
        <v>120</v>
      </c>
      <c r="B131" s="14">
        <v>89.0</v>
      </c>
      <c r="C131" s="14">
        <v>361.0</v>
      </c>
      <c r="D131" s="14">
        <v>78.0</v>
      </c>
      <c r="E131" s="14">
        <v>338.0</v>
      </c>
      <c r="F131" s="22">
        <v>85.0</v>
      </c>
      <c r="G131" s="14">
        <v>182.0</v>
      </c>
      <c r="H131" s="15"/>
      <c r="I131" s="15"/>
      <c r="J131" s="23">
        <v>99.0</v>
      </c>
      <c r="K131" s="14">
        <v>109.0</v>
      </c>
      <c r="L131" s="14">
        <v>112.0</v>
      </c>
      <c r="M131" s="22">
        <v>103.0</v>
      </c>
      <c r="N131" s="15"/>
      <c r="O131" s="15"/>
      <c r="P131" s="15"/>
      <c r="Q131" s="14">
        <v>234.0</v>
      </c>
      <c r="R131" s="24">
        <v>114.0</v>
      </c>
      <c r="S131" s="15"/>
      <c r="T131" s="14">
        <v>188.0</v>
      </c>
      <c r="U131" s="14">
        <v>466.0</v>
      </c>
      <c r="V131" s="29">
        <v>112.0</v>
      </c>
      <c r="W131" s="14">
        <v>105.0</v>
      </c>
      <c r="X131" s="14">
        <v>361.0</v>
      </c>
      <c r="Y131" s="14">
        <v>324.0</v>
      </c>
      <c r="Z131" s="25">
        <v>109.0</v>
      </c>
      <c r="AA131" s="25"/>
      <c r="AB131" s="25">
        <v>164.0</v>
      </c>
      <c r="AC131" s="14">
        <v>338.0</v>
      </c>
      <c r="AD131" s="14"/>
      <c r="AE131" s="14">
        <v>160.0</v>
      </c>
      <c r="AF131" s="14">
        <v>361.0</v>
      </c>
      <c r="AG131" s="14"/>
      <c r="AH131" s="14">
        <v>120.0</v>
      </c>
      <c r="AI131" s="14">
        <v>116.0</v>
      </c>
      <c r="AJ131" s="14">
        <v>165.0</v>
      </c>
      <c r="AK131" s="14"/>
      <c r="AL131" s="14">
        <v>140.0</v>
      </c>
      <c r="AM131" s="14">
        <v>118.0</v>
      </c>
      <c r="AN131" s="14">
        <v>338.0</v>
      </c>
      <c r="AO131" s="14">
        <v>105.0</v>
      </c>
      <c r="AP131" s="14">
        <v>141.0</v>
      </c>
      <c r="AQ131" s="14">
        <v>139.0</v>
      </c>
      <c r="AR131" s="14"/>
      <c r="AS131" s="14">
        <v>110.0</v>
      </c>
      <c r="AT131" s="14">
        <v>145.0</v>
      </c>
      <c r="AU131" s="14">
        <v>99.0</v>
      </c>
      <c r="AV131" s="14">
        <v>106.0</v>
      </c>
      <c r="AW131" s="14">
        <v>106.0</v>
      </c>
      <c r="AX131" s="14">
        <v>114.0</v>
      </c>
      <c r="AY131" s="14">
        <v>74.0</v>
      </c>
      <c r="AZ131" s="26"/>
      <c r="BA131" s="26"/>
      <c r="BB131" s="26"/>
      <c r="BC131" s="26"/>
    </row>
    <row r="132">
      <c r="A132" s="27">
        <f>HYPERLINK("https://arcprize.org/play?task=5117e062", 121)</f>
        <v>121</v>
      </c>
      <c r="B132" s="14">
        <v>89.0</v>
      </c>
      <c r="C132" s="14">
        <v>231.0</v>
      </c>
      <c r="D132" s="14">
        <v>88.0</v>
      </c>
      <c r="E132" s="14">
        <v>231.0</v>
      </c>
      <c r="F132" s="22">
        <v>89.0</v>
      </c>
      <c r="G132" s="14">
        <v>210.0</v>
      </c>
      <c r="H132" s="14"/>
      <c r="I132" s="15"/>
      <c r="J132" s="23">
        <v>90.0</v>
      </c>
      <c r="K132" s="14">
        <v>88.0</v>
      </c>
      <c r="L132" s="14">
        <v>90.0</v>
      </c>
      <c r="M132" s="22">
        <v>90.0</v>
      </c>
      <c r="N132" s="15"/>
      <c r="O132" s="15"/>
      <c r="P132" s="15"/>
      <c r="Q132" s="14">
        <v>144.0</v>
      </c>
      <c r="R132" s="24">
        <v>91.0</v>
      </c>
      <c r="S132" s="14">
        <v>237.0</v>
      </c>
      <c r="T132" s="15"/>
      <c r="U132" s="14">
        <v>232.0</v>
      </c>
      <c r="V132" s="29">
        <v>91.0</v>
      </c>
      <c r="W132" s="14">
        <v>90.0</v>
      </c>
      <c r="X132" s="14">
        <v>253.0</v>
      </c>
      <c r="Y132" s="14">
        <v>246.0</v>
      </c>
      <c r="Z132" s="25">
        <v>86.0</v>
      </c>
      <c r="AA132" s="25"/>
      <c r="AB132" s="25">
        <v>208.0</v>
      </c>
      <c r="AC132" s="14">
        <v>231.0</v>
      </c>
      <c r="AD132" s="14"/>
      <c r="AE132" s="14">
        <v>231.0</v>
      </c>
      <c r="AF132" s="14">
        <v>253.0</v>
      </c>
      <c r="AG132" s="14"/>
      <c r="AH132" s="14">
        <v>106.0</v>
      </c>
      <c r="AI132" s="14">
        <v>121.0</v>
      </c>
      <c r="AJ132" s="14">
        <v>195.0</v>
      </c>
      <c r="AK132" s="14"/>
      <c r="AL132" s="14">
        <v>161.0</v>
      </c>
      <c r="AM132" s="14">
        <v>89.0</v>
      </c>
      <c r="AN132" s="14">
        <v>231.0</v>
      </c>
      <c r="AO132" s="14">
        <v>85.0</v>
      </c>
      <c r="AP132" s="14">
        <v>129.0</v>
      </c>
      <c r="AQ132" s="14">
        <v>106.0</v>
      </c>
      <c r="AR132" s="14"/>
      <c r="AS132" s="14">
        <v>110.0</v>
      </c>
      <c r="AT132" s="14">
        <v>192.0</v>
      </c>
      <c r="AU132" s="14">
        <v>102.0</v>
      </c>
      <c r="AV132" s="14">
        <v>89.0</v>
      </c>
      <c r="AW132" s="14">
        <v>89.0</v>
      </c>
      <c r="AX132" s="14">
        <v>85.0</v>
      </c>
      <c r="AY132" s="14">
        <v>84.0</v>
      </c>
      <c r="AZ132" s="26"/>
      <c r="BA132" s="26"/>
      <c r="BB132" s="26"/>
      <c r="BC132" s="26"/>
    </row>
    <row r="133">
      <c r="A133" s="27">
        <f>HYPERLINK("https://arcprize.org/play?task=5168d44c", 122)</f>
        <v>122</v>
      </c>
      <c r="B133" s="14">
        <v>70.0</v>
      </c>
      <c r="C133" s="14">
        <v>233.0</v>
      </c>
      <c r="D133" s="14">
        <v>71.0</v>
      </c>
      <c r="E133" s="14">
        <v>214.0</v>
      </c>
      <c r="F133" s="22">
        <v>75.0</v>
      </c>
      <c r="G133" s="14">
        <v>225.0</v>
      </c>
      <c r="H133" s="14"/>
      <c r="I133" s="14"/>
      <c r="J133" s="23">
        <v>78.0</v>
      </c>
      <c r="K133" s="14">
        <v>101.0</v>
      </c>
      <c r="L133" s="14">
        <v>104.0</v>
      </c>
      <c r="M133" s="22">
        <v>78.0</v>
      </c>
      <c r="N133" s="14"/>
      <c r="O133" s="14"/>
      <c r="P133" s="14"/>
      <c r="Q133" s="14">
        <v>242.0</v>
      </c>
      <c r="R133" s="24">
        <v>104.0</v>
      </c>
      <c r="S133" s="14"/>
      <c r="T133" s="14"/>
      <c r="U133" s="14"/>
      <c r="V133" s="33"/>
      <c r="W133" s="14">
        <v>109.0</v>
      </c>
      <c r="X133" s="14"/>
      <c r="Y133" s="14">
        <v>236.0</v>
      </c>
      <c r="Z133" s="25">
        <v>90.0</v>
      </c>
      <c r="AA133" s="25"/>
      <c r="AB133" s="25">
        <v>241.0</v>
      </c>
      <c r="AC133" s="14">
        <v>214.0</v>
      </c>
      <c r="AD133" s="14"/>
      <c r="AE133" s="14">
        <v>214.0</v>
      </c>
      <c r="AF133" s="14">
        <v>241.0</v>
      </c>
      <c r="AG133" s="14"/>
      <c r="AH133" s="14">
        <v>130.0</v>
      </c>
      <c r="AI133" s="14">
        <v>149.0</v>
      </c>
      <c r="AJ133" s="14">
        <v>224.0</v>
      </c>
      <c r="AK133" s="14"/>
      <c r="AL133" s="14">
        <v>182.0</v>
      </c>
      <c r="AM133" s="14">
        <v>148.0</v>
      </c>
      <c r="AN133" s="14">
        <v>214.0</v>
      </c>
      <c r="AO133" s="14">
        <v>80.0</v>
      </c>
      <c r="AP133" s="14">
        <v>141.0</v>
      </c>
      <c r="AQ133" s="14">
        <v>117.0</v>
      </c>
      <c r="AR133" s="14"/>
      <c r="AS133" s="14">
        <v>115.0</v>
      </c>
      <c r="AT133" s="14">
        <v>214.0</v>
      </c>
      <c r="AU133" s="14">
        <v>90.0</v>
      </c>
      <c r="AV133" s="14">
        <v>89.0</v>
      </c>
      <c r="AW133" s="14">
        <v>89.0</v>
      </c>
      <c r="AX133" s="14">
        <v>84.0</v>
      </c>
      <c r="AY133" s="14">
        <v>70.0</v>
      </c>
      <c r="AZ133" s="26"/>
      <c r="BA133" s="26"/>
      <c r="BB133" s="26"/>
      <c r="BC133" s="26"/>
    </row>
    <row r="134">
      <c r="A134" s="27">
        <f>HYPERLINK("https://arcprize.org/play?task=539a4f51", 123)</f>
        <v>123</v>
      </c>
      <c r="B134" s="14">
        <v>72.0</v>
      </c>
      <c r="C134" s="14">
        <v>163.0</v>
      </c>
      <c r="D134" s="14">
        <v>75.0</v>
      </c>
      <c r="E134" s="14">
        <v>163.0</v>
      </c>
      <c r="F134" s="22">
        <v>75.0</v>
      </c>
      <c r="G134" s="14">
        <v>164.0</v>
      </c>
      <c r="H134" s="14">
        <v>75.0</v>
      </c>
      <c r="I134" s="15"/>
      <c r="J134" s="23">
        <v>75.0</v>
      </c>
      <c r="K134" s="14">
        <v>71.0</v>
      </c>
      <c r="L134" s="14">
        <v>80.0</v>
      </c>
      <c r="M134" s="22">
        <v>75.0</v>
      </c>
      <c r="N134" s="15"/>
      <c r="O134" s="15"/>
      <c r="P134" s="15"/>
      <c r="Q134" s="14">
        <v>86.0</v>
      </c>
      <c r="R134" s="24">
        <v>75.0</v>
      </c>
      <c r="S134" s="15"/>
      <c r="T134" s="14">
        <v>80.0</v>
      </c>
      <c r="U134" s="15"/>
      <c r="V134" s="29">
        <v>80.0</v>
      </c>
      <c r="W134" s="14">
        <v>75.0</v>
      </c>
      <c r="X134" s="14"/>
      <c r="Y134" s="14">
        <v>148.0</v>
      </c>
      <c r="Z134" s="25">
        <v>75.0</v>
      </c>
      <c r="AA134" s="25"/>
      <c r="AB134" s="25">
        <v>123.0</v>
      </c>
      <c r="AC134" s="14">
        <v>163.0</v>
      </c>
      <c r="AD134" s="14"/>
      <c r="AE134" s="14">
        <v>163.0</v>
      </c>
      <c r="AF134" s="14">
        <v>166.0</v>
      </c>
      <c r="AG134" s="14">
        <v>166.0</v>
      </c>
      <c r="AH134" s="14">
        <v>75.0</v>
      </c>
      <c r="AI134" s="14">
        <v>75.0</v>
      </c>
      <c r="AJ134" s="14">
        <v>106.0</v>
      </c>
      <c r="AK134" s="14"/>
      <c r="AL134" s="14">
        <v>124.0</v>
      </c>
      <c r="AM134" s="14">
        <v>76.0</v>
      </c>
      <c r="AN134" s="14">
        <v>163.0</v>
      </c>
      <c r="AO134" s="14">
        <v>71.0</v>
      </c>
      <c r="AP134" s="14">
        <v>94.0</v>
      </c>
      <c r="AQ134" s="14">
        <v>72.0</v>
      </c>
      <c r="AR134" s="14"/>
      <c r="AS134" s="14">
        <v>78.0</v>
      </c>
      <c r="AT134" s="14">
        <v>163.0</v>
      </c>
      <c r="AU134" s="14">
        <v>75.0</v>
      </c>
      <c r="AV134" s="14">
        <v>75.0</v>
      </c>
      <c r="AW134" s="14">
        <v>71.0</v>
      </c>
      <c r="AX134" s="14">
        <v>75.0</v>
      </c>
      <c r="AY134" s="14">
        <v>71.0</v>
      </c>
      <c r="AZ134" s="26"/>
      <c r="BA134" s="26"/>
      <c r="BB134" s="26"/>
      <c r="BC134" s="26"/>
    </row>
    <row r="135">
      <c r="A135" s="27">
        <f>HYPERLINK("https://arcprize.org/play?task=53b68214", 124)</f>
        <v>124</v>
      </c>
      <c r="B135" s="14">
        <v>97.0</v>
      </c>
      <c r="C135" s="14">
        <v>264.0</v>
      </c>
      <c r="D135" s="14">
        <v>95.0</v>
      </c>
      <c r="E135" s="14">
        <v>269.0</v>
      </c>
      <c r="F135" s="22">
        <v>96.0</v>
      </c>
      <c r="G135" s="14">
        <v>294.0</v>
      </c>
      <c r="H135" s="15"/>
      <c r="I135" s="15"/>
      <c r="J135" s="23">
        <v>110.0</v>
      </c>
      <c r="K135" s="14">
        <v>102.0</v>
      </c>
      <c r="L135" s="14">
        <v>110.0</v>
      </c>
      <c r="M135" s="22">
        <v>110.0</v>
      </c>
      <c r="N135" s="15"/>
      <c r="O135" s="15"/>
      <c r="P135" s="15"/>
      <c r="Q135" s="15"/>
      <c r="R135" s="24">
        <v>109.0</v>
      </c>
      <c r="S135" s="15"/>
      <c r="T135" s="14">
        <v>243.0</v>
      </c>
      <c r="U135" s="15"/>
      <c r="V135" s="29">
        <v>114.0</v>
      </c>
      <c r="W135" s="14">
        <v>104.0</v>
      </c>
      <c r="X135" s="14"/>
      <c r="Y135" s="14">
        <v>435.0</v>
      </c>
      <c r="Z135" s="25">
        <v>109.0</v>
      </c>
      <c r="AA135" s="25"/>
      <c r="AB135" s="25">
        <v>189.0</v>
      </c>
      <c r="AC135" s="14">
        <v>274.0</v>
      </c>
      <c r="AD135" s="14"/>
      <c r="AE135" s="14">
        <v>274.0</v>
      </c>
      <c r="AF135" s="14">
        <v>482.0</v>
      </c>
      <c r="AG135" s="14"/>
      <c r="AH135" s="14">
        <v>112.0</v>
      </c>
      <c r="AI135" s="14">
        <v>195.0</v>
      </c>
      <c r="AJ135" s="14">
        <v>238.0</v>
      </c>
      <c r="AK135" s="14"/>
      <c r="AL135" s="14">
        <v>175.0</v>
      </c>
      <c r="AM135" s="14">
        <v>111.0</v>
      </c>
      <c r="AN135" s="14">
        <v>274.0</v>
      </c>
      <c r="AO135" s="14">
        <v>98.0</v>
      </c>
      <c r="AP135" s="14">
        <v>154.0</v>
      </c>
      <c r="AQ135" s="14">
        <v>142.0</v>
      </c>
      <c r="AR135" s="14"/>
      <c r="AS135" s="14">
        <v>127.0</v>
      </c>
      <c r="AT135" s="14">
        <v>237.0</v>
      </c>
      <c r="AU135" s="14">
        <v>108.0</v>
      </c>
      <c r="AV135" s="14">
        <v>103.0</v>
      </c>
      <c r="AW135" s="14">
        <v>109.0</v>
      </c>
      <c r="AX135" s="14">
        <v>125.0</v>
      </c>
      <c r="AY135" s="14">
        <v>95.0</v>
      </c>
      <c r="AZ135" s="26"/>
      <c r="BA135" s="26"/>
      <c r="BB135" s="26"/>
      <c r="BC135" s="26"/>
    </row>
    <row r="136">
      <c r="A136" s="27">
        <f>HYPERLINK("https://arcprize.org/play?task=543a7ed5", 125)</f>
        <v>125</v>
      </c>
      <c r="B136" s="14">
        <v>118.0</v>
      </c>
      <c r="C136" s="14">
        <v>270.0</v>
      </c>
      <c r="D136" s="14">
        <v>116.0</v>
      </c>
      <c r="E136" s="14">
        <v>264.0</v>
      </c>
      <c r="F136" s="22">
        <v>110.0</v>
      </c>
      <c r="G136" s="14">
        <v>278.0</v>
      </c>
      <c r="H136" s="15"/>
      <c r="I136" s="15"/>
      <c r="J136" s="23">
        <v>119.0</v>
      </c>
      <c r="K136" s="14">
        <v>138.0</v>
      </c>
      <c r="L136" s="14">
        <v>182.0</v>
      </c>
      <c r="M136" s="22">
        <v>119.0</v>
      </c>
      <c r="N136" s="15"/>
      <c r="O136" s="15"/>
      <c r="P136" s="15"/>
      <c r="Q136" s="14">
        <v>286.0</v>
      </c>
      <c r="R136" s="24">
        <v>136.0</v>
      </c>
      <c r="S136" s="15"/>
      <c r="T136" s="15"/>
      <c r="U136" s="14">
        <v>579.0</v>
      </c>
      <c r="V136" s="31"/>
      <c r="W136" s="15"/>
      <c r="X136" s="14"/>
      <c r="Y136" s="14">
        <v>304.0</v>
      </c>
      <c r="Z136" s="25">
        <v>126.0</v>
      </c>
      <c r="AA136" s="25"/>
      <c r="AB136" s="25">
        <v>285.0</v>
      </c>
      <c r="AC136" s="14">
        <v>264.0</v>
      </c>
      <c r="AD136" s="14"/>
      <c r="AE136" s="14">
        <v>264.0</v>
      </c>
      <c r="AF136" s="14">
        <v>443.0</v>
      </c>
      <c r="AG136" s="14"/>
      <c r="AH136" s="14">
        <v>190.0</v>
      </c>
      <c r="AI136" s="14">
        <v>239.0</v>
      </c>
      <c r="AJ136" s="14">
        <v>271.0</v>
      </c>
      <c r="AK136" s="14"/>
      <c r="AL136" s="14">
        <v>245.0</v>
      </c>
      <c r="AM136" s="14">
        <v>224.0</v>
      </c>
      <c r="AN136" s="14">
        <v>264.0</v>
      </c>
      <c r="AO136" s="14">
        <v>142.0</v>
      </c>
      <c r="AP136" s="14">
        <v>204.0</v>
      </c>
      <c r="AQ136" s="14">
        <v>208.0</v>
      </c>
      <c r="AR136" s="14"/>
      <c r="AS136" s="14">
        <v>130.0</v>
      </c>
      <c r="AT136" s="14">
        <v>263.0</v>
      </c>
      <c r="AU136" s="14">
        <v>134.0</v>
      </c>
      <c r="AV136" s="14">
        <v>128.0</v>
      </c>
      <c r="AW136" s="14">
        <v>172.0</v>
      </c>
      <c r="AX136" s="14">
        <v>144.0</v>
      </c>
      <c r="AY136" s="14">
        <v>110.0</v>
      </c>
      <c r="AZ136" s="26"/>
      <c r="BA136" s="26"/>
      <c r="BB136" s="26"/>
      <c r="BC136" s="26"/>
    </row>
    <row r="137">
      <c r="A137" s="27">
        <f>HYPERLINK("https://arcprize.org/play?task=54d82841", 126)</f>
        <v>126</v>
      </c>
      <c r="B137" s="14">
        <v>54.0</v>
      </c>
      <c r="C137" s="14">
        <v>190.0</v>
      </c>
      <c r="D137" s="14">
        <v>54.0</v>
      </c>
      <c r="E137" s="14">
        <v>185.0</v>
      </c>
      <c r="F137" s="22">
        <v>54.0</v>
      </c>
      <c r="G137" s="14">
        <v>190.0</v>
      </c>
      <c r="H137" s="14">
        <v>56.0</v>
      </c>
      <c r="I137" s="14">
        <v>60.0</v>
      </c>
      <c r="J137" s="23">
        <v>58.0</v>
      </c>
      <c r="K137" s="14">
        <v>54.0</v>
      </c>
      <c r="L137" s="14">
        <v>58.0</v>
      </c>
      <c r="M137" s="22">
        <v>56.0</v>
      </c>
      <c r="N137" s="15"/>
      <c r="O137" s="15"/>
      <c r="P137" s="15">
        <v>84.0</v>
      </c>
      <c r="Q137" s="14">
        <v>67.0</v>
      </c>
      <c r="R137" s="24">
        <v>57.0</v>
      </c>
      <c r="S137" s="14">
        <v>152.0</v>
      </c>
      <c r="T137" s="14">
        <v>61.0</v>
      </c>
      <c r="U137" s="14">
        <v>94.0</v>
      </c>
      <c r="V137" s="29">
        <v>83.0</v>
      </c>
      <c r="W137" s="14">
        <v>58.0</v>
      </c>
      <c r="X137" s="14">
        <v>200.0</v>
      </c>
      <c r="Y137" s="14">
        <v>196.0</v>
      </c>
      <c r="Z137" s="25">
        <v>54.0</v>
      </c>
      <c r="AA137" s="25"/>
      <c r="AB137" s="25">
        <v>182.0</v>
      </c>
      <c r="AC137" s="14">
        <v>185.0</v>
      </c>
      <c r="AD137" s="14"/>
      <c r="AE137" s="14">
        <v>185.0</v>
      </c>
      <c r="AF137" s="14">
        <v>200.0</v>
      </c>
      <c r="AG137" s="14">
        <v>186.0</v>
      </c>
      <c r="AH137" s="14">
        <v>96.0</v>
      </c>
      <c r="AI137" s="14">
        <v>61.0</v>
      </c>
      <c r="AJ137" s="14">
        <v>146.0</v>
      </c>
      <c r="AK137" s="14">
        <v>63.0</v>
      </c>
      <c r="AL137" s="14">
        <v>107.0</v>
      </c>
      <c r="AM137" s="14">
        <v>93.0</v>
      </c>
      <c r="AN137" s="14">
        <v>185.0</v>
      </c>
      <c r="AO137" s="14">
        <v>54.0</v>
      </c>
      <c r="AP137" s="14">
        <v>115.0</v>
      </c>
      <c r="AQ137" s="14">
        <v>57.0</v>
      </c>
      <c r="AR137" s="14"/>
      <c r="AS137" s="14">
        <v>58.0</v>
      </c>
      <c r="AT137" s="14">
        <v>151.0</v>
      </c>
      <c r="AU137" s="14">
        <v>58.0</v>
      </c>
      <c r="AV137" s="14">
        <v>54.0</v>
      </c>
      <c r="AW137" s="14">
        <v>54.0</v>
      </c>
      <c r="AX137" s="14">
        <v>54.0</v>
      </c>
      <c r="AY137" s="14">
        <v>54.0</v>
      </c>
      <c r="AZ137" s="26"/>
      <c r="BA137" s="26"/>
      <c r="BB137" s="26"/>
      <c r="BC137" s="26"/>
    </row>
    <row r="138">
      <c r="A138" s="27">
        <f>HYPERLINK("https://arcprize.org/play?task=54d9e175", 127)</f>
        <v>127</v>
      </c>
      <c r="B138" s="14">
        <v>57.0</v>
      </c>
      <c r="C138" s="14">
        <v>178.0</v>
      </c>
      <c r="D138" s="14">
        <v>63.0</v>
      </c>
      <c r="E138" s="14">
        <v>178.0</v>
      </c>
      <c r="F138" s="22">
        <v>63.0</v>
      </c>
      <c r="G138" s="14">
        <v>178.0</v>
      </c>
      <c r="H138" s="14">
        <v>82.0</v>
      </c>
      <c r="I138" s="14">
        <v>85.0</v>
      </c>
      <c r="J138" s="23">
        <v>79.0</v>
      </c>
      <c r="K138" s="14">
        <v>81.0</v>
      </c>
      <c r="L138" s="14">
        <v>84.0</v>
      </c>
      <c r="M138" s="22">
        <v>80.0</v>
      </c>
      <c r="N138" s="15"/>
      <c r="O138" s="15"/>
      <c r="P138" s="15"/>
      <c r="Q138" s="14">
        <v>97.0</v>
      </c>
      <c r="R138" s="24">
        <v>81.0</v>
      </c>
      <c r="S138" s="14">
        <v>87.0</v>
      </c>
      <c r="T138" s="15"/>
      <c r="U138" s="14">
        <v>140.0</v>
      </c>
      <c r="V138" s="29">
        <v>84.0</v>
      </c>
      <c r="W138" s="14">
        <v>84.0</v>
      </c>
      <c r="X138" s="14">
        <v>178.0</v>
      </c>
      <c r="Y138" s="14">
        <v>178.0</v>
      </c>
      <c r="Z138" s="25">
        <v>82.0</v>
      </c>
      <c r="AA138" s="25"/>
      <c r="AB138" s="25">
        <v>123.0</v>
      </c>
      <c r="AC138" s="14">
        <v>178.0</v>
      </c>
      <c r="AD138" s="14"/>
      <c r="AE138" s="14">
        <v>178.0</v>
      </c>
      <c r="AF138" s="14">
        <v>178.0</v>
      </c>
      <c r="AG138" s="14">
        <v>163.0</v>
      </c>
      <c r="AH138" s="14">
        <v>84.0</v>
      </c>
      <c r="AI138" s="14">
        <v>86.0</v>
      </c>
      <c r="AJ138" s="14">
        <v>152.0</v>
      </c>
      <c r="AK138" s="14"/>
      <c r="AL138" s="14">
        <v>109.0</v>
      </c>
      <c r="AM138" s="14">
        <v>83.0</v>
      </c>
      <c r="AN138" s="14">
        <v>178.0</v>
      </c>
      <c r="AO138" s="14">
        <v>79.0</v>
      </c>
      <c r="AP138" s="14">
        <v>97.0</v>
      </c>
      <c r="AQ138" s="14">
        <v>86.0</v>
      </c>
      <c r="AR138" s="14"/>
      <c r="AS138" s="14">
        <v>83.0</v>
      </c>
      <c r="AT138" s="14">
        <v>178.0</v>
      </c>
      <c r="AU138" s="14">
        <v>65.0</v>
      </c>
      <c r="AV138" s="14">
        <v>59.0</v>
      </c>
      <c r="AW138" s="14">
        <v>79.0</v>
      </c>
      <c r="AX138" s="14">
        <v>81.0</v>
      </c>
      <c r="AY138" s="14">
        <v>57.0</v>
      </c>
      <c r="AZ138" s="26"/>
      <c r="BA138" s="26"/>
      <c r="BB138" s="26"/>
      <c r="BC138" s="26"/>
    </row>
    <row r="139">
      <c r="A139" s="27">
        <f>HYPERLINK("https://arcprize.org/play?task=5521c0d9", 128)</f>
        <v>128</v>
      </c>
      <c r="B139" s="14">
        <v>57.0</v>
      </c>
      <c r="C139" s="14">
        <v>176.0</v>
      </c>
      <c r="D139" s="14">
        <v>59.0</v>
      </c>
      <c r="E139" s="14">
        <v>176.0</v>
      </c>
      <c r="F139" s="22">
        <v>59.0</v>
      </c>
      <c r="G139" s="14">
        <v>176.0</v>
      </c>
      <c r="H139" s="14">
        <v>64.0</v>
      </c>
      <c r="I139" s="14">
        <v>74.0</v>
      </c>
      <c r="J139" s="23">
        <v>59.0</v>
      </c>
      <c r="K139" s="14">
        <v>61.0</v>
      </c>
      <c r="L139" s="14">
        <v>60.0</v>
      </c>
      <c r="M139" s="22">
        <v>63.0</v>
      </c>
      <c r="N139" s="15"/>
      <c r="O139" s="15"/>
      <c r="P139" s="15"/>
      <c r="Q139" s="14">
        <v>102.0</v>
      </c>
      <c r="R139" s="24">
        <v>67.0</v>
      </c>
      <c r="S139" s="15"/>
      <c r="T139" s="14">
        <v>78.0</v>
      </c>
      <c r="U139" s="14">
        <v>424.0</v>
      </c>
      <c r="V139" s="29">
        <v>85.0</v>
      </c>
      <c r="W139" s="14">
        <v>61.0</v>
      </c>
      <c r="X139" s="14">
        <v>338.0</v>
      </c>
      <c r="Y139" s="14">
        <v>339.0</v>
      </c>
      <c r="Z139" s="25">
        <v>59.0</v>
      </c>
      <c r="AA139" s="25"/>
      <c r="AB139" s="25">
        <v>198.0</v>
      </c>
      <c r="AC139" s="14">
        <v>176.0</v>
      </c>
      <c r="AD139" s="14"/>
      <c r="AE139" s="14">
        <v>176.0</v>
      </c>
      <c r="AF139" s="14">
        <v>338.0</v>
      </c>
      <c r="AG139" s="14"/>
      <c r="AH139" s="14">
        <v>75.0</v>
      </c>
      <c r="AI139" s="14">
        <v>66.0</v>
      </c>
      <c r="AJ139" s="14">
        <v>144.0</v>
      </c>
      <c r="AK139" s="14"/>
      <c r="AL139" s="14">
        <v>132.0</v>
      </c>
      <c r="AM139" s="14">
        <v>64.0</v>
      </c>
      <c r="AN139" s="14">
        <v>176.0</v>
      </c>
      <c r="AO139" s="14">
        <v>59.0</v>
      </c>
      <c r="AP139" s="14">
        <v>101.0</v>
      </c>
      <c r="AQ139" s="14">
        <v>73.0</v>
      </c>
      <c r="AR139" s="14"/>
      <c r="AS139" s="14">
        <v>69.0</v>
      </c>
      <c r="AT139" s="14">
        <v>176.0</v>
      </c>
      <c r="AU139" s="14">
        <v>61.0</v>
      </c>
      <c r="AV139" s="14">
        <v>59.0</v>
      </c>
      <c r="AW139" s="14">
        <v>64.0</v>
      </c>
      <c r="AX139" s="14">
        <v>64.0</v>
      </c>
      <c r="AY139" s="14">
        <v>57.0</v>
      </c>
      <c r="AZ139" s="26"/>
      <c r="BA139" s="26"/>
      <c r="BB139" s="26"/>
      <c r="BC139" s="26"/>
    </row>
    <row r="140">
      <c r="A140" s="27">
        <f>HYPERLINK("https://arcprize.org/play?task=5582e5ca", 129)</f>
        <v>129</v>
      </c>
      <c r="B140" s="14">
        <v>47.0</v>
      </c>
      <c r="C140" s="14">
        <v>50.0</v>
      </c>
      <c r="D140" s="14">
        <v>47.0</v>
      </c>
      <c r="E140" s="14">
        <v>50.0</v>
      </c>
      <c r="F140" s="22">
        <v>47.0</v>
      </c>
      <c r="G140" s="14">
        <v>48.0</v>
      </c>
      <c r="H140" s="14">
        <v>47.0</v>
      </c>
      <c r="I140" s="14">
        <v>53.0</v>
      </c>
      <c r="J140" s="23">
        <v>47.0</v>
      </c>
      <c r="K140" s="14">
        <v>48.0</v>
      </c>
      <c r="L140" s="14">
        <v>48.0</v>
      </c>
      <c r="M140" s="22">
        <v>47.0</v>
      </c>
      <c r="N140" s="14"/>
      <c r="O140" s="14"/>
      <c r="P140" s="14"/>
      <c r="Q140" s="14">
        <v>48.0</v>
      </c>
      <c r="R140" s="24">
        <v>48.0</v>
      </c>
      <c r="S140" s="14">
        <v>48.0</v>
      </c>
      <c r="T140" s="14">
        <v>53.0</v>
      </c>
      <c r="U140" s="14">
        <v>53.0</v>
      </c>
      <c r="V140" s="29">
        <v>48.0</v>
      </c>
      <c r="W140" s="14">
        <v>47.0</v>
      </c>
      <c r="X140" s="14">
        <v>53.0</v>
      </c>
      <c r="Y140" s="14">
        <v>53.0</v>
      </c>
      <c r="Z140" s="25">
        <v>47.0</v>
      </c>
      <c r="AA140" s="25"/>
      <c r="AB140" s="25">
        <v>53.0</v>
      </c>
      <c r="AC140" s="14">
        <v>50.0</v>
      </c>
      <c r="AD140" s="14"/>
      <c r="AE140" s="14">
        <v>50.0</v>
      </c>
      <c r="AF140" s="14">
        <v>53.0</v>
      </c>
      <c r="AG140" s="14">
        <v>53.0</v>
      </c>
      <c r="AH140" s="14">
        <v>48.0</v>
      </c>
      <c r="AI140" s="14">
        <v>48.0</v>
      </c>
      <c r="AJ140" s="14">
        <v>50.0</v>
      </c>
      <c r="AK140" s="14">
        <v>48.0</v>
      </c>
      <c r="AL140" s="14">
        <v>50.0</v>
      </c>
      <c r="AM140" s="14">
        <v>48.0</v>
      </c>
      <c r="AN140" s="14">
        <v>50.0</v>
      </c>
      <c r="AO140" s="14">
        <v>47.0</v>
      </c>
      <c r="AP140" s="14">
        <v>48.0</v>
      </c>
      <c r="AQ140" s="14">
        <v>48.0</v>
      </c>
      <c r="AR140" s="14"/>
      <c r="AS140" s="14">
        <v>48.0</v>
      </c>
      <c r="AT140" s="14">
        <v>50.0</v>
      </c>
      <c r="AU140" s="14">
        <v>47.0</v>
      </c>
      <c r="AV140" s="14">
        <v>47.0</v>
      </c>
      <c r="AW140" s="14">
        <v>47.0</v>
      </c>
      <c r="AX140" s="14">
        <v>48.0</v>
      </c>
      <c r="AY140" s="14">
        <v>47.0</v>
      </c>
      <c r="AZ140" s="26"/>
      <c r="BA140" s="26"/>
      <c r="BB140" s="26"/>
      <c r="BC140" s="26"/>
    </row>
    <row r="141">
      <c r="A141" s="27">
        <f>HYPERLINK("https://arcprize.org/play?task=5614dbcf", 130)</f>
        <v>130</v>
      </c>
      <c r="B141" s="14">
        <v>61.0</v>
      </c>
      <c r="C141" s="14">
        <v>123.0</v>
      </c>
      <c r="D141" s="14">
        <v>65.0</v>
      </c>
      <c r="E141" s="14">
        <v>123.0</v>
      </c>
      <c r="F141" s="22">
        <v>65.0</v>
      </c>
      <c r="G141" s="14">
        <v>123.0</v>
      </c>
      <c r="H141" s="14">
        <v>66.0</v>
      </c>
      <c r="I141" s="14">
        <v>65.0</v>
      </c>
      <c r="J141" s="23">
        <v>65.0</v>
      </c>
      <c r="K141" s="14">
        <v>65.0</v>
      </c>
      <c r="L141" s="14">
        <v>66.0</v>
      </c>
      <c r="M141" s="22">
        <v>65.0</v>
      </c>
      <c r="N141" s="14"/>
      <c r="O141" s="14"/>
      <c r="P141" s="14"/>
      <c r="Q141" s="14">
        <v>103.0</v>
      </c>
      <c r="R141" s="24">
        <v>68.0</v>
      </c>
      <c r="S141" s="14">
        <v>99.0</v>
      </c>
      <c r="T141" s="14">
        <v>109.0</v>
      </c>
      <c r="U141" s="14">
        <v>106.0</v>
      </c>
      <c r="V141" s="29">
        <v>68.0</v>
      </c>
      <c r="W141" s="14">
        <v>65.0</v>
      </c>
      <c r="X141" s="14">
        <v>193.0</v>
      </c>
      <c r="Y141" s="14">
        <v>192.0</v>
      </c>
      <c r="Z141" s="25">
        <v>65.0</v>
      </c>
      <c r="AA141" s="25"/>
      <c r="AB141" s="25">
        <v>121.0</v>
      </c>
      <c r="AC141" s="14">
        <v>123.0</v>
      </c>
      <c r="AD141" s="14"/>
      <c r="AE141" s="14">
        <v>123.0</v>
      </c>
      <c r="AF141" s="14">
        <v>193.0</v>
      </c>
      <c r="AG141" s="14">
        <v>193.0</v>
      </c>
      <c r="AH141" s="14">
        <v>65.0</v>
      </c>
      <c r="AI141" s="14">
        <v>65.0</v>
      </c>
      <c r="AJ141" s="14">
        <v>113.0</v>
      </c>
      <c r="AK141" s="14"/>
      <c r="AL141" s="14">
        <v>123.0</v>
      </c>
      <c r="AM141" s="14">
        <v>71.0</v>
      </c>
      <c r="AN141" s="14">
        <v>123.0</v>
      </c>
      <c r="AO141" s="14">
        <v>65.0</v>
      </c>
      <c r="AP141" s="14">
        <v>65.0</v>
      </c>
      <c r="AQ141" s="14">
        <v>91.0</v>
      </c>
      <c r="AR141" s="14"/>
      <c r="AS141" s="14">
        <v>65.0</v>
      </c>
      <c r="AT141" s="14">
        <v>123.0</v>
      </c>
      <c r="AU141" s="14">
        <v>65.0</v>
      </c>
      <c r="AV141" s="14">
        <v>65.0</v>
      </c>
      <c r="AW141" s="14">
        <v>65.0</v>
      </c>
      <c r="AX141" s="14">
        <v>86.0</v>
      </c>
      <c r="AY141" s="14">
        <v>61.0</v>
      </c>
      <c r="AZ141" s="26"/>
      <c r="BA141" s="26"/>
      <c r="BB141" s="26"/>
      <c r="BC141" s="26"/>
    </row>
    <row r="142">
      <c r="A142" s="27">
        <f>HYPERLINK("https://arcprize.org/play?task=56dc2b01", 131)</f>
        <v>131</v>
      </c>
      <c r="B142" s="14">
        <v>126.0</v>
      </c>
      <c r="C142" s="14">
        <v>264.0</v>
      </c>
      <c r="D142" s="14">
        <v>125.0</v>
      </c>
      <c r="E142" s="14">
        <v>258.0</v>
      </c>
      <c r="F142" s="22">
        <v>117.0</v>
      </c>
      <c r="G142" s="14">
        <v>260.0</v>
      </c>
      <c r="H142" s="15"/>
      <c r="I142" s="15"/>
      <c r="J142" s="23">
        <v>132.0</v>
      </c>
      <c r="K142" s="14">
        <v>166.0</v>
      </c>
      <c r="L142" s="14">
        <v>178.0</v>
      </c>
      <c r="M142" s="22">
        <v>141.0</v>
      </c>
      <c r="N142" s="15"/>
      <c r="O142" s="15"/>
      <c r="P142" s="15"/>
      <c r="Q142" s="14">
        <v>277.0</v>
      </c>
      <c r="R142" s="24">
        <v>130.0</v>
      </c>
      <c r="S142" s="15"/>
      <c r="T142" s="15"/>
      <c r="U142" s="14">
        <v>271.0</v>
      </c>
      <c r="V142" s="31"/>
      <c r="W142" s="14">
        <v>147.0</v>
      </c>
      <c r="X142" s="14">
        <v>277.0</v>
      </c>
      <c r="Y142" s="14">
        <v>270.0</v>
      </c>
      <c r="Z142" s="25">
        <v>148.0</v>
      </c>
      <c r="AA142" s="25"/>
      <c r="AB142" s="25">
        <v>277.0</v>
      </c>
      <c r="AC142" s="14">
        <v>258.0</v>
      </c>
      <c r="AD142" s="14"/>
      <c r="AE142" s="14">
        <v>258.0</v>
      </c>
      <c r="AF142" s="14">
        <v>277.0</v>
      </c>
      <c r="AG142" s="14">
        <v>269.0</v>
      </c>
      <c r="AH142" s="14">
        <v>247.0</v>
      </c>
      <c r="AI142" s="14">
        <v>194.0</v>
      </c>
      <c r="AJ142" s="14">
        <v>238.0</v>
      </c>
      <c r="AK142" s="14">
        <v>139.0</v>
      </c>
      <c r="AL142" s="14">
        <v>258.0</v>
      </c>
      <c r="AM142" s="14">
        <v>177.0</v>
      </c>
      <c r="AN142" s="14">
        <v>258.0</v>
      </c>
      <c r="AO142" s="14">
        <v>147.0</v>
      </c>
      <c r="AP142" s="14">
        <v>234.0</v>
      </c>
      <c r="AQ142" s="14">
        <v>207.0</v>
      </c>
      <c r="AR142" s="14"/>
      <c r="AS142" s="14">
        <v>184.0</v>
      </c>
      <c r="AT142" s="14">
        <v>258.0</v>
      </c>
      <c r="AU142" s="14">
        <v>127.0</v>
      </c>
      <c r="AV142" s="14">
        <v>160.0</v>
      </c>
      <c r="AW142" s="14">
        <v>128.0</v>
      </c>
      <c r="AX142" s="14">
        <v>189.0</v>
      </c>
      <c r="AY142" s="14">
        <v>117.0</v>
      </c>
      <c r="AZ142" s="26"/>
      <c r="BA142" s="26"/>
      <c r="BB142" s="26"/>
      <c r="BC142" s="26"/>
    </row>
    <row r="143">
      <c r="A143" s="27">
        <f>HYPERLINK("https://arcprize.org/play?task=56ff96f3", 132)</f>
        <v>132</v>
      </c>
      <c r="B143" s="14">
        <v>86.0</v>
      </c>
      <c r="C143" s="14">
        <v>269.0</v>
      </c>
      <c r="D143" s="14">
        <v>86.0</v>
      </c>
      <c r="E143" s="14">
        <v>239.0</v>
      </c>
      <c r="F143" s="22">
        <v>86.0</v>
      </c>
      <c r="G143" s="14">
        <v>260.0</v>
      </c>
      <c r="H143" s="14">
        <v>115.0</v>
      </c>
      <c r="I143" s="14"/>
      <c r="J143" s="23">
        <v>126.0</v>
      </c>
      <c r="K143" s="14">
        <v>162.0</v>
      </c>
      <c r="L143" s="14">
        <v>134.0</v>
      </c>
      <c r="M143" s="22">
        <v>112.0</v>
      </c>
      <c r="N143" s="14"/>
      <c r="O143" s="14"/>
      <c r="P143" s="14"/>
      <c r="Q143" s="14">
        <v>269.0</v>
      </c>
      <c r="R143" s="24">
        <v>105.0</v>
      </c>
      <c r="S143" s="14">
        <v>224.0</v>
      </c>
      <c r="T143" s="14">
        <v>256.0</v>
      </c>
      <c r="U143" s="14">
        <v>260.0</v>
      </c>
      <c r="V143" s="29">
        <v>198.0</v>
      </c>
      <c r="W143" s="14">
        <v>131.0</v>
      </c>
      <c r="X143" s="14">
        <v>264.0</v>
      </c>
      <c r="Y143" s="14">
        <v>265.0</v>
      </c>
      <c r="Z143" s="25">
        <v>123.0</v>
      </c>
      <c r="AA143" s="25"/>
      <c r="AB143" s="25">
        <v>202.0</v>
      </c>
      <c r="AC143" s="14">
        <v>239.0</v>
      </c>
      <c r="AD143" s="14"/>
      <c r="AE143" s="14">
        <v>239.0</v>
      </c>
      <c r="AF143" s="14">
        <v>264.0</v>
      </c>
      <c r="AG143" s="14">
        <v>275.0</v>
      </c>
      <c r="AH143" s="14">
        <v>166.0</v>
      </c>
      <c r="AI143" s="14">
        <v>190.0</v>
      </c>
      <c r="AJ143" s="14">
        <v>225.0</v>
      </c>
      <c r="AK143" s="14"/>
      <c r="AL143" s="14">
        <v>220.0</v>
      </c>
      <c r="AM143" s="14">
        <v>162.0</v>
      </c>
      <c r="AN143" s="14">
        <v>239.0</v>
      </c>
      <c r="AO143" s="14">
        <v>106.0</v>
      </c>
      <c r="AP143" s="14">
        <v>212.0</v>
      </c>
      <c r="AQ143" s="14">
        <v>162.0</v>
      </c>
      <c r="AR143" s="14"/>
      <c r="AS143" s="14">
        <v>127.0</v>
      </c>
      <c r="AT143" s="14">
        <v>238.0</v>
      </c>
      <c r="AU143" s="14">
        <v>89.0</v>
      </c>
      <c r="AV143" s="14">
        <v>104.0</v>
      </c>
      <c r="AW143" s="14">
        <v>101.0</v>
      </c>
      <c r="AX143" s="14">
        <v>134.0</v>
      </c>
      <c r="AY143" s="14">
        <v>86.0</v>
      </c>
      <c r="AZ143" s="26"/>
      <c r="BA143" s="26"/>
      <c r="BB143" s="26"/>
      <c r="BC143" s="26"/>
    </row>
    <row r="144">
      <c r="A144" s="27">
        <f>HYPERLINK("https://arcprize.org/play?task=57aa92db", 133)</f>
        <v>133</v>
      </c>
      <c r="B144" s="14">
        <v>307.0</v>
      </c>
      <c r="C144" s="14">
        <v>339.0</v>
      </c>
      <c r="D144" s="14">
        <v>273.0</v>
      </c>
      <c r="E144" s="14">
        <v>321.0</v>
      </c>
      <c r="F144" s="22">
        <v>276.0</v>
      </c>
      <c r="G144" s="14">
        <v>321.0</v>
      </c>
      <c r="H144" s="15"/>
      <c r="I144" s="15"/>
      <c r="J144" s="23">
        <v>321.0</v>
      </c>
      <c r="K144" s="14">
        <v>321.0</v>
      </c>
      <c r="L144" s="14">
        <v>321.0</v>
      </c>
      <c r="M144" s="22">
        <v>321.0</v>
      </c>
      <c r="N144" s="15"/>
      <c r="O144" s="15"/>
      <c r="P144" s="15"/>
      <c r="Q144" s="15"/>
      <c r="R144" s="24">
        <v>319.0</v>
      </c>
      <c r="S144" s="15"/>
      <c r="T144" s="15"/>
      <c r="U144" s="15"/>
      <c r="V144" s="31"/>
      <c r="W144" s="15"/>
      <c r="X144" s="14"/>
      <c r="Y144" s="14">
        <v>836.0</v>
      </c>
      <c r="Z144" s="25">
        <v>321.0</v>
      </c>
      <c r="AA144" s="25">
        <v>321.0</v>
      </c>
      <c r="AB144" s="25">
        <v>734.0</v>
      </c>
      <c r="AC144" s="14">
        <v>321.0</v>
      </c>
      <c r="AD144" s="14">
        <v>321.0</v>
      </c>
      <c r="AE144" s="14">
        <v>321.0</v>
      </c>
      <c r="AF144" s="14">
        <v>746.0</v>
      </c>
      <c r="AG144" s="14"/>
      <c r="AH144" s="14">
        <v>455.0</v>
      </c>
      <c r="AI144" s="14">
        <v>321.0</v>
      </c>
      <c r="AJ144" s="14">
        <v>321.0</v>
      </c>
      <c r="AK144" s="14"/>
      <c r="AL144" s="14">
        <v>321.0</v>
      </c>
      <c r="AM144" s="14">
        <v>330.0</v>
      </c>
      <c r="AN144" s="14">
        <v>321.0</v>
      </c>
      <c r="AO144" s="14">
        <v>318.0</v>
      </c>
      <c r="AP144" s="14">
        <v>320.0</v>
      </c>
      <c r="AQ144" s="14">
        <v>329.0</v>
      </c>
      <c r="AR144" s="14"/>
      <c r="AS144" s="14">
        <v>321.0</v>
      </c>
      <c r="AT144" s="14">
        <v>321.0</v>
      </c>
      <c r="AU144" s="14">
        <v>275.0</v>
      </c>
      <c r="AV144" s="14">
        <v>319.0</v>
      </c>
      <c r="AW144" s="14">
        <v>302.0</v>
      </c>
      <c r="AX144" s="14">
        <v>320.0</v>
      </c>
      <c r="AY144" s="14">
        <v>268.0</v>
      </c>
      <c r="AZ144" s="26"/>
      <c r="BA144" s="26"/>
      <c r="BB144" s="26"/>
      <c r="BC144" s="26"/>
    </row>
    <row r="145">
      <c r="A145" s="27">
        <f>HYPERLINK("https://arcprize.org/play?task=5ad4f10b", 134)</f>
        <v>134</v>
      </c>
      <c r="B145" s="14">
        <v>146.0</v>
      </c>
      <c r="C145" s="14">
        <v>379.0</v>
      </c>
      <c r="D145" s="14">
        <v>123.0</v>
      </c>
      <c r="E145" s="14">
        <v>368.0</v>
      </c>
      <c r="F145" s="22">
        <v>142.0</v>
      </c>
      <c r="G145" s="14">
        <v>380.0</v>
      </c>
      <c r="H145" s="15"/>
      <c r="I145" s="15"/>
      <c r="J145" s="23">
        <v>172.0</v>
      </c>
      <c r="K145" s="14">
        <v>193.0</v>
      </c>
      <c r="L145" s="14">
        <v>210.0</v>
      </c>
      <c r="M145" s="22">
        <v>185.0</v>
      </c>
      <c r="N145" s="15"/>
      <c r="O145" s="15"/>
      <c r="P145" s="15"/>
      <c r="Q145" s="14">
        <v>406.0</v>
      </c>
      <c r="R145" s="24">
        <v>188.0</v>
      </c>
      <c r="S145" s="15"/>
      <c r="T145" s="15"/>
      <c r="U145" s="15"/>
      <c r="V145" s="31"/>
      <c r="W145" s="14">
        <v>143.0</v>
      </c>
      <c r="X145" s="14"/>
      <c r="Y145" s="14">
        <v>497.0</v>
      </c>
      <c r="Z145" s="25">
        <v>165.0</v>
      </c>
      <c r="AA145" s="25"/>
      <c r="AB145" s="25">
        <v>311.0</v>
      </c>
      <c r="AC145" s="14">
        <v>368.0</v>
      </c>
      <c r="AD145" s="14"/>
      <c r="AE145" s="14">
        <v>368.0</v>
      </c>
      <c r="AF145" s="14">
        <v>500.0</v>
      </c>
      <c r="AG145" s="14"/>
      <c r="AH145" s="14">
        <v>271.0</v>
      </c>
      <c r="AI145" s="14">
        <v>190.0</v>
      </c>
      <c r="AJ145" s="14">
        <v>322.0</v>
      </c>
      <c r="AK145" s="14"/>
      <c r="AL145" s="14">
        <v>232.0</v>
      </c>
      <c r="AM145" s="14">
        <v>216.0</v>
      </c>
      <c r="AN145" s="14">
        <v>368.0</v>
      </c>
      <c r="AO145" s="14">
        <v>158.0</v>
      </c>
      <c r="AP145" s="14">
        <v>344.0</v>
      </c>
      <c r="AQ145" s="14">
        <v>247.0</v>
      </c>
      <c r="AR145" s="14"/>
      <c r="AS145" s="14">
        <v>203.0</v>
      </c>
      <c r="AT145" s="14">
        <v>368.0</v>
      </c>
      <c r="AU145" s="14">
        <v>176.0</v>
      </c>
      <c r="AV145" s="14">
        <v>195.0</v>
      </c>
      <c r="AW145" s="14">
        <v>212.0</v>
      </c>
      <c r="AX145" s="14">
        <v>201.0</v>
      </c>
      <c r="AY145" s="14">
        <v>123.0</v>
      </c>
      <c r="AZ145" s="26"/>
      <c r="BA145" s="26"/>
      <c r="BB145" s="26"/>
      <c r="BC145" s="26"/>
    </row>
    <row r="146">
      <c r="A146" s="27">
        <f>HYPERLINK("https://arcprize.org/play?task=5bd6f4ac", 135)</f>
        <v>135</v>
      </c>
      <c r="B146" s="14">
        <v>32.0</v>
      </c>
      <c r="C146" s="14">
        <v>33.0</v>
      </c>
      <c r="D146" s="14">
        <v>32.0</v>
      </c>
      <c r="E146" s="14">
        <v>33.0</v>
      </c>
      <c r="F146" s="22">
        <v>32.0</v>
      </c>
      <c r="G146" s="14">
        <v>32.0</v>
      </c>
      <c r="H146" s="14">
        <v>32.0</v>
      </c>
      <c r="I146" s="14">
        <v>32.0</v>
      </c>
      <c r="J146" s="23">
        <v>32.0</v>
      </c>
      <c r="K146" s="14">
        <v>32.0</v>
      </c>
      <c r="L146" s="14">
        <v>32.0</v>
      </c>
      <c r="M146" s="22">
        <v>32.0</v>
      </c>
      <c r="N146" s="14"/>
      <c r="O146" s="14"/>
      <c r="P146" s="14">
        <v>34.0</v>
      </c>
      <c r="Q146" s="14">
        <v>32.0</v>
      </c>
      <c r="R146" s="24">
        <v>32.0</v>
      </c>
      <c r="S146" s="14">
        <v>32.0</v>
      </c>
      <c r="T146" s="14">
        <v>32.0</v>
      </c>
      <c r="U146" s="14">
        <v>41.0</v>
      </c>
      <c r="V146" s="29">
        <v>32.0</v>
      </c>
      <c r="W146" s="14">
        <v>32.0</v>
      </c>
      <c r="X146" s="14">
        <v>41.0</v>
      </c>
      <c r="Y146" s="14">
        <v>41.0</v>
      </c>
      <c r="Z146" s="30">
        <v>32.0</v>
      </c>
      <c r="AA146" s="25"/>
      <c r="AB146" s="25">
        <v>33.0</v>
      </c>
      <c r="AC146" s="14">
        <v>33.0</v>
      </c>
      <c r="AD146" s="14">
        <v>32.0</v>
      </c>
      <c r="AE146" s="14">
        <v>32.0</v>
      </c>
      <c r="AF146" s="14">
        <v>41.0</v>
      </c>
      <c r="AG146" s="14">
        <v>32.0</v>
      </c>
      <c r="AH146" s="14">
        <v>32.0</v>
      </c>
      <c r="AI146" s="14">
        <v>32.0</v>
      </c>
      <c r="AJ146" s="14">
        <v>33.0</v>
      </c>
      <c r="AK146" s="14">
        <v>32.0</v>
      </c>
      <c r="AL146" s="14">
        <v>32.0</v>
      </c>
      <c r="AM146" s="14">
        <v>32.0</v>
      </c>
      <c r="AN146" s="14">
        <v>33.0</v>
      </c>
      <c r="AO146" s="14">
        <v>32.0</v>
      </c>
      <c r="AP146" s="14">
        <v>32.0</v>
      </c>
      <c r="AQ146" s="14">
        <v>32.0</v>
      </c>
      <c r="AR146" s="14"/>
      <c r="AS146" s="14">
        <v>32.0</v>
      </c>
      <c r="AT146" s="14">
        <v>33.0</v>
      </c>
      <c r="AU146" s="14">
        <v>32.0</v>
      </c>
      <c r="AV146" s="14">
        <v>32.0</v>
      </c>
      <c r="AW146" s="14">
        <v>32.0</v>
      </c>
      <c r="AX146" s="14">
        <v>32.0</v>
      </c>
      <c r="AY146" s="14">
        <v>32.0</v>
      </c>
      <c r="AZ146" s="26"/>
      <c r="BA146" s="26"/>
      <c r="BB146" s="26"/>
      <c r="BC146" s="26"/>
    </row>
    <row r="147">
      <c r="A147" s="27">
        <f>HYPERLINK("https://arcprize.org/play?task=5c0a986e", 136)</f>
        <v>136</v>
      </c>
      <c r="B147" s="14">
        <v>94.0</v>
      </c>
      <c r="C147" s="14">
        <v>221.0</v>
      </c>
      <c r="D147" s="14">
        <v>97.0</v>
      </c>
      <c r="E147" s="14">
        <v>215.0</v>
      </c>
      <c r="F147" s="22">
        <v>104.0</v>
      </c>
      <c r="G147" s="14">
        <v>229.0</v>
      </c>
      <c r="H147" s="14"/>
      <c r="I147" s="14"/>
      <c r="J147" s="23">
        <v>107.0</v>
      </c>
      <c r="K147" s="14">
        <v>116.0</v>
      </c>
      <c r="L147" s="14">
        <v>182.0</v>
      </c>
      <c r="M147" s="22">
        <v>118.0</v>
      </c>
      <c r="N147" s="14"/>
      <c r="O147" s="14"/>
      <c r="P147" s="14"/>
      <c r="Q147" s="14">
        <v>233.0</v>
      </c>
      <c r="R147" s="24">
        <v>109.0</v>
      </c>
      <c r="S147" s="14">
        <v>162.0</v>
      </c>
      <c r="T147" s="14"/>
      <c r="U147" s="14">
        <v>202.0</v>
      </c>
      <c r="V147" s="33"/>
      <c r="W147" s="14">
        <v>115.0</v>
      </c>
      <c r="X147" s="14">
        <v>233.0</v>
      </c>
      <c r="Y147" s="14">
        <v>227.0</v>
      </c>
      <c r="Z147" s="25">
        <v>118.0</v>
      </c>
      <c r="AA147" s="25"/>
      <c r="AB147" s="25">
        <v>215.0</v>
      </c>
      <c r="AC147" s="14">
        <v>215.0</v>
      </c>
      <c r="AD147" s="14"/>
      <c r="AE147" s="14">
        <v>215.0</v>
      </c>
      <c r="AF147" s="14">
        <v>233.0</v>
      </c>
      <c r="AG147" s="14">
        <v>221.0</v>
      </c>
      <c r="AH147" s="14">
        <v>121.0</v>
      </c>
      <c r="AI147" s="14">
        <v>171.0</v>
      </c>
      <c r="AJ147" s="14">
        <v>218.0</v>
      </c>
      <c r="AK147" s="14"/>
      <c r="AL147" s="14">
        <v>197.0</v>
      </c>
      <c r="AM147" s="14">
        <v>126.0</v>
      </c>
      <c r="AN147" s="14">
        <v>215.0</v>
      </c>
      <c r="AO147" s="14">
        <v>110.0</v>
      </c>
      <c r="AP147" s="14">
        <v>123.0</v>
      </c>
      <c r="AQ147" s="14">
        <v>128.0</v>
      </c>
      <c r="AR147" s="14"/>
      <c r="AS147" s="14">
        <v>113.0</v>
      </c>
      <c r="AT147" s="14">
        <v>200.0</v>
      </c>
      <c r="AU147" s="14">
        <v>110.0</v>
      </c>
      <c r="AV147" s="14">
        <v>110.0</v>
      </c>
      <c r="AW147" s="14">
        <v>110.0</v>
      </c>
      <c r="AX147" s="14">
        <v>112.0</v>
      </c>
      <c r="AY147" s="14">
        <v>94.0</v>
      </c>
      <c r="AZ147" s="26"/>
      <c r="BA147" s="26"/>
      <c r="BB147" s="26"/>
      <c r="BC147" s="26"/>
    </row>
    <row r="148">
      <c r="A148" s="27">
        <f>HYPERLINK("https://arcprize.org/play?task=5c2c9af4", 137)</f>
        <v>137</v>
      </c>
      <c r="B148" s="14">
        <v>139.0</v>
      </c>
      <c r="C148" s="14">
        <v>365.0</v>
      </c>
      <c r="D148" s="14">
        <v>141.0</v>
      </c>
      <c r="E148" s="14">
        <v>382.0</v>
      </c>
      <c r="F148" s="22">
        <v>137.0</v>
      </c>
      <c r="G148" s="14">
        <v>433.0</v>
      </c>
      <c r="H148" s="15"/>
      <c r="I148" s="15"/>
      <c r="J148" s="23">
        <v>143.0</v>
      </c>
      <c r="K148" s="14">
        <v>146.0</v>
      </c>
      <c r="L148" s="14">
        <v>181.0</v>
      </c>
      <c r="M148" s="22">
        <v>147.0</v>
      </c>
      <c r="N148" s="15"/>
      <c r="O148" s="15"/>
      <c r="P148" s="15">
        <v>163.0</v>
      </c>
      <c r="Q148" s="14">
        <v>277.0</v>
      </c>
      <c r="R148" s="24">
        <v>146.0</v>
      </c>
      <c r="S148" s="14">
        <v>166.0</v>
      </c>
      <c r="T148" s="15"/>
      <c r="U148" s="15"/>
      <c r="V148" s="31"/>
      <c r="W148" s="14">
        <v>152.0</v>
      </c>
      <c r="X148" s="14"/>
      <c r="Y148" s="14">
        <v>477.0</v>
      </c>
      <c r="Z148" s="25">
        <v>146.0</v>
      </c>
      <c r="AA148" s="25"/>
      <c r="AB148" s="25">
        <v>307.0</v>
      </c>
      <c r="AC148" s="14">
        <v>359.0</v>
      </c>
      <c r="AD148" s="14"/>
      <c r="AE148" s="14">
        <v>181.0</v>
      </c>
      <c r="AF148" s="14">
        <v>302.0</v>
      </c>
      <c r="AG148" s="14"/>
      <c r="AH148" s="14">
        <v>148.0</v>
      </c>
      <c r="AI148" s="14">
        <v>181.0</v>
      </c>
      <c r="AJ148" s="14">
        <v>306.0</v>
      </c>
      <c r="AK148" s="14"/>
      <c r="AL148" s="14">
        <v>184.0</v>
      </c>
      <c r="AM148" s="14">
        <v>146.0</v>
      </c>
      <c r="AN148" s="14">
        <v>419.0</v>
      </c>
      <c r="AO148" s="14">
        <v>146.0</v>
      </c>
      <c r="AP148" s="14">
        <v>173.0</v>
      </c>
      <c r="AQ148" s="14">
        <v>160.0</v>
      </c>
      <c r="AR148" s="14"/>
      <c r="AS148" s="14">
        <v>146.0</v>
      </c>
      <c r="AT148" s="14">
        <v>273.0</v>
      </c>
      <c r="AU148" s="14">
        <v>157.0</v>
      </c>
      <c r="AV148" s="14">
        <v>146.0</v>
      </c>
      <c r="AW148" s="14">
        <v>146.0</v>
      </c>
      <c r="AX148" s="14">
        <v>146.0</v>
      </c>
      <c r="AY148" s="14">
        <v>137.0</v>
      </c>
      <c r="AZ148" s="26"/>
      <c r="BA148" s="26"/>
      <c r="BB148" s="26"/>
      <c r="BC148" s="26"/>
    </row>
    <row r="149">
      <c r="A149" s="27">
        <f>HYPERLINK("https://arcprize.org/play?task=5daaa586", 138)</f>
        <v>138</v>
      </c>
      <c r="B149" s="14">
        <v>103.0</v>
      </c>
      <c r="C149" s="14">
        <v>293.0</v>
      </c>
      <c r="D149" s="14">
        <v>104.0</v>
      </c>
      <c r="E149" s="14">
        <v>285.0</v>
      </c>
      <c r="F149" s="22">
        <v>103.0</v>
      </c>
      <c r="G149" s="14">
        <v>1015.0</v>
      </c>
      <c r="H149" s="15"/>
      <c r="I149" s="15"/>
      <c r="J149" s="23">
        <v>116.0</v>
      </c>
      <c r="K149" s="14">
        <v>155.0</v>
      </c>
      <c r="L149" s="14">
        <v>174.0</v>
      </c>
      <c r="M149" s="22">
        <v>103.0</v>
      </c>
      <c r="N149" s="15"/>
      <c r="O149" s="15"/>
      <c r="P149" s="15"/>
      <c r="Q149" s="14">
        <v>251.0</v>
      </c>
      <c r="R149" s="24">
        <v>137.0</v>
      </c>
      <c r="S149" s="15"/>
      <c r="T149" s="15"/>
      <c r="U149" s="15"/>
      <c r="V149" s="31"/>
      <c r="W149" s="15"/>
      <c r="X149" s="14"/>
      <c r="Y149" s="14">
        <v>381.0</v>
      </c>
      <c r="Z149" s="25">
        <v>120.0</v>
      </c>
      <c r="AA149" s="25"/>
      <c r="AB149" s="25">
        <v>386.0</v>
      </c>
      <c r="AC149" s="14">
        <v>439.0</v>
      </c>
      <c r="AD149" s="14"/>
      <c r="AE149" s="14">
        <v>251.0</v>
      </c>
      <c r="AF149" s="14">
        <v>591.0</v>
      </c>
      <c r="AG149" s="14"/>
      <c r="AH149" s="14">
        <v>298.0</v>
      </c>
      <c r="AI149" s="14">
        <v>181.0</v>
      </c>
      <c r="AJ149" s="14">
        <v>311.0</v>
      </c>
      <c r="AK149" s="14">
        <v>116.0</v>
      </c>
      <c r="AL149" s="14">
        <v>221.0</v>
      </c>
      <c r="AM149" s="14">
        <v>253.0</v>
      </c>
      <c r="AN149" s="14">
        <v>566.0</v>
      </c>
      <c r="AO149" s="14">
        <v>119.0</v>
      </c>
      <c r="AP149" s="14">
        <v>285.0</v>
      </c>
      <c r="AQ149" s="14">
        <v>252.0</v>
      </c>
      <c r="AR149" s="14"/>
      <c r="AS149" s="14">
        <v>133.0</v>
      </c>
      <c r="AT149" s="14">
        <v>163.0</v>
      </c>
      <c r="AU149" s="14">
        <v>120.0</v>
      </c>
      <c r="AV149" s="14">
        <v>119.0</v>
      </c>
      <c r="AW149" s="14">
        <v>123.0</v>
      </c>
      <c r="AX149" s="14">
        <v>132.0</v>
      </c>
      <c r="AY149" s="14">
        <v>101.0</v>
      </c>
      <c r="AZ149" s="26"/>
      <c r="BA149" s="26"/>
      <c r="BB149" s="26"/>
      <c r="BC149" s="26"/>
    </row>
    <row r="150">
      <c r="A150" s="27">
        <f>HYPERLINK("https://arcprize.org/play?task=60b61512", 139)</f>
        <v>139</v>
      </c>
      <c r="B150" s="14">
        <v>92.0</v>
      </c>
      <c r="C150" s="14">
        <v>257.0</v>
      </c>
      <c r="D150" s="14">
        <v>88.0</v>
      </c>
      <c r="E150" s="14">
        <v>240.0</v>
      </c>
      <c r="F150" s="22">
        <v>89.0</v>
      </c>
      <c r="G150" s="14">
        <v>251.0</v>
      </c>
      <c r="H150" s="15"/>
      <c r="I150" s="15"/>
      <c r="J150" s="23">
        <v>100.0</v>
      </c>
      <c r="K150" s="14">
        <v>104.0</v>
      </c>
      <c r="L150" s="14">
        <v>101.0</v>
      </c>
      <c r="M150" s="22">
        <v>95.0</v>
      </c>
      <c r="N150" s="15"/>
      <c r="O150" s="15"/>
      <c r="P150" s="15"/>
      <c r="Q150" s="14">
        <v>257.0</v>
      </c>
      <c r="R150" s="24">
        <v>108.0</v>
      </c>
      <c r="S150" s="15"/>
      <c r="T150" s="15"/>
      <c r="U150" s="14">
        <v>248.0</v>
      </c>
      <c r="V150" s="29">
        <v>114.0</v>
      </c>
      <c r="W150" s="14">
        <v>81.0</v>
      </c>
      <c r="X150" s="14">
        <v>255.0</v>
      </c>
      <c r="Y150" s="14">
        <v>248.0</v>
      </c>
      <c r="Z150" s="25">
        <v>101.0</v>
      </c>
      <c r="AA150" s="25"/>
      <c r="AB150" s="25">
        <v>255.0</v>
      </c>
      <c r="AC150" s="14">
        <v>240.0</v>
      </c>
      <c r="AD150" s="14"/>
      <c r="AE150" s="14">
        <v>240.0</v>
      </c>
      <c r="AF150" s="14">
        <v>255.0</v>
      </c>
      <c r="AG150" s="14">
        <v>253.0</v>
      </c>
      <c r="AH150" s="14">
        <v>116.0</v>
      </c>
      <c r="AI150" s="14">
        <v>153.0</v>
      </c>
      <c r="AJ150" s="14">
        <v>243.0</v>
      </c>
      <c r="AK150" s="14"/>
      <c r="AL150" s="14">
        <v>217.0</v>
      </c>
      <c r="AM150" s="14">
        <v>117.0</v>
      </c>
      <c r="AN150" s="14">
        <v>240.0</v>
      </c>
      <c r="AO150" s="14">
        <v>101.0</v>
      </c>
      <c r="AP150" s="14">
        <v>198.0</v>
      </c>
      <c r="AQ150" s="14">
        <v>171.0</v>
      </c>
      <c r="AR150" s="14"/>
      <c r="AS150" s="14">
        <v>104.0</v>
      </c>
      <c r="AT150" s="14">
        <v>222.0</v>
      </c>
      <c r="AU150" s="14">
        <v>102.0</v>
      </c>
      <c r="AV150" s="14">
        <v>97.0</v>
      </c>
      <c r="AW150" s="14">
        <v>108.0</v>
      </c>
      <c r="AX150" s="14">
        <v>86.0</v>
      </c>
      <c r="AY150" s="14">
        <v>81.0</v>
      </c>
      <c r="AZ150" s="26"/>
      <c r="BA150" s="26"/>
      <c r="BB150" s="26"/>
      <c r="BC150" s="26"/>
    </row>
    <row r="151">
      <c r="A151" s="27">
        <f>HYPERLINK("https://arcprize.org/play?task=6150a2bd", 140)</f>
        <v>140</v>
      </c>
      <c r="B151" s="14">
        <v>36.0</v>
      </c>
      <c r="C151" s="14">
        <v>36.0</v>
      </c>
      <c r="D151" s="14">
        <v>36.0</v>
      </c>
      <c r="E151" s="14">
        <v>36.0</v>
      </c>
      <c r="F151" s="22">
        <v>36.0</v>
      </c>
      <c r="G151" s="14">
        <v>36.0</v>
      </c>
      <c r="H151" s="14">
        <v>36.0</v>
      </c>
      <c r="I151" s="14">
        <v>36.0</v>
      </c>
      <c r="J151" s="23">
        <v>36.0</v>
      </c>
      <c r="K151" s="14">
        <v>36.0</v>
      </c>
      <c r="L151" s="14">
        <v>36.0</v>
      </c>
      <c r="M151" s="22">
        <v>36.0</v>
      </c>
      <c r="N151" s="14"/>
      <c r="O151" s="14"/>
      <c r="P151" s="14">
        <v>37.0</v>
      </c>
      <c r="Q151" s="14">
        <v>36.0</v>
      </c>
      <c r="R151" s="24">
        <v>36.0</v>
      </c>
      <c r="S151" s="14"/>
      <c r="T151" s="14">
        <v>36.0</v>
      </c>
      <c r="U151" s="14">
        <v>36.0</v>
      </c>
      <c r="V151" s="29">
        <v>36.0</v>
      </c>
      <c r="W151" s="14">
        <v>36.0</v>
      </c>
      <c r="X151" s="14">
        <v>36.0</v>
      </c>
      <c r="Y151" s="14">
        <v>36.0</v>
      </c>
      <c r="Z151" s="30">
        <v>36.0</v>
      </c>
      <c r="AA151" s="25"/>
      <c r="AB151" s="25">
        <v>36.0</v>
      </c>
      <c r="AC151" s="14">
        <v>36.0</v>
      </c>
      <c r="AD151" s="14">
        <v>36.0</v>
      </c>
      <c r="AE151" s="14">
        <v>36.0</v>
      </c>
      <c r="AF151" s="14">
        <v>36.0</v>
      </c>
      <c r="AG151" s="14">
        <v>36.0</v>
      </c>
      <c r="AH151" s="14">
        <v>36.0</v>
      </c>
      <c r="AI151" s="14">
        <v>36.0</v>
      </c>
      <c r="AJ151" s="14">
        <v>36.0</v>
      </c>
      <c r="AK151" s="14">
        <v>36.0</v>
      </c>
      <c r="AL151" s="14">
        <v>36.0</v>
      </c>
      <c r="AM151" s="14">
        <v>36.0</v>
      </c>
      <c r="AN151" s="14">
        <v>36.0</v>
      </c>
      <c r="AO151" s="14">
        <v>36.0</v>
      </c>
      <c r="AP151" s="14">
        <v>36.0</v>
      </c>
      <c r="AQ151" s="14">
        <v>36.0</v>
      </c>
      <c r="AR151" s="14"/>
      <c r="AS151" s="14">
        <v>36.0</v>
      </c>
      <c r="AT151" s="14">
        <v>36.0</v>
      </c>
      <c r="AU151" s="14">
        <v>36.0</v>
      </c>
      <c r="AV151" s="14">
        <v>36.0</v>
      </c>
      <c r="AW151" s="14">
        <v>36.0</v>
      </c>
      <c r="AX151" s="14">
        <v>36.0</v>
      </c>
      <c r="AY151" s="14">
        <v>36.0</v>
      </c>
      <c r="AZ151" s="26"/>
      <c r="BA151" s="26"/>
      <c r="BB151" s="26"/>
      <c r="BC151" s="26"/>
    </row>
    <row r="152">
      <c r="A152" s="27">
        <f>HYPERLINK("https://arcprize.org/play?task=623ea044", 141)</f>
        <v>141</v>
      </c>
      <c r="B152" s="14">
        <v>92.0</v>
      </c>
      <c r="C152" s="14">
        <v>236.0</v>
      </c>
      <c r="D152" s="14">
        <v>93.0</v>
      </c>
      <c r="E152" s="14">
        <v>219.0</v>
      </c>
      <c r="F152" s="22">
        <v>92.0</v>
      </c>
      <c r="G152" s="14">
        <v>156.0</v>
      </c>
      <c r="H152" s="14"/>
      <c r="I152" s="15"/>
      <c r="J152" s="23">
        <v>100.0</v>
      </c>
      <c r="K152" s="14">
        <v>106.0</v>
      </c>
      <c r="L152" s="14">
        <v>118.0</v>
      </c>
      <c r="M152" s="22">
        <v>113.0</v>
      </c>
      <c r="N152" s="15"/>
      <c r="O152" s="15"/>
      <c r="P152" s="15">
        <v>116.0</v>
      </c>
      <c r="Q152" s="14">
        <v>242.0</v>
      </c>
      <c r="R152" s="24">
        <v>112.0</v>
      </c>
      <c r="S152" s="14">
        <v>115.0</v>
      </c>
      <c r="T152" s="15"/>
      <c r="U152" s="14">
        <v>251.0</v>
      </c>
      <c r="V152" s="29">
        <v>119.0</v>
      </c>
      <c r="W152" s="14">
        <v>114.0</v>
      </c>
      <c r="X152" s="14">
        <v>236.0</v>
      </c>
      <c r="Y152" s="14">
        <v>236.0</v>
      </c>
      <c r="Z152" s="25">
        <v>104.0</v>
      </c>
      <c r="AA152" s="25"/>
      <c r="AB152" s="25">
        <v>161.0</v>
      </c>
      <c r="AC152" s="14">
        <v>219.0</v>
      </c>
      <c r="AD152" s="14"/>
      <c r="AE152" s="14">
        <v>219.0</v>
      </c>
      <c r="AF152" s="14">
        <v>236.0</v>
      </c>
      <c r="AG152" s="14">
        <v>236.0</v>
      </c>
      <c r="AH152" s="14">
        <v>119.0</v>
      </c>
      <c r="AI152" s="14">
        <v>118.0</v>
      </c>
      <c r="AJ152" s="14">
        <v>212.0</v>
      </c>
      <c r="AK152" s="14"/>
      <c r="AL152" s="14">
        <v>211.0</v>
      </c>
      <c r="AM152" s="14">
        <v>120.0</v>
      </c>
      <c r="AN152" s="14">
        <v>219.0</v>
      </c>
      <c r="AO152" s="14">
        <v>97.0</v>
      </c>
      <c r="AP152" s="14">
        <v>122.0</v>
      </c>
      <c r="AQ152" s="14">
        <v>126.0</v>
      </c>
      <c r="AR152" s="14"/>
      <c r="AS152" s="14">
        <v>107.0</v>
      </c>
      <c r="AT152" s="14">
        <v>154.0</v>
      </c>
      <c r="AU152" s="14">
        <v>100.0</v>
      </c>
      <c r="AV152" s="14">
        <v>106.0</v>
      </c>
      <c r="AW152" s="14">
        <v>111.0</v>
      </c>
      <c r="AX152" s="14">
        <v>106.0</v>
      </c>
      <c r="AY152" s="14">
        <v>92.0</v>
      </c>
      <c r="AZ152" s="26"/>
      <c r="BA152" s="26"/>
      <c r="BB152" s="26"/>
      <c r="BC152" s="26"/>
    </row>
    <row r="153">
      <c r="A153" s="27">
        <f>HYPERLINK("https://arcprize.org/play?task=62c24649", 142)</f>
        <v>142</v>
      </c>
      <c r="B153" s="14">
        <v>40.0</v>
      </c>
      <c r="C153" s="14">
        <v>45.0</v>
      </c>
      <c r="D153" s="14">
        <v>40.0</v>
      </c>
      <c r="E153" s="14">
        <v>45.0</v>
      </c>
      <c r="F153" s="22">
        <v>40.0</v>
      </c>
      <c r="G153" s="14">
        <v>40.0</v>
      </c>
      <c r="H153" s="14">
        <v>40.0</v>
      </c>
      <c r="I153" s="14">
        <v>40.0</v>
      </c>
      <c r="J153" s="23">
        <v>40.0</v>
      </c>
      <c r="K153" s="14">
        <v>40.0</v>
      </c>
      <c r="L153" s="14">
        <v>40.0</v>
      </c>
      <c r="M153" s="22">
        <v>40.0</v>
      </c>
      <c r="N153" s="14"/>
      <c r="O153" s="14"/>
      <c r="P153" s="14">
        <v>41.0</v>
      </c>
      <c r="Q153" s="14">
        <v>40.0</v>
      </c>
      <c r="R153" s="24">
        <v>40.0</v>
      </c>
      <c r="S153" s="14">
        <v>45.0</v>
      </c>
      <c r="T153" s="14">
        <v>40.0</v>
      </c>
      <c r="U153" s="14">
        <v>49.0</v>
      </c>
      <c r="V153" s="29">
        <v>40.0</v>
      </c>
      <c r="W153" s="14">
        <v>40.0</v>
      </c>
      <c r="X153" s="14">
        <v>49.0</v>
      </c>
      <c r="Y153" s="14">
        <v>49.0</v>
      </c>
      <c r="Z153" s="30">
        <v>40.0</v>
      </c>
      <c r="AA153" s="25"/>
      <c r="AB153" s="25">
        <v>45.0</v>
      </c>
      <c r="AC153" s="14">
        <v>45.0</v>
      </c>
      <c r="AD153" s="14">
        <v>40.0</v>
      </c>
      <c r="AE153" s="14">
        <v>45.0</v>
      </c>
      <c r="AF153" s="14">
        <v>49.0</v>
      </c>
      <c r="AG153" s="14">
        <v>49.0</v>
      </c>
      <c r="AH153" s="14">
        <v>40.0</v>
      </c>
      <c r="AI153" s="14">
        <v>40.0</v>
      </c>
      <c r="AJ153" s="14">
        <v>45.0</v>
      </c>
      <c r="AK153" s="14">
        <v>40.0</v>
      </c>
      <c r="AL153" s="14">
        <v>45.0</v>
      </c>
      <c r="AM153" s="14">
        <v>40.0</v>
      </c>
      <c r="AN153" s="14">
        <v>45.0</v>
      </c>
      <c r="AO153" s="14">
        <v>40.0</v>
      </c>
      <c r="AP153" s="14">
        <v>40.0</v>
      </c>
      <c r="AQ153" s="14">
        <v>40.0</v>
      </c>
      <c r="AR153" s="14"/>
      <c r="AS153" s="14">
        <v>40.0</v>
      </c>
      <c r="AT153" s="14">
        <v>45.0</v>
      </c>
      <c r="AU153" s="14">
        <v>40.0</v>
      </c>
      <c r="AV153" s="14">
        <v>40.0</v>
      </c>
      <c r="AW153" s="14">
        <v>40.0</v>
      </c>
      <c r="AX153" s="14">
        <v>40.0</v>
      </c>
      <c r="AY153" s="14">
        <v>40.0</v>
      </c>
      <c r="AZ153" s="26"/>
      <c r="BA153" s="26"/>
      <c r="BB153" s="26"/>
      <c r="BC153" s="26"/>
    </row>
    <row r="154">
      <c r="A154" s="27">
        <f>HYPERLINK("https://arcprize.org/play?task=63613498", 143)</f>
        <v>143</v>
      </c>
      <c r="B154" s="14">
        <v>127.0</v>
      </c>
      <c r="C154" s="14">
        <v>358.0</v>
      </c>
      <c r="D154" s="14">
        <v>130.0</v>
      </c>
      <c r="E154" s="14">
        <v>369.0</v>
      </c>
      <c r="F154" s="22">
        <v>135.0</v>
      </c>
      <c r="G154" s="14">
        <v>382.0</v>
      </c>
      <c r="H154" s="15"/>
      <c r="I154" s="15"/>
      <c r="J154" s="23">
        <v>212.0</v>
      </c>
      <c r="K154" s="14">
        <v>150.0</v>
      </c>
      <c r="L154" s="14">
        <v>217.0</v>
      </c>
      <c r="M154" s="22">
        <v>198.0</v>
      </c>
      <c r="N154" s="15"/>
      <c r="O154" s="15"/>
      <c r="P154" s="15">
        <v>459.0</v>
      </c>
      <c r="Q154" s="15"/>
      <c r="R154" s="24">
        <v>155.0</v>
      </c>
      <c r="S154" s="15"/>
      <c r="T154" s="15"/>
      <c r="U154" s="15"/>
      <c r="V154" s="31"/>
      <c r="W154" s="14">
        <v>140.0</v>
      </c>
      <c r="X154" s="14"/>
      <c r="Y154" s="14">
        <v>316.0</v>
      </c>
      <c r="Z154" s="25">
        <v>192.0</v>
      </c>
      <c r="AA154" s="25"/>
      <c r="AB154" s="25">
        <v>311.0</v>
      </c>
      <c r="AC154" s="14">
        <v>369.0</v>
      </c>
      <c r="AD154" s="14"/>
      <c r="AE154" s="14">
        <v>261.0</v>
      </c>
      <c r="AF154" s="14">
        <v>446.0</v>
      </c>
      <c r="AG154" s="14"/>
      <c r="AH154" s="14">
        <v>184.0</v>
      </c>
      <c r="AI154" s="14">
        <v>266.0</v>
      </c>
      <c r="AJ154" s="14">
        <v>342.0</v>
      </c>
      <c r="AK154" s="14"/>
      <c r="AL154" s="14">
        <v>282.0</v>
      </c>
      <c r="AM154" s="14">
        <v>181.0</v>
      </c>
      <c r="AN154" s="14">
        <v>369.0</v>
      </c>
      <c r="AO154" s="14">
        <v>151.0</v>
      </c>
      <c r="AP154" s="14">
        <v>332.0</v>
      </c>
      <c r="AQ154" s="14">
        <v>205.0</v>
      </c>
      <c r="AR154" s="14"/>
      <c r="AS154" s="14">
        <v>201.0</v>
      </c>
      <c r="AT154" s="14">
        <v>351.0</v>
      </c>
      <c r="AU154" s="14">
        <v>155.0</v>
      </c>
      <c r="AV154" s="14">
        <v>142.0</v>
      </c>
      <c r="AW154" s="14">
        <v>169.0</v>
      </c>
      <c r="AX154" s="14">
        <v>212.0</v>
      </c>
      <c r="AY154" s="14">
        <v>127.0</v>
      </c>
      <c r="AZ154" s="26"/>
      <c r="BA154" s="26"/>
      <c r="BB154" s="26"/>
      <c r="BC154" s="26"/>
    </row>
    <row r="155">
      <c r="A155" s="27">
        <f>HYPERLINK("https://arcprize.org/play?task=6430c8c4", 144)</f>
        <v>144</v>
      </c>
      <c r="B155" s="14">
        <v>53.0</v>
      </c>
      <c r="C155" s="14">
        <v>73.0</v>
      </c>
      <c r="D155" s="14">
        <v>53.0</v>
      </c>
      <c r="E155" s="14">
        <v>73.0</v>
      </c>
      <c r="F155" s="22">
        <v>53.0</v>
      </c>
      <c r="G155" s="14">
        <v>73.0</v>
      </c>
      <c r="H155" s="14">
        <v>62.0</v>
      </c>
      <c r="I155" s="14">
        <v>63.0</v>
      </c>
      <c r="J155" s="23">
        <v>59.0</v>
      </c>
      <c r="K155" s="14">
        <v>59.0</v>
      </c>
      <c r="L155" s="14">
        <v>61.0</v>
      </c>
      <c r="M155" s="22">
        <v>57.0</v>
      </c>
      <c r="N155" s="14"/>
      <c r="O155" s="14"/>
      <c r="P155" s="14">
        <v>76.0</v>
      </c>
      <c r="Q155" s="14">
        <v>68.0</v>
      </c>
      <c r="R155" s="24">
        <v>61.0</v>
      </c>
      <c r="S155" s="14">
        <v>68.0</v>
      </c>
      <c r="T155" s="14">
        <v>62.0</v>
      </c>
      <c r="U155" s="14">
        <v>85.0</v>
      </c>
      <c r="V155" s="29">
        <v>63.0</v>
      </c>
      <c r="W155" s="14">
        <v>60.0</v>
      </c>
      <c r="X155" s="14">
        <v>85.0</v>
      </c>
      <c r="Y155" s="14">
        <v>85.0</v>
      </c>
      <c r="Z155" s="25">
        <v>59.0</v>
      </c>
      <c r="AA155" s="25"/>
      <c r="AB155" s="25">
        <v>70.0</v>
      </c>
      <c r="AC155" s="14">
        <v>73.0</v>
      </c>
      <c r="AD155" s="14">
        <v>68.0</v>
      </c>
      <c r="AE155" s="14">
        <v>73.0</v>
      </c>
      <c r="AF155" s="14">
        <v>85.0</v>
      </c>
      <c r="AG155" s="14">
        <v>85.0</v>
      </c>
      <c r="AH155" s="14">
        <v>59.0</v>
      </c>
      <c r="AI155" s="14">
        <v>68.0</v>
      </c>
      <c r="AJ155" s="14">
        <v>73.0</v>
      </c>
      <c r="AK155" s="14">
        <v>65.0</v>
      </c>
      <c r="AL155" s="14">
        <v>73.0</v>
      </c>
      <c r="AM155" s="14">
        <v>59.0</v>
      </c>
      <c r="AN155" s="14">
        <v>73.0</v>
      </c>
      <c r="AO155" s="14">
        <v>59.0</v>
      </c>
      <c r="AP155" s="14">
        <v>73.0</v>
      </c>
      <c r="AQ155" s="14">
        <v>63.0</v>
      </c>
      <c r="AR155" s="14"/>
      <c r="AS155" s="14">
        <v>63.0</v>
      </c>
      <c r="AT155" s="14">
        <v>73.0</v>
      </c>
      <c r="AU155" s="14">
        <v>59.0</v>
      </c>
      <c r="AV155" s="14">
        <v>59.0</v>
      </c>
      <c r="AW155" s="14">
        <v>53.0</v>
      </c>
      <c r="AX155" s="14">
        <v>59.0</v>
      </c>
      <c r="AY155" s="14">
        <v>53.0</v>
      </c>
      <c r="AZ155" s="26"/>
      <c r="BA155" s="26"/>
      <c r="BB155" s="26"/>
      <c r="BC155" s="26"/>
    </row>
    <row r="156">
      <c r="A156" s="27">
        <f>HYPERLINK("https://arcprize.org/play?task=6455b5f5", 145)</f>
        <v>145</v>
      </c>
      <c r="B156" s="14">
        <v>177.0</v>
      </c>
      <c r="C156" s="14">
        <v>378.0</v>
      </c>
      <c r="D156" s="14">
        <v>157.0</v>
      </c>
      <c r="E156" s="14">
        <v>371.0</v>
      </c>
      <c r="F156" s="22">
        <v>167.0</v>
      </c>
      <c r="G156" s="14">
        <v>380.0</v>
      </c>
      <c r="H156" s="15"/>
      <c r="I156" s="15"/>
      <c r="J156" s="23">
        <v>187.0</v>
      </c>
      <c r="K156" s="14">
        <v>234.0</v>
      </c>
      <c r="L156" s="14">
        <v>257.0</v>
      </c>
      <c r="M156" s="22">
        <v>189.0</v>
      </c>
      <c r="N156" s="15"/>
      <c r="O156" s="15"/>
      <c r="P156" s="15"/>
      <c r="Q156" s="14">
        <v>311.0</v>
      </c>
      <c r="R156" s="24">
        <v>245.0</v>
      </c>
      <c r="S156" s="15"/>
      <c r="T156" s="15"/>
      <c r="U156" s="14">
        <v>576.0</v>
      </c>
      <c r="V156" s="31"/>
      <c r="W156" s="14">
        <v>214.0</v>
      </c>
      <c r="X156" s="14">
        <v>396.0</v>
      </c>
      <c r="Y156" s="14">
        <v>400.0</v>
      </c>
      <c r="Z156" s="25">
        <v>231.0</v>
      </c>
      <c r="AA156" s="25"/>
      <c r="AB156" s="25">
        <v>349.0</v>
      </c>
      <c r="AC156" s="14">
        <v>371.0</v>
      </c>
      <c r="AD156" s="14"/>
      <c r="AE156" s="14">
        <v>371.0</v>
      </c>
      <c r="AF156" s="14">
        <v>396.0</v>
      </c>
      <c r="AG156" s="14"/>
      <c r="AH156" s="14">
        <v>294.0</v>
      </c>
      <c r="AI156" s="14">
        <v>260.0</v>
      </c>
      <c r="AJ156" s="14">
        <v>309.0</v>
      </c>
      <c r="AK156" s="14"/>
      <c r="AL156" s="14">
        <v>363.0</v>
      </c>
      <c r="AM156" s="14">
        <v>277.0</v>
      </c>
      <c r="AN156" s="14">
        <v>371.0</v>
      </c>
      <c r="AO156" s="14">
        <v>226.0</v>
      </c>
      <c r="AP156" s="14">
        <v>282.0</v>
      </c>
      <c r="AQ156" s="14">
        <v>278.0</v>
      </c>
      <c r="AR156" s="14"/>
      <c r="AS156" s="14">
        <v>215.0</v>
      </c>
      <c r="AT156" s="14">
        <v>371.0</v>
      </c>
      <c r="AU156" s="14">
        <v>227.0</v>
      </c>
      <c r="AV156" s="14">
        <v>197.0</v>
      </c>
      <c r="AW156" s="14">
        <v>225.0</v>
      </c>
      <c r="AX156" s="14">
        <v>197.0</v>
      </c>
      <c r="AY156" s="14">
        <v>156.0</v>
      </c>
      <c r="AZ156" s="26"/>
      <c r="BA156" s="26"/>
      <c r="BB156" s="26"/>
      <c r="BC156" s="26"/>
    </row>
    <row r="157">
      <c r="A157" s="27">
        <f>HYPERLINK("https://arcprize.org/play?task=662c240a", 146)</f>
        <v>146</v>
      </c>
      <c r="B157" s="14">
        <v>58.0</v>
      </c>
      <c r="C157" s="14">
        <v>138.0</v>
      </c>
      <c r="D157" s="14">
        <v>58.0</v>
      </c>
      <c r="E157" s="14">
        <v>138.0</v>
      </c>
      <c r="F157" s="22">
        <v>58.0</v>
      </c>
      <c r="G157" s="14">
        <v>138.0</v>
      </c>
      <c r="H157" s="14">
        <v>61.0</v>
      </c>
      <c r="I157" s="14"/>
      <c r="J157" s="23">
        <v>58.0</v>
      </c>
      <c r="K157" s="14">
        <v>58.0</v>
      </c>
      <c r="L157" s="14">
        <v>58.0</v>
      </c>
      <c r="M157" s="22">
        <v>58.0</v>
      </c>
      <c r="N157" s="14"/>
      <c r="O157" s="14"/>
      <c r="P157" s="14"/>
      <c r="Q157" s="14">
        <v>78.0</v>
      </c>
      <c r="R157" s="24">
        <v>70.0</v>
      </c>
      <c r="S157" s="14">
        <v>70.0</v>
      </c>
      <c r="T157" s="14">
        <v>70.0</v>
      </c>
      <c r="U157" s="14">
        <v>162.0</v>
      </c>
      <c r="V157" s="29">
        <v>60.0</v>
      </c>
      <c r="W157" s="14">
        <v>58.0</v>
      </c>
      <c r="X157" s="14">
        <v>151.0</v>
      </c>
      <c r="Y157" s="14">
        <v>151.0</v>
      </c>
      <c r="Z157" s="25">
        <v>58.0</v>
      </c>
      <c r="AA157" s="25"/>
      <c r="AB157" s="25">
        <v>67.0</v>
      </c>
      <c r="AC157" s="14">
        <v>130.0</v>
      </c>
      <c r="AD157" s="14">
        <v>70.0</v>
      </c>
      <c r="AE157" s="14">
        <v>138.0</v>
      </c>
      <c r="AF157" s="14">
        <v>151.0</v>
      </c>
      <c r="AG157" s="14">
        <v>95.0</v>
      </c>
      <c r="AH157" s="14">
        <v>59.0</v>
      </c>
      <c r="AI157" s="14">
        <v>70.0</v>
      </c>
      <c r="AJ157" s="14">
        <v>94.0</v>
      </c>
      <c r="AK157" s="14"/>
      <c r="AL157" s="14">
        <v>90.0</v>
      </c>
      <c r="AM157" s="14">
        <v>59.0</v>
      </c>
      <c r="AN157" s="14">
        <v>138.0</v>
      </c>
      <c r="AO157" s="14">
        <v>58.0</v>
      </c>
      <c r="AP157" s="14">
        <v>70.0</v>
      </c>
      <c r="AQ157" s="14">
        <v>98.0</v>
      </c>
      <c r="AR157" s="14"/>
      <c r="AS157" s="14">
        <v>70.0</v>
      </c>
      <c r="AT157" s="14">
        <v>67.0</v>
      </c>
      <c r="AU157" s="14">
        <v>58.0</v>
      </c>
      <c r="AV157" s="14">
        <v>58.0</v>
      </c>
      <c r="AW157" s="14">
        <v>58.0</v>
      </c>
      <c r="AX157" s="14">
        <v>64.0</v>
      </c>
      <c r="AY157" s="14">
        <v>58.0</v>
      </c>
      <c r="AZ157" s="26"/>
      <c r="BA157" s="26"/>
      <c r="BB157" s="26"/>
      <c r="BC157" s="26"/>
    </row>
    <row r="158">
      <c r="A158" s="27">
        <f>HYPERLINK("https://arcprize.org/play?task=67385a82", 147)</f>
        <v>147</v>
      </c>
      <c r="B158" s="14">
        <v>81.0</v>
      </c>
      <c r="C158" s="14">
        <v>227.0</v>
      </c>
      <c r="D158" s="14">
        <v>72.0</v>
      </c>
      <c r="E158" s="14">
        <v>213.0</v>
      </c>
      <c r="F158" s="22">
        <v>81.0</v>
      </c>
      <c r="G158" s="14">
        <v>226.0</v>
      </c>
      <c r="H158" s="14"/>
      <c r="I158" s="15"/>
      <c r="J158" s="23">
        <v>87.0</v>
      </c>
      <c r="K158" s="14">
        <v>92.0</v>
      </c>
      <c r="L158" s="14">
        <v>91.0</v>
      </c>
      <c r="M158" s="22">
        <v>84.0</v>
      </c>
      <c r="N158" s="15"/>
      <c r="O158" s="15"/>
      <c r="P158" s="15"/>
      <c r="Q158" s="14">
        <v>233.0</v>
      </c>
      <c r="R158" s="24">
        <v>95.0</v>
      </c>
      <c r="S158" s="15"/>
      <c r="T158" s="15"/>
      <c r="U158" s="14">
        <v>227.0</v>
      </c>
      <c r="V158" s="29">
        <v>92.0</v>
      </c>
      <c r="W158" s="14">
        <v>91.0</v>
      </c>
      <c r="X158" s="14">
        <v>227.0</v>
      </c>
      <c r="Y158" s="14">
        <v>227.0</v>
      </c>
      <c r="Z158" s="25">
        <v>89.0</v>
      </c>
      <c r="AA158" s="25"/>
      <c r="AB158" s="25">
        <v>158.0</v>
      </c>
      <c r="AC158" s="14">
        <v>213.0</v>
      </c>
      <c r="AD158" s="14"/>
      <c r="AE158" s="14">
        <v>213.0</v>
      </c>
      <c r="AF158" s="14">
        <v>227.0</v>
      </c>
      <c r="AG158" s="14">
        <v>227.0</v>
      </c>
      <c r="AH158" s="14">
        <v>151.0</v>
      </c>
      <c r="AI158" s="14">
        <v>149.0</v>
      </c>
      <c r="AJ158" s="14">
        <v>175.0</v>
      </c>
      <c r="AK158" s="14"/>
      <c r="AL158" s="14">
        <v>184.0</v>
      </c>
      <c r="AM158" s="14">
        <v>117.0</v>
      </c>
      <c r="AN158" s="14">
        <v>213.0</v>
      </c>
      <c r="AO158" s="14">
        <v>89.0</v>
      </c>
      <c r="AP158" s="14">
        <v>142.0</v>
      </c>
      <c r="AQ158" s="14">
        <v>129.0</v>
      </c>
      <c r="AR158" s="14"/>
      <c r="AS158" s="14">
        <v>91.0</v>
      </c>
      <c r="AT158" s="14">
        <v>213.0</v>
      </c>
      <c r="AU158" s="14">
        <v>86.0</v>
      </c>
      <c r="AV158" s="14">
        <v>89.0</v>
      </c>
      <c r="AW158" s="14">
        <v>113.0</v>
      </c>
      <c r="AX158" s="14">
        <v>92.0</v>
      </c>
      <c r="AY158" s="14">
        <v>72.0</v>
      </c>
      <c r="AZ158" s="26"/>
      <c r="BA158" s="26"/>
      <c r="BB158" s="26"/>
      <c r="BC158" s="26"/>
    </row>
    <row r="159">
      <c r="A159" s="27">
        <f>HYPERLINK("https://arcprize.org/play?task=673ef223", 148)</f>
        <v>148</v>
      </c>
      <c r="B159" s="14">
        <v>118.0</v>
      </c>
      <c r="C159" s="14">
        <v>316.0</v>
      </c>
      <c r="D159" s="14">
        <v>124.0</v>
      </c>
      <c r="E159" s="14">
        <v>276.0</v>
      </c>
      <c r="F159" s="22">
        <v>130.0</v>
      </c>
      <c r="G159" s="14">
        <v>292.0</v>
      </c>
      <c r="H159" s="15"/>
      <c r="I159" s="15"/>
      <c r="J159" s="23">
        <v>153.0</v>
      </c>
      <c r="K159" s="14">
        <v>182.0</v>
      </c>
      <c r="L159" s="14">
        <v>214.0</v>
      </c>
      <c r="M159" s="22">
        <v>194.0</v>
      </c>
      <c r="N159" s="15"/>
      <c r="O159" s="15"/>
      <c r="P159" s="15"/>
      <c r="Q159" s="14">
        <v>305.0</v>
      </c>
      <c r="R159" s="24">
        <v>163.0</v>
      </c>
      <c r="S159" s="15"/>
      <c r="T159" s="14">
        <v>206.0</v>
      </c>
      <c r="U159" s="15"/>
      <c r="V159" s="31"/>
      <c r="W159" s="15"/>
      <c r="X159" s="14"/>
      <c r="Y159" s="14">
        <v>364.0</v>
      </c>
      <c r="Z159" s="25">
        <v>172.0</v>
      </c>
      <c r="AA159" s="25"/>
      <c r="AB159" s="25">
        <v>248.0</v>
      </c>
      <c r="AC159" s="14">
        <v>276.0</v>
      </c>
      <c r="AD159" s="14"/>
      <c r="AE159" s="14">
        <v>276.0</v>
      </c>
      <c r="AF159" s="14">
        <v>447.0</v>
      </c>
      <c r="AG159" s="14"/>
      <c r="AH159" s="14">
        <v>236.0</v>
      </c>
      <c r="AI159" s="14">
        <v>233.0</v>
      </c>
      <c r="AJ159" s="14">
        <v>244.0</v>
      </c>
      <c r="AK159" s="14"/>
      <c r="AL159" s="14">
        <v>276.0</v>
      </c>
      <c r="AM159" s="14">
        <v>200.0</v>
      </c>
      <c r="AN159" s="14">
        <v>276.0</v>
      </c>
      <c r="AO159" s="14">
        <v>154.0</v>
      </c>
      <c r="AP159" s="14">
        <v>224.0</v>
      </c>
      <c r="AQ159" s="14">
        <v>223.0</v>
      </c>
      <c r="AR159" s="14"/>
      <c r="AS159" s="14">
        <v>155.0</v>
      </c>
      <c r="AT159" s="14">
        <v>276.0</v>
      </c>
      <c r="AU159" s="14">
        <v>200.0</v>
      </c>
      <c r="AV159" s="14">
        <v>151.0</v>
      </c>
      <c r="AW159" s="14">
        <v>173.0</v>
      </c>
      <c r="AX159" s="14">
        <v>204.0</v>
      </c>
      <c r="AY159" s="14">
        <v>118.0</v>
      </c>
      <c r="AZ159" s="26"/>
      <c r="BA159" s="26"/>
      <c r="BB159" s="26"/>
      <c r="BC159" s="26"/>
    </row>
    <row r="160">
      <c r="A160" s="27">
        <f>HYPERLINK("https://arcprize.org/play?task=6773b310", 149)</f>
        <v>149</v>
      </c>
      <c r="B160" s="14">
        <v>75.0</v>
      </c>
      <c r="C160" s="14">
        <v>174.0</v>
      </c>
      <c r="D160" s="14">
        <v>75.0</v>
      </c>
      <c r="E160" s="14">
        <v>182.0</v>
      </c>
      <c r="F160" s="22">
        <v>74.0</v>
      </c>
      <c r="G160" s="14">
        <v>187.0</v>
      </c>
      <c r="H160" s="14"/>
      <c r="I160" s="15"/>
      <c r="J160" s="23">
        <v>80.0</v>
      </c>
      <c r="K160" s="14">
        <v>78.0</v>
      </c>
      <c r="L160" s="14">
        <v>80.0</v>
      </c>
      <c r="M160" s="22">
        <v>80.0</v>
      </c>
      <c r="N160" s="15"/>
      <c r="O160" s="15"/>
      <c r="P160" s="15"/>
      <c r="Q160" s="15">
        <v>84.0</v>
      </c>
      <c r="R160" s="24">
        <v>82.0</v>
      </c>
      <c r="S160" s="14">
        <v>91.0</v>
      </c>
      <c r="T160" s="15"/>
      <c r="U160" s="14">
        <v>187.0</v>
      </c>
      <c r="V160" s="29">
        <v>83.0</v>
      </c>
      <c r="W160" s="14">
        <v>80.0</v>
      </c>
      <c r="X160" s="14">
        <v>187.0</v>
      </c>
      <c r="Y160" s="14">
        <v>186.0</v>
      </c>
      <c r="Z160" s="25">
        <v>80.0</v>
      </c>
      <c r="AA160" s="25"/>
      <c r="AB160" s="25">
        <v>93.0</v>
      </c>
      <c r="AC160" s="14">
        <v>182.0</v>
      </c>
      <c r="AD160" s="14"/>
      <c r="AE160" s="14">
        <v>182.0</v>
      </c>
      <c r="AF160" s="14">
        <v>187.0</v>
      </c>
      <c r="AG160" s="14">
        <v>187.0</v>
      </c>
      <c r="AH160" s="14">
        <v>80.0</v>
      </c>
      <c r="AI160" s="14">
        <v>84.0</v>
      </c>
      <c r="AJ160" s="14">
        <v>88.0</v>
      </c>
      <c r="AK160" s="14"/>
      <c r="AL160" s="14">
        <v>109.0</v>
      </c>
      <c r="AM160" s="14">
        <v>83.0</v>
      </c>
      <c r="AN160" s="14">
        <v>100.0</v>
      </c>
      <c r="AO160" s="14">
        <v>78.0</v>
      </c>
      <c r="AP160" s="14">
        <v>86.0</v>
      </c>
      <c r="AQ160" s="14">
        <v>82.0</v>
      </c>
      <c r="AR160" s="14"/>
      <c r="AS160" s="14">
        <v>82.0</v>
      </c>
      <c r="AT160" s="14">
        <v>99.0</v>
      </c>
      <c r="AU160" s="14">
        <v>82.0</v>
      </c>
      <c r="AV160" s="14">
        <v>78.0</v>
      </c>
      <c r="AW160" s="14">
        <v>80.0</v>
      </c>
      <c r="AX160" s="14">
        <v>80.0</v>
      </c>
      <c r="AY160" s="14">
        <v>74.0</v>
      </c>
      <c r="AZ160" s="26"/>
      <c r="BA160" s="26"/>
      <c r="BB160" s="26"/>
      <c r="BC160" s="26"/>
    </row>
    <row r="161">
      <c r="A161" s="27">
        <f>HYPERLINK("https://arcprize.org/play?task=67a3c6ac", 150)</f>
        <v>150</v>
      </c>
      <c r="B161" s="14">
        <v>30.0</v>
      </c>
      <c r="C161" s="14">
        <v>30.0</v>
      </c>
      <c r="D161" s="14">
        <v>30.0</v>
      </c>
      <c r="E161" s="14">
        <v>30.0</v>
      </c>
      <c r="F161" s="22">
        <v>30.0</v>
      </c>
      <c r="G161" s="14">
        <v>30.0</v>
      </c>
      <c r="H161" s="14">
        <v>30.0</v>
      </c>
      <c r="I161" s="14">
        <v>30.0</v>
      </c>
      <c r="J161" s="23">
        <v>30.0</v>
      </c>
      <c r="K161" s="14">
        <v>30.0</v>
      </c>
      <c r="L161" s="14">
        <v>30.0</v>
      </c>
      <c r="M161" s="22">
        <v>30.0</v>
      </c>
      <c r="N161" s="14"/>
      <c r="O161" s="14"/>
      <c r="P161" s="14"/>
      <c r="Q161" s="14">
        <v>30.0</v>
      </c>
      <c r="R161" s="24">
        <v>30.0</v>
      </c>
      <c r="S161" s="14">
        <v>30.0</v>
      </c>
      <c r="T161" s="14">
        <v>30.0</v>
      </c>
      <c r="U161" s="14">
        <v>30.0</v>
      </c>
      <c r="V161" s="29">
        <v>30.0</v>
      </c>
      <c r="W161" s="14">
        <v>30.0</v>
      </c>
      <c r="X161" s="14">
        <v>30.0</v>
      </c>
      <c r="Y161" s="14">
        <v>30.0</v>
      </c>
      <c r="Z161" s="30">
        <v>30.0</v>
      </c>
      <c r="AA161" s="25"/>
      <c r="AB161" s="25">
        <v>30.0</v>
      </c>
      <c r="AC161" s="14">
        <v>30.0</v>
      </c>
      <c r="AD161" s="14">
        <v>30.0</v>
      </c>
      <c r="AE161" s="14">
        <v>30.0</v>
      </c>
      <c r="AF161" s="14">
        <v>30.0</v>
      </c>
      <c r="AG161" s="14">
        <v>30.0</v>
      </c>
      <c r="AH161" s="14">
        <v>30.0</v>
      </c>
      <c r="AI161" s="14">
        <v>30.0</v>
      </c>
      <c r="AJ161" s="14">
        <v>30.0</v>
      </c>
      <c r="AK161" s="14">
        <v>30.0</v>
      </c>
      <c r="AL161" s="14">
        <v>30.0</v>
      </c>
      <c r="AM161" s="14">
        <v>30.0</v>
      </c>
      <c r="AN161" s="14">
        <v>30.0</v>
      </c>
      <c r="AO161" s="14">
        <v>30.0</v>
      </c>
      <c r="AP161" s="14">
        <v>30.0</v>
      </c>
      <c r="AQ161" s="14">
        <v>30.0</v>
      </c>
      <c r="AR161" s="14"/>
      <c r="AS161" s="14">
        <v>30.0</v>
      </c>
      <c r="AT161" s="14">
        <v>30.0</v>
      </c>
      <c r="AU161" s="14">
        <v>30.0</v>
      </c>
      <c r="AV161" s="14">
        <v>30.0</v>
      </c>
      <c r="AW161" s="14">
        <v>30.0</v>
      </c>
      <c r="AX161" s="14">
        <v>30.0</v>
      </c>
      <c r="AY161" s="14">
        <v>30.0</v>
      </c>
      <c r="AZ161" s="26"/>
      <c r="BA161" s="26"/>
      <c r="BB161" s="26"/>
      <c r="BC161" s="26"/>
    </row>
    <row r="162">
      <c r="A162" s="27">
        <f>HYPERLINK("https://arcprize.org/play?task=67a423a3", 151)</f>
        <v>151</v>
      </c>
      <c r="B162" s="14">
        <v>103.0</v>
      </c>
      <c r="C162" s="14">
        <v>131.0</v>
      </c>
      <c r="D162" s="14">
        <v>103.0</v>
      </c>
      <c r="E162" s="14">
        <v>134.0</v>
      </c>
      <c r="F162" s="22">
        <v>103.0</v>
      </c>
      <c r="G162" s="14">
        <v>134.0</v>
      </c>
      <c r="H162" s="14"/>
      <c r="I162" s="14"/>
      <c r="J162" s="23">
        <v>113.0</v>
      </c>
      <c r="K162" s="14">
        <v>108.0</v>
      </c>
      <c r="L162" s="14">
        <v>125.0</v>
      </c>
      <c r="M162" s="22">
        <v>113.0</v>
      </c>
      <c r="N162" s="14"/>
      <c r="O162" s="14"/>
      <c r="P162" s="14"/>
      <c r="Q162" s="14">
        <v>134.0</v>
      </c>
      <c r="R162" s="24">
        <v>115.0</v>
      </c>
      <c r="S162" s="14">
        <v>127.0</v>
      </c>
      <c r="T162" s="14">
        <v>129.0</v>
      </c>
      <c r="U162" s="14">
        <v>134.0</v>
      </c>
      <c r="V162" s="33"/>
      <c r="W162" s="14">
        <v>122.0</v>
      </c>
      <c r="X162" s="14">
        <v>134.0</v>
      </c>
      <c r="Y162" s="14">
        <v>134.0</v>
      </c>
      <c r="Z162" s="25">
        <v>111.0</v>
      </c>
      <c r="AA162" s="25"/>
      <c r="AB162" s="25">
        <v>134.0</v>
      </c>
      <c r="AC162" s="14">
        <v>134.0</v>
      </c>
      <c r="AD162" s="14">
        <v>121.0</v>
      </c>
      <c r="AE162" s="14">
        <v>134.0</v>
      </c>
      <c r="AF162" s="14">
        <v>134.0</v>
      </c>
      <c r="AG162" s="14">
        <v>134.0</v>
      </c>
      <c r="AH162" s="14">
        <v>118.0</v>
      </c>
      <c r="AI162" s="14">
        <v>120.0</v>
      </c>
      <c r="AJ162" s="14">
        <v>134.0</v>
      </c>
      <c r="AK162" s="14"/>
      <c r="AL162" s="14">
        <v>134.0</v>
      </c>
      <c r="AM162" s="14">
        <v>104.0</v>
      </c>
      <c r="AN162" s="14">
        <v>134.0</v>
      </c>
      <c r="AO162" s="14">
        <v>100.0</v>
      </c>
      <c r="AP162" s="14">
        <v>122.0</v>
      </c>
      <c r="AQ162" s="14">
        <v>110.0</v>
      </c>
      <c r="AR162" s="14"/>
      <c r="AS162" s="14">
        <v>129.0</v>
      </c>
      <c r="AT162" s="14">
        <v>134.0</v>
      </c>
      <c r="AU162" s="14">
        <v>114.0</v>
      </c>
      <c r="AV162" s="14">
        <v>105.0</v>
      </c>
      <c r="AW162" s="14">
        <v>102.0</v>
      </c>
      <c r="AX162" s="14">
        <v>107.0</v>
      </c>
      <c r="AY162" s="14">
        <v>100.0</v>
      </c>
      <c r="AZ162" s="26"/>
      <c r="BA162" s="26"/>
      <c r="BB162" s="26"/>
      <c r="BC162" s="26"/>
    </row>
    <row r="163">
      <c r="A163" s="27">
        <f>HYPERLINK("https://arcprize.org/play?task=67e8384a", 152)</f>
        <v>152</v>
      </c>
      <c r="B163" s="14">
        <v>40.0</v>
      </c>
      <c r="C163" s="14">
        <v>45.0</v>
      </c>
      <c r="D163" s="14">
        <v>40.0</v>
      </c>
      <c r="E163" s="14">
        <v>45.0</v>
      </c>
      <c r="F163" s="22">
        <v>39.0</v>
      </c>
      <c r="G163" s="14">
        <v>40.0</v>
      </c>
      <c r="H163" s="14">
        <v>40.0</v>
      </c>
      <c r="I163" s="14">
        <v>40.0</v>
      </c>
      <c r="J163" s="23">
        <v>40.0</v>
      </c>
      <c r="K163" s="14">
        <v>40.0</v>
      </c>
      <c r="L163" s="14">
        <v>40.0</v>
      </c>
      <c r="M163" s="22">
        <v>40.0</v>
      </c>
      <c r="N163" s="14"/>
      <c r="O163" s="14"/>
      <c r="P163" s="14"/>
      <c r="Q163" s="14">
        <v>40.0</v>
      </c>
      <c r="R163" s="24">
        <v>40.0</v>
      </c>
      <c r="S163" s="14">
        <v>40.0</v>
      </c>
      <c r="T163" s="14">
        <v>40.0</v>
      </c>
      <c r="U163" s="14">
        <v>49.0</v>
      </c>
      <c r="V163" s="29">
        <v>40.0</v>
      </c>
      <c r="W163" s="14">
        <v>40.0</v>
      </c>
      <c r="X163" s="14">
        <v>49.0</v>
      </c>
      <c r="Y163" s="14">
        <v>49.0</v>
      </c>
      <c r="Z163" s="30">
        <v>40.0</v>
      </c>
      <c r="AA163" s="25"/>
      <c r="AB163" s="25">
        <v>41.0</v>
      </c>
      <c r="AC163" s="14">
        <v>45.0</v>
      </c>
      <c r="AD163" s="14">
        <v>40.0</v>
      </c>
      <c r="AE163" s="14">
        <v>45.0</v>
      </c>
      <c r="AF163" s="14">
        <v>49.0</v>
      </c>
      <c r="AG163" s="14">
        <v>49.0</v>
      </c>
      <c r="AH163" s="14">
        <v>40.0</v>
      </c>
      <c r="AI163" s="14">
        <v>40.0</v>
      </c>
      <c r="AJ163" s="14">
        <v>45.0</v>
      </c>
      <c r="AK163" s="14">
        <v>40.0</v>
      </c>
      <c r="AL163" s="14">
        <v>45.0</v>
      </c>
      <c r="AM163" s="14">
        <v>40.0</v>
      </c>
      <c r="AN163" s="14">
        <v>45.0</v>
      </c>
      <c r="AO163" s="14">
        <v>40.0</v>
      </c>
      <c r="AP163" s="14">
        <v>40.0</v>
      </c>
      <c r="AQ163" s="14">
        <v>40.0</v>
      </c>
      <c r="AR163" s="14"/>
      <c r="AS163" s="14">
        <v>40.0</v>
      </c>
      <c r="AT163" s="14">
        <v>45.0</v>
      </c>
      <c r="AU163" s="14">
        <v>40.0</v>
      </c>
      <c r="AV163" s="14">
        <v>40.0</v>
      </c>
      <c r="AW163" s="14">
        <v>40.0</v>
      </c>
      <c r="AX163" s="14">
        <v>40.0</v>
      </c>
      <c r="AY163" s="14">
        <v>39.0</v>
      </c>
      <c r="AZ163" s="26"/>
      <c r="BA163" s="26"/>
      <c r="BB163" s="26"/>
      <c r="BC163" s="26"/>
    </row>
    <row r="164">
      <c r="A164" s="27">
        <f>HYPERLINK("https://arcprize.org/play?task=681b3aeb", 153)</f>
        <v>153</v>
      </c>
      <c r="B164" s="14">
        <v>118.0</v>
      </c>
      <c r="C164" s="14">
        <v>335.0</v>
      </c>
      <c r="D164" s="14">
        <v>131.0</v>
      </c>
      <c r="E164" s="14">
        <v>304.0</v>
      </c>
      <c r="F164" s="22">
        <v>133.0</v>
      </c>
      <c r="G164" s="14">
        <v>332.0</v>
      </c>
      <c r="H164" s="15"/>
      <c r="I164" s="15"/>
      <c r="J164" s="23">
        <v>162.0</v>
      </c>
      <c r="K164" s="14">
        <v>179.0</v>
      </c>
      <c r="L164" s="14">
        <v>186.0</v>
      </c>
      <c r="M164" s="22">
        <v>186.0</v>
      </c>
      <c r="N164" s="15"/>
      <c r="O164" s="15"/>
      <c r="P164" s="15"/>
      <c r="Q164" s="14">
        <v>346.0</v>
      </c>
      <c r="R164" s="24">
        <v>200.0</v>
      </c>
      <c r="S164" s="15"/>
      <c r="T164" s="15"/>
      <c r="U164" s="15"/>
      <c r="V164" s="31"/>
      <c r="W164" s="15"/>
      <c r="X164" s="14"/>
      <c r="Y164" s="14">
        <v>369.0</v>
      </c>
      <c r="Z164" s="25">
        <v>162.0</v>
      </c>
      <c r="AA164" s="25"/>
      <c r="AB164" s="25">
        <v>334.0</v>
      </c>
      <c r="AC164" s="14">
        <v>304.0</v>
      </c>
      <c r="AD164" s="14"/>
      <c r="AE164" s="14">
        <v>307.0</v>
      </c>
      <c r="AF164" s="14">
        <v>657.0</v>
      </c>
      <c r="AG164" s="14"/>
      <c r="AH164" s="14">
        <v>272.0</v>
      </c>
      <c r="AI164" s="14">
        <v>225.0</v>
      </c>
      <c r="AJ164" s="14">
        <v>315.0</v>
      </c>
      <c r="AK164" s="14"/>
      <c r="AL164" s="14">
        <v>279.0</v>
      </c>
      <c r="AM164" s="14">
        <v>203.0</v>
      </c>
      <c r="AN164" s="14">
        <v>307.0</v>
      </c>
      <c r="AO164" s="14">
        <v>128.0</v>
      </c>
      <c r="AP164" s="14">
        <v>288.0</v>
      </c>
      <c r="AQ164" s="14">
        <v>272.0</v>
      </c>
      <c r="AR164" s="14"/>
      <c r="AS164" s="14">
        <v>222.0</v>
      </c>
      <c r="AT164" s="14">
        <v>274.0</v>
      </c>
      <c r="AU164" s="14">
        <v>150.0</v>
      </c>
      <c r="AV164" s="14">
        <v>173.0</v>
      </c>
      <c r="AW164" s="14">
        <v>119.0</v>
      </c>
      <c r="AX164" s="14">
        <v>177.0</v>
      </c>
      <c r="AY164" s="14">
        <v>118.0</v>
      </c>
      <c r="AZ164" s="26"/>
      <c r="BA164" s="26"/>
      <c r="BB164" s="26"/>
      <c r="BC164" s="26"/>
    </row>
    <row r="165">
      <c r="A165" s="27">
        <f>HYPERLINK("https://arcprize.org/play?task=6855a6e4", 154)</f>
        <v>154</v>
      </c>
      <c r="B165" s="14">
        <v>98.0</v>
      </c>
      <c r="C165" s="14">
        <v>189.0</v>
      </c>
      <c r="D165" s="14">
        <v>100.0</v>
      </c>
      <c r="E165" s="14">
        <v>193.0</v>
      </c>
      <c r="F165" s="22">
        <v>98.0</v>
      </c>
      <c r="G165" s="14">
        <v>271.0</v>
      </c>
      <c r="H165" s="15"/>
      <c r="I165" s="15"/>
      <c r="J165" s="23">
        <v>107.0</v>
      </c>
      <c r="K165" s="14">
        <v>100.0</v>
      </c>
      <c r="L165" s="14">
        <v>108.0</v>
      </c>
      <c r="M165" s="22">
        <v>101.0</v>
      </c>
      <c r="N165" s="15"/>
      <c r="O165" s="15"/>
      <c r="P165" s="15"/>
      <c r="Q165" s="14">
        <v>244.0</v>
      </c>
      <c r="R165" s="24">
        <v>122.0</v>
      </c>
      <c r="S165" s="14">
        <v>230.0</v>
      </c>
      <c r="T165" s="15"/>
      <c r="U165" s="15"/>
      <c r="V165" s="31"/>
      <c r="W165" s="15"/>
      <c r="X165" s="14"/>
      <c r="Y165" s="14">
        <v>272.0</v>
      </c>
      <c r="Z165" s="25">
        <v>113.0</v>
      </c>
      <c r="AA165" s="25"/>
      <c r="AB165" s="25">
        <v>328.0</v>
      </c>
      <c r="AC165" s="14">
        <v>454.0</v>
      </c>
      <c r="AD165" s="14"/>
      <c r="AE165" s="14">
        <v>112.0</v>
      </c>
      <c r="AF165" s="14">
        <v>459.0</v>
      </c>
      <c r="AG165" s="14"/>
      <c r="AH165" s="14">
        <v>248.0</v>
      </c>
      <c r="AI165" s="14">
        <v>160.0</v>
      </c>
      <c r="AJ165" s="14">
        <v>187.0</v>
      </c>
      <c r="AK165" s="14"/>
      <c r="AL165" s="14">
        <v>193.0</v>
      </c>
      <c r="AM165" s="14">
        <v>96.0</v>
      </c>
      <c r="AN165" s="14">
        <v>193.0</v>
      </c>
      <c r="AO165" s="14">
        <v>103.0</v>
      </c>
      <c r="AP165" s="14">
        <v>193.0</v>
      </c>
      <c r="AQ165" s="14">
        <v>193.0</v>
      </c>
      <c r="AR165" s="14"/>
      <c r="AS165" s="14">
        <v>133.0</v>
      </c>
      <c r="AT165" s="14">
        <v>118.0</v>
      </c>
      <c r="AU165" s="14">
        <v>112.0</v>
      </c>
      <c r="AV165" s="14">
        <v>119.0</v>
      </c>
      <c r="AW165" s="14">
        <v>116.0</v>
      </c>
      <c r="AX165" s="14">
        <v>120.0</v>
      </c>
      <c r="AY165" s="14">
        <v>88.0</v>
      </c>
      <c r="AZ165" s="26"/>
      <c r="BA165" s="26"/>
      <c r="BB165" s="26"/>
      <c r="BC165" s="26"/>
    </row>
    <row r="166">
      <c r="A166" s="27">
        <f>HYPERLINK("https://arcprize.org/play?task=68b16354", 155)</f>
        <v>155</v>
      </c>
      <c r="B166" s="14">
        <v>18.0</v>
      </c>
      <c r="C166" s="14">
        <v>18.0</v>
      </c>
      <c r="D166" s="14">
        <v>18.0</v>
      </c>
      <c r="E166" s="14">
        <v>18.0</v>
      </c>
      <c r="F166" s="22">
        <v>18.0</v>
      </c>
      <c r="G166" s="14">
        <v>18.0</v>
      </c>
      <c r="H166" s="14">
        <v>18.0</v>
      </c>
      <c r="I166" s="14">
        <v>18.0</v>
      </c>
      <c r="J166" s="23">
        <v>18.0</v>
      </c>
      <c r="K166" s="14">
        <v>18.0</v>
      </c>
      <c r="L166" s="14">
        <v>18.0</v>
      </c>
      <c r="M166" s="22">
        <v>18.0</v>
      </c>
      <c r="N166" s="14"/>
      <c r="O166" s="14"/>
      <c r="P166" s="14"/>
      <c r="Q166" s="14">
        <v>18.0</v>
      </c>
      <c r="R166" s="24">
        <v>18.0</v>
      </c>
      <c r="S166" s="14">
        <v>18.0</v>
      </c>
      <c r="T166" s="14">
        <v>18.0</v>
      </c>
      <c r="U166" s="14">
        <v>18.0</v>
      </c>
      <c r="V166" s="29">
        <v>18.0</v>
      </c>
      <c r="W166" s="14">
        <v>18.0</v>
      </c>
      <c r="X166" s="14">
        <v>18.0</v>
      </c>
      <c r="Y166" s="14">
        <v>18.0</v>
      </c>
      <c r="Z166" s="30">
        <v>18.0</v>
      </c>
      <c r="AA166" s="25"/>
      <c r="AB166" s="25">
        <v>18.0</v>
      </c>
      <c r="AC166" s="14">
        <v>18.0</v>
      </c>
      <c r="AD166" s="14">
        <v>18.0</v>
      </c>
      <c r="AE166" s="14">
        <v>18.0</v>
      </c>
      <c r="AF166" s="14">
        <v>18.0</v>
      </c>
      <c r="AG166" s="14">
        <v>18.0</v>
      </c>
      <c r="AH166" s="14">
        <v>18.0</v>
      </c>
      <c r="AI166" s="14">
        <v>18.0</v>
      </c>
      <c r="AJ166" s="14">
        <v>18.0</v>
      </c>
      <c r="AK166" s="14">
        <v>18.0</v>
      </c>
      <c r="AL166" s="14">
        <v>18.0</v>
      </c>
      <c r="AM166" s="14">
        <v>18.0</v>
      </c>
      <c r="AN166" s="14">
        <v>18.0</v>
      </c>
      <c r="AO166" s="14">
        <v>18.0</v>
      </c>
      <c r="AP166" s="14">
        <v>18.0</v>
      </c>
      <c r="AQ166" s="14">
        <v>18.0</v>
      </c>
      <c r="AR166" s="14"/>
      <c r="AS166" s="14">
        <v>18.0</v>
      </c>
      <c r="AT166" s="14">
        <v>18.0</v>
      </c>
      <c r="AU166" s="14">
        <v>18.0</v>
      </c>
      <c r="AV166" s="14">
        <v>18.0</v>
      </c>
      <c r="AW166" s="14">
        <v>18.0</v>
      </c>
      <c r="AX166" s="14">
        <v>18.0</v>
      </c>
      <c r="AY166" s="14">
        <v>18.0</v>
      </c>
      <c r="AZ166" s="26"/>
      <c r="BA166" s="26"/>
      <c r="BB166" s="26"/>
      <c r="BC166" s="26"/>
    </row>
    <row r="167">
      <c r="A167" s="27">
        <f>HYPERLINK("https://arcprize.org/play?task=694f12f3", 156)</f>
        <v>156</v>
      </c>
      <c r="B167" s="14">
        <v>118.0</v>
      </c>
      <c r="C167" s="14">
        <v>277.0</v>
      </c>
      <c r="D167" s="14">
        <v>128.0</v>
      </c>
      <c r="E167" s="14">
        <v>252.0</v>
      </c>
      <c r="F167" s="22">
        <v>142.0</v>
      </c>
      <c r="G167" s="14">
        <v>266.0</v>
      </c>
      <c r="H167" s="14"/>
      <c r="I167" s="14"/>
      <c r="J167" s="23">
        <v>181.0</v>
      </c>
      <c r="K167" s="14">
        <v>170.0</v>
      </c>
      <c r="L167" s="14">
        <v>208.0</v>
      </c>
      <c r="M167" s="22">
        <v>185.0</v>
      </c>
      <c r="N167" s="14"/>
      <c r="O167" s="14"/>
      <c r="P167" s="14"/>
      <c r="Q167" s="14">
        <v>260.0</v>
      </c>
      <c r="R167" s="24">
        <v>211.0</v>
      </c>
      <c r="S167" s="14"/>
      <c r="T167" s="14"/>
      <c r="U167" s="14">
        <v>544.0</v>
      </c>
      <c r="V167" s="33"/>
      <c r="W167" s="14"/>
      <c r="X167" s="14"/>
      <c r="Y167" s="14">
        <v>410.0</v>
      </c>
      <c r="Z167" s="25">
        <v>202.0</v>
      </c>
      <c r="AA167" s="25"/>
      <c r="AB167" s="25">
        <v>266.0</v>
      </c>
      <c r="AC167" s="14">
        <v>252.0</v>
      </c>
      <c r="AD167" s="14"/>
      <c r="AE167" s="14">
        <v>252.0</v>
      </c>
      <c r="AF167" s="14">
        <v>450.0</v>
      </c>
      <c r="AG167" s="14"/>
      <c r="AH167" s="14">
        <v>194.0</v>
      </c>
      <c r="AI167" s="14">
        <v>228.0</v>
      </c>
      <c r="AJ167" s="14">
        <v>260.0</v>
      </c>
      <c r="AK167" s="14"/>
      <c r="AL167" s="14">
        <v>248.0</v>
      </c>
      <c r="AM167" s="14">
        <v>199.0</v>
      </c>
      <c r="AN167" s="14">
        <v>252.0</v>
      </c>
      <c r="AO167" s="14">
        <v>159.0</v>
      </c>
      <c r="AP167" s="14">
        <v>237.0</v>
      </c>
      <c r="AQ167" s="14">
        <v>203.0</v>
      </c>
      <c r="AR167" s="14"/>
      <c r="AS167" s="14">
        <v>176.0</v>
      </c>
      <c r="AT167" s="14">
        <v>252.0</v>
      </c>
      <c r="AU167" s="14">
        <v>177.0</v>
      </c>
      <c r="AV167" s="14">
        <v>161.0</v>
      </c>
      <c r="AW167" s="14">
        <v>180.0</v>
      </c>
      <c r="AX167" s="14">
        <v>179.0</v>
      </c>
      <c r="AY167" s="14">
        <v>118.0</v>
      </c>
      <c r="AZ167" s="26"/>
      <c r="BA167" s="26"/>
      <c r="BB167" s="26"/>
      <c r="BC167" s="26"/>
    </row>
    <row r="168">
      <c r="A168" s="27">
        <f>HYPERLINK("https://arcprize.org/play?task=6a1e5592", 157)</f>
        <v>157</v>
      </c>
      <c r="B168" s="14">
        <v>240.0</v>
      </c>
      <c r="C168" s="14">
        <v>256.0</v>
      </c>
      <c r="D168" s="14">
        <v>242.0</v>
      </c>
      <c r="E168" s="14">
        <v>247.0</v>
      </c>
      <c r="F168" s="22">
        <v>238.0</v>
      </c>
      <c r="G168" s="14">
        <v>247.0</v>
      </c>
      <c r="H168" s="15"/>
      <c r="I168" s="15"/>
      <c r="J168" s="23">
        <v>247.0</v>
      </c>
      <c r="K168" s="14">
        <v>247.0</v>
      </c>
      <c r="L168" s="14">
        <v>247.0</v>
      </c>
      <c r="M168" s="22">
        <v>247.0</v>
      </c>
      <c r="N168" s="15"/>
      <c r="O168" s="15"/>
      <c r="P168" s="15"/>
      <c r="Q168" s="14">
        <v>306.0</v>
      </c>
      <c r="R168" s="24">
        <v>244.0</v>
      </c>
      <c r="S168" s="15"/>
      <c r="T168" s="15"/>
      <c r="U168" s="15"/>
      <c r="V168" s="31"/>
      <c r="W168" s="14">
        <v>250.0</v>
      </c>
      <c r="X168" s="14"/>
      <c r="Y168" s="14">
        <v>766.0</v>
      </c>
      <c r="Z168" s="25">
        <v>247.0</v>
      </c>
      <c r="AA168" s="25">
        <v>237.0</v>
      </c>
      <c r="AB168" s="25">
        <v>309.0</v>
      </c>
      <c r="AC168" s="14">
        <v>247.0</v>
      </c>
      <c r="AD168" s="14">
        <v>247.0</v>
      </c>
      <c r="AE168" s="14">
        <v>247.0</v>
      </c>
      <c r="AF168" s="14">
        <v>646.0</v>
      </c>
      <c r="AG168" s="14">
        <v>998.0</v>
      </c>
      <c r="AH168" s="14">
        <v>307.0</v>
      </c>
      <c r="AI168" s="14">
        <v>247.0</v>
      </c>
      <c r="AJ168" s="14">
        <v>247.0</v>
      </c>
      <c r="AK168" s="14"/>
      <c r="AL168" s="14">
        <v>247.0</v>
      </c>
      <c r="AM168" s="14">
        <v>256.0</v>
      </c>
      <c r="AN168" s="14">
        <v>247.0</v>
      </c>
      <c r="AO168" s="14">
        <v>249.0</v>
      </c>
      <c r="AP168" s="14">
        <v>244.0</v>
      </c>
      <c r="AQ168" s="14">
        <v>253.0</v>
      </c>
      <c r="AR168" s="14"/>
      <c r="AS168" s="14">
        <v>247.0</v>
      </c>
      <c r="AT168" s="14">
        <v>247.0</v>
      </c>
      <c r="AU168" s="14">
        <v>239.0</v>
      </c>
      <c r="AV168" s="14">
        <v>247.0</v>
      </c>
      <c r="AW168" s="14">
        <v>281.0</v>
      </c>
      <c r="AX168" s="14">
        <v>244.0</v>
      </c>
      <c r="AY168" s="14">
        <v>230.0</v>
      </c>
      <c r="AZ168" s="26"/>
      <c r="BA168" s="26"/>
      <c r="BB168" s="26"/>
      <c r="BC168" s="26"/>
    </row>
    <row r="169">
      <c r="A169" s="27">
        <f>HYPERLINK("https://arcprize.org/play?task=6aa20dc0", 158)</f>
        <v>158</v>
      </c>
      <c r="B169" s="14">
        <v>261.0</v>
      </c>
      <c r="C169" s="14">
        <v>340.0</v>
      </c>
      <c r="D169" s="14">
        <v>260.0</v>
      </c>
      <c r="E169" s="14">
        <v>325.0</v>
      </c>
      <c r="F169" s="22">
        <v>264.0</v>
      </c>
      <c r="G169" s="14">
        <v>325.0</v>
      </c>
      <c r="H169" s="15"/>
      <c r="I169" s="15"/>
      <c r="J169" s="23">
        <v>310.0</v>
      </c>
      <c r="K169" s="14">
        <v>325.0</v>
      </c>
      <c r="L169" s="14">
        <v>325.0</v>
      </c>
      <c r="M169" s="22">
        <v>263.0</v>
      </c>
      <c r="N169" s="15"/>
      <c r="O169" s="15"/>
      <c r="P169" s="15"/>
      <c r="Q169" s="14">
        <v>343.0</v>
      </c>
      <c r="R169" s="24">
        <v>319.0</v>
      </c>
      <c r="S169" s="15"/>
      <c r="T169" s="15"/>
      <c r="U169" s="15"/>
      <c r="V169" s="31"/>
      <c r="W169" s="15"/>
      <c r="X169" s="14"/>
      <c r="Y169" s="14">
        <v>993.0</v>
      </c>
      <c r="Z169" s="25">
        <v>325.0</v>
      </c>
      <c r="AA169" s="25">
        <v>325.0</v>
      </c>
      <c r="AB169" s="25">
        <v>337.0</v>
      </c>
      <c r="AC169" s="14">
        <v>325.0</v>
      </c>
      <c r="AD169" s="14"/>
      <c r="AE169" s="14">
        <v>325.0</v>
      </c>
      <c r="AF169" s="14">
        <v>754.0</v>
      </c>
      <c r="AG169" s="14"/>
      <c r="AH169" s="14">
        <v>353.0</v>
      </c>
      <c r="AI169" s="14">
        <v>319.0</v>
      </c>
      <c r="AJ169" s="14">
        <v>325.0</v>
      </c>
      <c r="AK169" s="14"/>
      <c r="AL169" s="14">
        <v>325.0</v>
      </c>
      <c r="AM169" s="14">
        <v>359.0</v>
      </c>
      <c r="AN169" s="14">
        <v>325.0</v>
      </c>
      <c r="AO169" s="14">
        <v>285.0</v>
      </c>
      <c r="AP169" s="14">
        <v>323.0</v>
      </c>
      <c r="AQ169" s="14">
        <v>334.0</v>
      </c>
      <c r="AR169" s="14"/>
      <c r="AS169" s="14">
        <v>325.0</v>
      </c>
      <c r="AT169" s="14">
        <v>325.0</v>
      </c>
      <c r="AU169" s="14">
        <v>284.0</v>
      </c>
      <c r="AV169" s="14">
        <v>298.0</v>
      </c>
      <c r="AW169" s="14">
        <v>294.0</v>
      </c>
      <c r="AX169" s="14">
        <v>319.0</v>
      </c>
      <c r="AY169" s="14">
        <v>253.0</v>
      </c>
      <c r="AZ169" s="26"/>
      <c r="BA169" s="26"/>
      <c r="BB169" s="26"/>
      <c r="BC169" s="26"/>
    </row>
    <row r="170">
      <c r="A170" s="27">
        <f>HYPERLINK("https://arcprize.org/play?task=6b9890af", 159)</f>
        <v>159</v>
      </c>
      <c r="B170" s="14">
        <v>103.0</v>
      </c>
      <c r="C170" s="14">
        <v>337.0</v>
      </c>
      <c r="D170" s="14">
        <v>105.0</v>
      </c>
      <c r="E170" s="14">
        <v>328.0</v>
      </c>
      <c r="F170" s="22">
        <v>107.0</v>
      </c>
      <c r="G170" s="14">
        <v>350.0</v>
      </c>
      <c r="H170" s="15"/>
      <c r="I170" s="15"/>
      <c r="J170" s="23">
        <v>141.0</v>
      </c>
      <c r="K170" s="14">
        <v>163.0</v>
      </c>
      <c r="L170" s="14">
        <v>167.0</v>
      </c>
      <c r="M170" s="22">
        <v>106.0</v>
      </c>
      <c r="N170" s="15"/>
      <c r="O170" s="15"/>
      <c r="P170" s="15"/>
      <c r="Q170" s="14">
        <v>240.0</v>
      </c>
      <c r="R170" s="24">
        <v>115.0</v>
      </c>
      <c r="S170" s="14">
        <v>204.0</v>
      </c>
      <c r="T170" s="15"/>
      <c r="U170" s="15"/>
      <c r="V170" s="31"/>
      <c r="W170" s="15"/>
      <c r="X170" s="14"/>
      <c r="Y170" s="14">
        <v>437.0</v>
      </c>
      <c r="Z170" s="25">
        <v>147.0</v>
      </c>
      <c r="AA170" s="25"/>
      <c r="AB170" s="25">
        <v>305.0</v>
      </c>
      <c r="AC170" s="14">
        <v>328.0</v>
      </c>
      <c r="AD170" s="14"/>
      <c r="AE170" s="14">
        <v>167.0</v>
      </c>
      <c r="AF170" s="14">
        <v>288.0</v>
      </c>
      <c r="AG170" s="14"/>
      <c r="AH170" s="14">
        <v>210.0</v>
      </c>
      <c r="AI170" s="14">
        <v>183.0</v>
      </c>
      <c r="AJ170" s="14">
        <v>340.0</v>
      </c>
      <c r="AK170" s="14"/>
      <c r="AL170" s="14">
        <v>251.0</v>
      </c>
      <c r="AM170" s="14">
        <v>195.0</v>
      </c>
      <c r="AN170" s="14">
        <v>328.0</v>
      </c>
      <c r="AO170" s="14">
        <v>141.0</v>
      </c>
      <c r="AP170" s="14">
        <v>230.0</v>
      </c>
      <c r="AQ170" s="14">
        <v>203.0</v>
      </c>
      <c r="AR170" s="14"/>
      <c r="AS170" s="14">
        <v>162.0</v>
      </c>
      <c r="AT170" s="14">
        <v>265.0</v>
      </c>
      <c r="AU170" s="14">
        <v>107.0</v>
      </c>
      <c r="AV170" s="14">
        <v>115.0</v>
      </c>
      <c r="AW170" s="14">
        <v>187.0</v>
      </c>
      <c r="AX170" s="14">
        <v>157.0</v>
      </c>
      <c r="AY170" s="14">
        <v>103.0</v>
      </c>
      <c r="AZ170" s="26"/>
      <c r="BA170" s="26"/>
      <c r="BB170" s="26"/>
      <c r="BC170" s="26"/>
    </row>
    <row r="171">
      <c r="A171" s="27">
        <f>HYPERLINK("https://arcprize.org/play?task=6c434453", 160)</f>
        <v>160</v>
      </c>
      <c r="B171" s="14">
        <v>104.0</v>
      </c>
      <c r="C171" s="14">
        <v>220.0</v>
      </c>
      <c r="D171" s="14">
        <v>100.0</v>
      </c>
      <c r="E171" s="14">
        <v>208.0</v>
      </c>
      <c r="F171" s="22">
        <v>105.0</v>
      </c>
      <c r="G171" s="14">
        <v>223.0</v>
      </c>
      <c r="H171" s="15"/>
      <c r="I171" s="15"/>
      <c r="J171" s="23">
        <v>119.0</v>
      </c>
      <c r="K171" s="14">
        <v>122.0</v>
      </c>
      <c r="L171" s="14">
        <v>123.0</v>
      </c>
      <c r="M171" s="22">
        <v>106.0</v>
      </c>
      <c r="N171" s="15"/>
      <c r="O171" s="15"/>
      <c r="P171" s="15"/>
      <c r="Q171" s="14">
        <v>228.0</v>
      </c>
      <c r="R171" s="24">
        <v>121.0</v>
      </c>
      <c r="S171" s="14">
        <v>184.0</v>
      </c>
      <c r="T171" s="15"/>
      <c r="U171" s="15"/>
      <c r="V171" s="31"/>
      <c r="W171" s="14">
        <v>104.0</v>
      </c>
      <c r="X171" s="14"/>
      <c r="Y171" s="14">
        <v>290.0</v>
      </c>
      <c r="Z171" s="25">
        <v>105.0</v>
      </c>
      <c r="AA171" s="25"/>
      <c r="AB171" s="25">
        <v>193.0</v>
      </c>
      <c r="AC171" s="14">
        <v>208.0</v>
      </c>
      <c r="AD171" s="14"/>
      <c r="AE171" s="14">
        <v>208.0</v>
      </c>
      <c r="AF171" s="14">
        <v>252.0</v>
      </c>
      <c r="AG171" s="14"/>
      <c r="AH171" s="14">
        <v>185.0</v>
      </c>
      <c r="AI171" s="14">
        <v>124.0</v>
      </c>
      <c r="AJ171" s="14">
        <v>217.0</v>
      </c>
      <c r="AK171" s="14"/>
      <c r="AL171" s="14">
        <v>202.0</v>
      </c>
      <c r="AM171" s="14">
        <v>137.0</v>
      </c>
      <c r="AN171" s="14">
        <v>208.0</v>
      </c>
      <c r="AO171" s="14">
        <v>116.0</v>
      </c>
      <c r="AP171" s="14">
        <v>169.0</v>
      </c>
      <c r="AQ171" s="14">
        <v>168.0</v>
      </c>
      <c r="AR171" s="14"/>
      <c r="AS171" s="14">
        <v>135.0</v>
      </c>
      <c r="AT171" s="14">
        <v>208.0</v>
      </c>
      <c r="AU171" s="14">
        <v>106.0</v>
      </c>
      <c r="AV171" s="14">
        <v>118.0</v>
      </c>
      <c r="AW171" s="14">
        <v>136.0</v>
      </c>
      <c r="AX171" s="14">
        <v>119.0</v>
      </c>
      <c r="AY171" s="14">
        <v>100.0</v>
      </c>
      <c r="AZ171" s="26"/>
      <c r="BA171" s="26"/>
      <c r="BB171" s="26"/>
      <c r="BC171" s="26"/>
    </row>
    <row r="172">
      <c r="A172" s="27">
        <f>HYPERLINK("https://arcprize.org/play?task=6cdd2623", 161)</f>
        <v>161</v>
      </c>
      <c r="B172" s="14">
        <v>82.0</v>
      </c>
      <c r="C172" s="14">
        <v>267.0</v>
      </c>
      <c r="D172" s="14">
        <v>79.0</v>
      </c>
      <c r="E172" s="14">
        <v>299.0</v>
      </c>
      <c r="F172" s="22">
        <v>82.0</v>
      </c>
      <c r="G172" s="14">
        <v>84.0</v>
      </c>
      <c r="H172" s="14">
        <v>86.0</v>
      </c>
      <c r="I172" s="15"/>
      <c r="J172" s="23">
        <v>87.0</v>
      </c>
      <c r="K172" s="14">
        <v>87.0</v>
      </c>
      <c r="L172" s="14">
        <v>93.0</v>
      </c>
      <c r="M172" s="22">
        <v>82.0</v>
      </c>
      <c r="N172" s="15"/>
      <c r="O172" s="15"/>
      <c r="P172" s="15"/>
      <c r="Q172" s="14">
        <v>226.0</v>
      </c>
      <c r="R172" s="24">
        <v>108.0</v>
      </c>
      <c r="S172" s="14">
        <v>112.0</v>
      </c>
      <c r="T172" s="15"/>
      <c r="U172" s="15"/>
      <c r="V172" s="29">
        <v>93.0</v>
      </c>
      <c r="W172" s="14">
        <v>82.0</v>
      </c>
      <c r="X172" s="14"/>
      <c r="Y172" s="14">
        <v>236.0</v>
      </c>
      <c r="Z172" s="25">
        <v>87.0</v>
      </c>
      <c r="AA172" s="25"/>
      <c r="AB172" s="25">
        <v>270.0</v>
      </c>
      <c r="AC172" s="14">
        <v>299.0</v>
      </c>
      <c r="AD172" s="14"/>
      <c r="AE172" s="14">
        <v>299.0</v>
      </c>
      <c r="AF172" s="14">
        <v>322.0</v>
      </c>
      <c r="AG172" s="14"/>
      <c r="AH172" s="14">
        <v>160.0</v>
      </c>
      <c r="AI172" s="14">
        <v>105.0</v>
      </c>
      <c r="AJ172" s="14">
        <v>267.0</v>
      </c>
      <c r="AK172" s="14"/>
      <c r="AL172" s="14">
        <v>195.0</v>
      </c>
      <c r="AM172" s="14">
        <v>142.0</v>
      </c>
      <c r="AN172" s="14">
        <v>299.0</v>
      </c>
      <c r="AO172" s="14">
        <v>83.0</v>
      </c>
      <c r="AP172" s="14">
        <v>178.0</v>
      </c>
      <c r="AQ172" s="14">
        <v>138.0</v>
      </c>
      <c r="AR172" s="14"/>
      <c r="AS172" s="14">
        <v>87.0</v>
      </c>
      <c r="AT172" s="14">
        <v>299.0</v>
      </c>
      <c r="AU172" s="14">
        <v>89.0</v>
      </c>
      <c r="AV172" s="14">
        <v>83.0</v>
      </c>
      <c r="AW172" s="14">
        <v>80.0</v>
      </c>
      <c r="AX172" s="14">
        <v>87.0</v>
      </c>
      <c r="AY172" s="14">
        <v>79.0</v>
      </c>
      <c r="AZ172" s="26"/>
      <c r="BA172" s="26"/>
      <c r="BB172" s="26"/>
      <c r="BC172" s="26"/>
    </row>
    <row r="173">
      <c r="A173" s="27">
        <f>HYPERLINK("https://arcprize.org/play?task=6cf79266", 162)</f>
        <v>162</v>
      </c>
      <c r="B173" s="14">
        <v>96.0</v>
      </c>
      <c r="C173" s="14">
        <v>145.0</v>
      </c>
      <c r="D173" s="14">
        <v>97.0</v>
      </c>
      <c r="E173" s="14">
        <v>146.0</v>
      </c>
      <c r="F173" s="22">
        <v>97.0</v>
      </c>
      <c r="G173" s="14">
        <v>146.0</v>
      </c>
      <c r="H173" s="14"/>
      <c r="I173" s="15"/>
      <c r="J173" s="23">
        <v>109.0</v>
      </c>
      <c r="K173" s="14">
        <v>121.0</v>
      </c>
      <c r="L173" s="14">
        <v>111.0</v>
      </c>
      <c r="M173" s="22">
        <v>107.0</v>
      </c>
      <c r="N173" s="15"/>
      <c r="O173" s="15"/>
      <c r="P173" s="15"/>
      <c r="Q173" s="14">
        <v>152.0</v>
      </c>
      <c r="R173" s="24">
        <v>116.0</v>
      </c>
      <c r="S173" s="14">
        <v>165.0</v>
      </c>
      <c r="T173" s="14">
        <v>143.0</v>
      </c>
      <c r="U173" s="14">
        <v>146.0</v>
      </c>
      <c r="V173" s="29">
        <v>138.0</v>
      </c>
      <c r="W173" s="14">
        <v>105.0</v>
      </c>
      <c r="X173" s="14">
        <v>146.0</v>
      </c>
      <c r="Y173" s="14">
        <v>146.0</v>
      </c>
      <c r="Z173" s="25">
        <v>105.0</v>
      </c>
      <c r="AA173" s="25"/>
      <c r="AB173" s="25">
        <v>146.0</v>
      </c>
      <c r="AC173" s="14">
        <v>146.0</v>
      </c>
      <c r="AD173" s="14"/>
      <c r="AE173" s="14">
        <v>146.0</v>
      </c>
      <c r="AF173" s="14">
        <v>146.0</v>
      </c>
      <c r="AG173" s="14">
        <v>146.0</v>
      </c>
      <c r="AH173" s="14">
        <v>133.0</v>
      </c>
      <c r="AI173" s="14">
        <v>124.0</v>
      </c>
      <c r="AJ173" s="14">
        <v>146.0</v>
      </c>
      <c r="AK173" s="14"/>
      <c r="AL173" s="14">
        <v>145.0</v>
      </c>
      <c r="AM173" s="14">
        <v>132.0</v>
      </c>
      <c r="AN173" s="14">
        <v>146.0</v>
      </c>
      <c r="AO173" s="14">
        <v>113.0</v>
      </c>
      <c r="AP173" s="14">
        <v>138.0</v>
      </c>
      <c r="AQ173" s="14">
        <v>145.0</v>
      </c>
      <c r="AR173" s="14"/>
      <c r="AS173" s="14">
        <v>124.0</v>
      </c>
      <c r="AT173" s="14">
        <v>146.0</v>
      </c>
      <c r="AU173" s="14">
        <v>104.0</v>
      </c>
      <c r="AV173" s="14">
        <v>122.0</v>
      </c>
      <c r="AW173" s="14">
        <v>110.0</v>
      </c>
      <c r="AX173" s="14">
        <v>124.0</v>
      </c>
      <c r="AY173" s="14">
        <v>96.0</v>
      </c>
      <c r="AZ173" s="26"/>
      <c r="BA173" s="26"/>
      <c r="BB173" s="26"/>
      <c r="BC173" s="26"/>
    </row>
    <row r="174">
      <c r="A174" s="27">
        <f>HYPERLINK("https://arcprize.org/play?task=6d0160f0", 163)</f>
        <v>163</v>
      </c>
      <c r="B174" s="14">
        <v>130.0</v>
      </c>
      <c r="C174" s="14">
        <v>227.0</v>
      </c>
      <c r="D174" s="14">
        <v>130.0</v>
      </c>
      <c r="E174" s="14">
        <v>219.0</v>
      </c>
      <c r="F174" s="22">
        <v>131.0</v>
      </c>
      <c r="G174" s="14">
        <v>237.0</v>
      </c>
      <c r="H174" s="15"/>
      <c r="I174" s="15"/>
      <c r="J174" s="23">
        <v>147.0</v>
      </c>
      <c r="K174" s="14">
        <v>142.0</v>
      </c>
      <c r="L174" s="14">
        <v>149.0</v>
      </c>
      <c r="M174" s="22">
        <v>140.0</v>
      </c>
      <c r="N174" s="15"/>
      <c r="O174" s="15"/>
      <c r="P174" s="15"/>
      <c r="Q174" s="14">
        <v>240.0</v>
      </c>
      <c r="R174" s="24">
        <v>147.0</v>
      </c>
      <c r="S174" s="15"/>
      <c r="T174" s="15"/>
      <c r="U174" s="14">
        <v>326.0</v>
      </c>
      <c r="V174" s="31"/>
      <c r="W174" s="14">
        <v>144.0</v>
      </c>
      <c r="X174" s="14">
        <v>238.0</v>
      </c>
      <c r="Y174" s="14">
        <v>238.0</v>
      </c>
      <c r="Z174" s="25">
        <v>151.0</v>
      </c>
      <c r="AA174" s="25"/>
      <c r="AB174" s="25">
        <v>200.0</v>
      </c>
      <c r="AC174" s="14">
        <v>219.0</v>
      </c>
      <c r="AD174" s="14"/>
      <c r="AE174" s="14">
        <v>219.0</v>
      </c>
      <c r="AF174" s="14">
        <v>238.0</v>
      </c>
      <c r="AG174" s="14"/>
      <c r="AH174" s="14">
        <v>149.0</v>
      </c>
      <c r="AI174" s="14">
        <v>172.0</v>
      </c>
      <c r="AJ174" s="14">
        <v>226.0</v>
      </c>
      <c r="AK174" s="14"/>
      <c r="AL174" s="14">
        <v>180.0</v>
      </c>
      <c r="AM174" s="14">
        <v>160.0</v>
      </c>
      <c r="AN174" s="14">
        <v>219.0</v>
      </c>
      <c r="AO174" s="14">
        <v>139.0</v>
      </c>
      <c r="AP174" s="14">
        <v>160.0</v>
      </c>
      <c r="AQ174" s="14">
        <v>163.0</v>
      </c>
      <c r="AR174" s="14"/>
      <c r="AS174" s="14">
        <v>153.0</v>
      </c>
      <c r="AT174" s="14">
        <v>219.0</v>
      </c>
      <c r="AU174" s="14">
        <v>137.0</v>
      </c>
      <c r="AV174" s="14">
        <v>139.0</v>
      </c>
      <c r="AW174" s="14">
        <v>153.0</v>
      </c>
      <c r="AX174" s="14">
        <v>144.0</v>
      </c>
      <c r="AY174" s="14">
        <v>130.0</v>
      </c>
      <c r="AZ174" s="26"/>
      <c r="BA174" s="26"/>
      <c r="BB174" s="26"/>
      <c r="BC174" s="26"/>
    </row>
    <row r="175">
      <c r="A175" s="27">
        <f>HYPERLINK("https://arcprize.org/play?task=6d0aefbc", 164)</f>
        <v>164</v>
      </c>
      <c r="B175" s="14">
        <v>32.0</v>
      </c>
      <c r="C175" s="14">
        <v>32.0</v>
      </c>
      <c r="D175" s="14">
        <v>32.0</v>
      </c>
      <c r="E175" s="14">
        <v>32.0</v>
      </c>
      <c r="F175" s="22">
        <v>32.0</v>
      </c>
      <c r="G175" s="14">
        <v>32.0</v>
      </c>
      <c r="H175" s="14">
        <v>32.0</v>
      </c>
      <c r="I175" s="14">
        <v>32.0</v>
      </c>
      <c r="J175" s="23">
        <v>32.0</v>
      </c>
      <c r="K175" s="14">
        <v>32.0</v>
      </c>
      <c r="L175" s="14">
        <v>32.0</v>
      </c>
      <c r="M175" s="22">
        <v>32.0</v>
      </c>
      <c r="N175" s="14"/>
      <c r="O175" s="14"/>
      <c r="P175" s="14"/>
      <c r="Q175" s="14">
        <v>32.0</v>
      </c>
      <c r="R175" s="24">
        <v>32.0</v>
      </c>
      <c r="S175" s="14">
        <v>32.0</v>
      </c>
      <c r="T175" s="14">
        <v>32.0</v>
      </c>
      <c r="U175" s="14">
        <v>32.0</v>
      </c>
      <c r="V175" s="29">
        <v>32.0</v>
      </c>
      <c r="W175" s="14">
        <v>32.0</v>
      </c>
      <c r="X175" s="14">
        <v>32.0</v>
      </c>
      <c r="Y175" s="14">
        <v>32.0</v>
      </c>
      <c r="Z175" s="30">
        <v>32.0</v>
      </c>
      <c r="AA175" s="25"/>
      <c r="AB175" s="25">
        <v>32.0</v>
      </c>
      <c r="AC175" s="14">
        <v>32.0</v>
      </c>
      <c r="AD175" s="14">
        <v>32.0</v>
      </c>
      <c r="AE175" s="14">
        <v>32.0</v>
      </c>
      <c r="AF175" s="14">
        <v>32.0</v>
      </c>
      <c r="AG175" s="14">
        <v>32.0</v>
      </c>
      <c r="AH175" s="14">
        <v>32.0</v>
      </c>
      <c r="AI175" s="14">
        <v>32.0</v>
      </c>
      <c r="AJ175" s="14">
        <v>32.0</v>
      </c>
      <c r="AK175" s="14">
        <v>32.0</v>
      </c>
      <c r="AL175" s="14">
        <v>32.0</v>
      </c>
      <c r="AM175" s="14">
        <v>32.0</v>
      </c>
      <c r="AN175" s="14">
        <v>32.0</v>
      </c>
      <c r="AO175" s="14">
        <v>32.0</v>
      </c>
      <c r="AP175" s="14">
        <v>32.0</v>
      </c>
      <c r="AQ175" s="14">
        <v>32.0</v>
      </c>
      <c r="AR175" s="14"/>
      <c r="AS175" s="14">
        <v>32.0</v>
      </c>
      <c r="AT175" s="14">
        <v>32.0</v>
      </c>
      <c r="AU175" s="14">
        <v>32.0</v>
      </c>
      <c r="AV175" s="14">
        <v>32.0</v>
      </c>
      <c r="AW175" s="14">
        <v>32.0</v>
      </c>
      <c r="AX175" s="14">
        <v>32.0</v>
      </c>
      <c r="AY175" s="14">
        <v>32.0</v>
      </c>
      <c r="AZ175" s="26"/>
      <c r="BA175" s="26"/>
      <c r="BB175" s="26"/>
      <c r="BC175" s="26"/>
    </row>
    <row r="176">
      <c r="A176" s="27">
        <f>HYPERLINK("https://arcprize.org/play?task=6d58a25d", 165)</f>
        <v>165</v>
      </c>
      <c r="B176" s="14">
        <v>112.0</v>
      </c>
      <c r="C176" s="14">
        <v>215.0</v>
      </c>
      <c r="D176" s="14">
        <v>130.0</v>
      </c>
      <c r="E176" s="14">
        <v>215.0</v>
      </c>
      <c r="F176" s="22">
        <v>130.0</v>
      </c>
      <c r="G176" s="14">
        <v>224.0</v>
      </c>
      <c r="H176" s="15"/>
      <c r="I176" s="15"/>
      <c r="J176" s="23">
        <v>127.0</v>
      </c>
      <c r="K176" s="14">
        <v>148.0</v>
      </c>
      <c r="L176" s="14">
        <v>183.0</v>
      </c>
      <c r="M176" s="22">
        <v>191.0</v>
      </c>
      <c r="N176" s="15"/>
      <c r="O176" s="15"/>
      <c r="P176" s="15"/>
      <c r="Q176" s="14">
        <v>274.0</v>
      </c>
      <c r="R176" s="24">
        <v>136.0</v>
      </c>
      <c r="S176" s="15"/>
      <c r="T176" s="14">
        <v>193.0</v>
      </c>
      <c r="U176" s="15"/>
      <c r="V176" s="31"/>
      <c r="W176" s="14">
        <v>123.0</v>
      </c>
      <c r="X176" s="14"/>
      <c r="Y176" s="14">
        <v>236.0</v>
      </c>
      <c r="Z176" s="25">
        <v>163.0</v>
      </c>
      <c r="AA176" s="25"/>
      <c r="AB176" s="25">
        <v>303.0</v>
      </c>
      <c r="AC176" s="14">
        <v>427.0</v>
      </c>
      <c r="AD176" s="14"/>
      <c r="AE176" s="14">
        <v>222.0</v>
      </c>
      <c r="AF176" s="14">
        <v>490.0</v>
      </c>
      <c r="AG176" s="14"/>
      <c r="AH176" s="14">
        <v>257.0</v>
      </c>
      <c r="AI176" s="14">
        <v>193.0</v>
      </c>
      <c r="AJ176" s="14">
        <v>346.0</v>
      </c>
      <c r="AK176" s="14"/>
      <c r="AL176" s="14">
        <v>253.0</v>
      </c>
      <c r="AM176" s="14">
        <v>169.0</v>
      </c>
      <c r="AN176" s="14">
        <v>376.0</v>
      </c>
      <c r="AO176" s="14">
        <v>126.0</v>
      </c>
      <c r="AP176" s="14">
        <v>197.0</v>
      </c>
      <c r="AQ176" s="14">
        <v>215.0</v>
      </c>
      <c r="AR176" s="14"/>
      <c r="AS176" s="14">
        <v>160.0</v>
      </c>
      <c r="AT176" s="14">
        <v>216.0</v>
      </c>
      <c r="AU176" s="14">
        <v>127.0</v>
      </c>
      <c r="AV176" s="14">
        <v>122.0</v>
      </c>
      <c r="AW176" s="14">
        <v>149.0</v>
      </c>
      <c r="AX176" s="14">
        <v>159.0</v>
      </c>
      <c r="AY176" s="14">
        <v>112.0</v>
      </c>
      <c r="AZ176" s="26"/>
      <c r="BA176" s="26"/>
      <c r="BB176" s="26"/>
      <c r="BC176" s="26"/>
    </row>
    <row r="177">
      <c r="A177" s="27">
        <f>HYPERLINK("https://arcprize.org/play?task=6d75e8bb", 166)</f>
        <v>166</v>
      </c>
      <c r="B177" s="14">
        <v>61.0</v>
      </c>
      <c r="C177" s="14">
        <v>206.0</v>
      </c>
      <c r="D177" s="14">
        <v>63.0</v>
      </c>
      <c r="E177" s="14">
        <v>192.0</v>
      </c>
      <c r="F177" s="22">
        <v>63.0</v>
      </c>
      <c r="G177" s="14">
        <v>201.0</v>
      </c>
      <c r="H177" s="14">
        <v>65.0</v>
      </c>
      <c r="I177" s="14">
        <v>81.0</v>
      </c>
      <c r="J177" s="23">
        <v>61.0</v>
      </c>
      <c r="K177" s="14">
        <v>65.0</v>
      </c>
      <c r="L177" s="14">
        <v>70.0</v>
      </c>
      <c r="M177" s="22">
        <v>65.0</v>
      </c>
      <c r="N177" s="15"/>
      <c r="O177" s="15"/>
      <c r="P177" s="15"/>
      <c r="Q177" s="14">
        <v>70.0</v>
      </c>
      <c r="R177" s="24">
        <v>66.0</v>
      </c>
      <c r="S177" s="15"/>
      <c r="T177" s="14">
        <v>70.0</v>
      </c>
      <c r="U177" s="14">
        <v>250.0</v>
      </c>
      <c r="V177" s="29">
        <v>70.0</v>
      </c>
      <c r="W177" s="14">
        <v>63.0</v>
      </c>
      <c r="X177" s="14">
        <v>201.0</v>
      </c>
      <c r="Y177" s="14">
        <v>201.0</v>
      </c>
      <c r="Z177" s="25">
        <v>65.0</v>
      </c>
      <c r="AA177" s="25"/>
      <c r="AB177" s="25">
        <v>192.0</v>
      </c>
      <c r="AC177" s="14">
        <v>192.0</v>
      </c>
      <c r="AD177" s="14"/>
      <c r="AE177" s="14">
        <v>192.0</v>
      </c>
      <c r="AF177" s="14">
        <v>201.0</v>
      </c>
      <c r="AG177" s="14">
        <v>246.0</v>
      </c>
      <c r="AH177" s="14">
        <v>81.0</v>
      </c>
      <c r="AI177" s="14">
        <v>70.0</v>
      </c>
      <c r="AJ177" s="14">
        <v>194.0</v>
      </c>
      <c r="AK177" s="14"/>
      <c r="AL177" s="14">
        <v>88.0</v>
      </c>
      <c r="AM177" s="14">
        <v>67.0</v>
      </c>
      <c r="AN177" s="14">
        <v>192.0</v>
      </c>
      <c r="AO177" s="14">
        <v>65.0</v>
      </c>
      <c r="AP177" s="14">
        <v>169.0</v>
      </c>
      <c r="AQ177" s="14">
        <v>65.0</v>
      </c>
      <c r="AR177" s="14"/>
      <c r="AS177" s="14">
        <v>70.0</v>
      </c>
      <c r="AT177" s="14">
        <v>192.0</v>
      </c>
      <c r="AU177" s="14">
        <v>65.0</v>
      </c>
      <c r="AV177" s="14">
        <v>64.0</v>
      </c>
      <c r="AW177" s="14">
        <v>63.0</v>
      </c>
      <c r="AX177" s="14">
        <v>65.0</v>
      </c>
      <c r="AY177" s="14">
        <v>61.0</v>
      </c>
      <c r="AZ177" s="26"/>
      <c r="BA177" s="26"/>
      <c r="BB177" s="26"/>
      <c r="BC177" s="26"/>
    </row>
    <row r="178">
      <c r="A178" s="27">
        <f>HYPERLINK("https://arcprize.org/play?task=6e02f1e3", 167)</f>
        <v>167</v>
      </c>
      <c r="B178" s="14">
        <v>72.0</v>
      </c>
      <c r="C178" s="14">
        <v>121.0</v>
      </c>
      <c r="D178" s="14">
        <v>70.0</v>
      </c>
      <c r="E178" s="14">
        <v>127.0</v>
      </c>
      <c r="F178" s="22">
        <v>71.0</v>
      </c>
      <c r="G178" s="14">
        <v>127.0</v>
      </c>
      <c r="H178" s="14"/>
      <c r="I178" s="14"/>
      <c r="J178" s="23">
        <v>72.0</v>
      </c>
      <c r="K178" s="14">
        <v>77.0</v>
      </c>
      <c r="L178" s="14">
        <v>80.0</v>
      </c>
      <c r="M178" s="22">
        <v>80.0</v>
      </c>
      <c r="N178" s="14"/>
      <c r="O178" s="14"/>
      <c r="P178" s="14"/>
      <c r="Q178" s="14">
        <v>87.0</v>
      </c>
      <c r="R178" s="24">
        <v>81.0</v>
      </c>
      <c r="S178" s="14"/>
      <c r="T178" s="14">
        <v>95.0</v>
      </c>
      <c r="U178" s="14">
        <v>127.0</v>
      </c>
      <c r="V178" s="29">
        <v>85.0</v>
      </c>
      <c r="W178" s="14">
        <v>78.0</v>
      </c>
      <c r="X178" s="14">
        <v>127.0</v>
      </c>
      <c r="Y178" s="14">
        <v>127.0</v>
      </c>
      <c r="Z178" s="25">
        <v>80.0</v>
      </c>
      <c r="AA178" s="25"/>
      <c r="AB178" s="25">
        <v>83.0</v>
      </c>
      <c r="AC178" s="14">
        <v>127.0</v>
      </c>
      <c r="AD178" s="14">
        <v>111.0</v>
      </c>
      <c r="AE178" s="14">
        <v>127.0</v>
      </c>
      <c r="AF178" s="14">
        <v>127.0</v>
      </c>
      <c r="AG178" s="14">
        <v>127.0</v>
      </c>
      <c r="AH178" s="14">
        <v>79.0</v>
      </c>
      <c r="AI178" s="14">
        <v>85.0</v>
      </c>
      <c r="AJ178" s="14">
        <v>93.0</v>
      </c>
      <c r="AK178" s="14"/>
      <c r="AL178" s="14">
        <v>103.0</v>
      </c>
      <c r="AM178" s="14">
        <v>80.0</v>
      </c>
      <c r="AN178" s="14">
        <v>127.0</v>
      </c>
      <c r="AO178" s="14">
        <v>77.0</v>
      </c>
      <c r="AP178" s="14">
        <v>89.0</v>
      </c>
      <c r="AQ178" s="14">
        <v>85.0</v>
      </c>
      <c r="AR178" s="14"/>
      <c r="AS178" s="14">
        <v>82.0</v>
      </c>
      <c r="AT178" s="14">
        <v>127.0</v>
      </c>
      <c r="AU178" s="14">
        <v>83.0</v>
      </c>
      <c r="AV178" s="14">
        <v>76.0</v>
      </c>
      <c r="AW178" s="14">
        <v>76.0</v>
      </c>
      <c r="AX178" s="14">
        <v>79.0</v>
      </c>
      <c r="AY178" s="14">
        <v>70.0</v>
      </c>
      <c r="AZ178" s="26"/>
      <c r="BA178" s="26"/>
      <c r="BB178" s="26"/>
      <c r="BC178" s="26"/>
    </row>
    <row r="179">
      <c r="A179" s="27">
        <f>HYPERLINK("https://arcprize.org/play?task=6e19193c", 168)</f>
        <v>168</v>
      </c>
      <c r="B179" s="14">
        <v>110.0</v>
      </c>
      <c r="C179" s="14">
        <v>281.0</v>
      </c>
      <c r="D179" s="14">
        <v>112.0</v>
      </c>
      <c r="E179" s="14">
        <v>267.0</v>
      </c>
      <c r="F179" s="22">
        <v>110.0</v>
      </c>
      <c r="G179" s="14">
        <v>283.0</v>
      </c>
      <c r="H179" s="15"/>
      <c r="I179" s="15"/>
      <c r="J179" s="23">
        <v>116.0</v>
      </c>
      <c r="K179" s="14">
        <v>162.0</v>
      </c>
      <c r="L179" s="14">
        <v>178.0</v>
      </c>
      <c r="M179" s="22">
        <v>126.0</v>
      </c>
      <c r="N179" s="15"/>
      <c r="O179" s="15"/>
      <c r="P179" s="15"/>
      <c r="Q179" s="14">
        <v>271.0</v>
      </c>
      <c r="R179" s="24">
        <v>121.0</v>
      </c>
      <c r="S179" s="14">
        <v>242.0</v>
      </c>
      <c r="T179" s="15"/>
      <c r="U179" s="15"/>
      <c r="V179" s="31"/>
      <c r="W179" s="15"/>
      <c r="X179" s="14"/>
      <c r="Y179" s="14">
        <v>253.0</v>
      </c>
      <c r="Z179" s="25">
        <v>114.0</v>
      </c>
      <c r="AA179" s="25"/>
      <c r="AB179" s="25">
        <v>268.0</v>
      </c>
      <c r="AC179" s="14">
        <v>267.0</v>
      </c>
      <c r="AD179" s="14"/>
      <c r="AE179" s="14">
        <v>267.0</v>
      </c>
      <c r="AF179" s="14">
        <v>285.0</v>
      </c>
      <c r="AG179" s="14"/>
      <c r="AH179" s="14">
        <v>208.0</v>
      </c>
      <c r="AI179" s="14">
        <v>175.0</v>
      </c>
      <c r="AJ179" s="14">
        <v>243.0</v>
      </c>
      <c r="AK179" s="14"/>
      <c r="AL179" s="14">
        <v>246.0</v>
      </c>
      <c r="AM179" s="14">
        <v>194.0</v>
      </c>
      <c r="AN179" s="14">
        <v>267.0</v>
      </c>
      <c r="AO179" s="14">
        <v>116.0</v>
      </c>
      <c r="AP179" s="14">
        <v>198.0</v>
      </c>
      <c r="AQ179" s="14">
        <v>208.0</v>
      </c>
      <c r="AR179" s="14"/>
      <c r="AS179" s="14">
        <v>138.0</v>
      </c>
      <c r="AT179" s="14">
        <v>263.0</v>
      </c>
      <c r="AU179" s="14">
        <v>116.0</v>
      </c>
      <c r="AV179" s="14">
        <v>127.0</v>
      </c>
      <c r="AW179" s="14">
        <v>111.0</v>
      </c>
      <c r="AX179" s="14">
        <v>116.0</v>
      </c>
      <c r="AY179" s="14">
        <v>110.0</v>
      </c>
      <c r="AZ179" s="26"/>
      <c r="BA179" s="26"/>
      <c r="BB179" s="26"/>
      <c r="BC179" s="26"/>
    </row>
    <row r="180">
      <c r="A180" s="27">
        <f>HYPERLINK("https://arcprize.org/play?task=6e82a1ae", 169)</f>
        <v>169</v>
      </c>
      <c r="B180" s="14">
        <v>108.0</v>
      </c>
      <c r="C180" s="14">
        <v>273.0</v>
      </c>
      <c r="D180" s="14">
        <v>111.0</v>
      </c>
      <c r="E180" s="14">
        <v>268.0</v>
      </c>
      <c r="F180" s="22">
        <v>110.0</v>
      </c>
      <c r="G180" s="14">
        <v>318.0</v>
      </c>
      <c r="H180" s="15"/>
      <c r="I180" s="15"/>
      <c r="J180" s="23">
        <v>133.0</v>
      </c>
      <c r="K180" s="14">
        <v>128.0</v>
      </c>
      <c r="L180" s="14">
        <v>188.0</v>
      </c>
      <c r="M180" s="22">
        <v>126.0</v>
      </c>
      <c r="N180" s="15"/>
      <c r="O180" s="15"/>
      <c r="P180" s="15"/>
      <c r="Q180" s="14">
        <v>325.0</v>
      </c>
      <c r="R180" s="24">
        <v>130.0</v>
      </c>
      <c r="S180" s="15"/>
      <c r="T180" s="15"/>
      <c r="U180" s="14">
        <v>416.0</v>
      </c>
      <c r="V180" s="31"/>
      <c r="W180" s="15"/>
      <c r="X180" s="14">
        <v>327.0</v>
      </c>
      <c r="Y180" s="14">
        <v>313.0</v>
      </c>
      <c r="Z180" s="25">
        <v>154.0</v>
      </c>
      <c r="AA180" s="25"/>
      <c r="AB180" s="25">
        <v>259.0</v>
      </c>
      <c r="AC180" s="14">
        <v>296.0</v>
      </c>
      <c r="AD180" s="14"/>
      <c r="AE180" s="14">
        <v>296.0</v>
      </c>
      <c r="AF180" s="14">
        <v>327.0</v>
      </c>
      <c r="AG180" s="14"/>
      <c r="AH180" s="14">
        <v>190.0</v>
      </c>
      <c r="AI180" s="14">
        <v>192.0</v>
      </c>
      <c r="AJ180" s="14">
        <v>231.0</v>
      </c>
      <c r="AK180" s="14"/>
      <c r="AL180" s="14">
        <v>252.0</v>
      </c>
      <c r="AM180" s="14">
        <v>173.0</v>
      </c>
      <c r="AN180" s="14">
        <v>295.0</v>
      </c>
      <c r="AO180" s="14">
        <v>126.0</v>
      </c>
      <c r="AP180" s="14">
        <v>229.0</v>
      </c>
      <c r="AQ180" s="14">
        <v>199.0</v>
      </c>
      <c r="AR180" s="14"/>
      <c r="AS180" s="14">
        <v>206.0</v>
      </c>
      <c r="AT180" s="14">
        <v>263.0</v>
      </c>
      <c r="AU180" s="14">
        <v>127.0</v>
      </c>
      <c r="AV180" s="14">
        <v>130.0</v>
      </c>
      <c r="AW180" s="14">
        <v>158.0</v>
      </c>
      <c r="AX180" s="14">
        <v>128.0</v>
      </c>
      <c r="AY180" s="14">
        <v>108.0</v>
      </c>
      <c r="AZ180" s="26"/>
      <c r="BA180" s="26"/>
      <c r="BB180" s="26"/>
      <c r="BC180" s="26"/>
    </row>
    <row r="181">
      <c r="A181" s="27">
        <f>HYPERLINK("https://arcprize.org/play?task=6ecd11f4", 170)</f>
        <v>170</v>
      </c>
      <c r="B181" s="14">
        <v>166.0</v>
      </c>
      <c r="C181" s="14">
        <v>425.0</v>
      </c>
      <c r="D181" s="14">
        <v>193.0</v>
      </c>
      <c r="E181" s="14">
        <v>381.0</v>
      </c>
      <c r="F181" s="22">
        <v>163.0</v>
      </c>
      <c r="G181" s="14">
        <v>405.0</v>
      </c>
      <c r="H181" s="15"/>
      <c r="I181" s="15"/>
      <c r="J181" s="23">
        <v>180.0</v>
      </c>
      <c r="K181" s="14">
        <v>220.0</v>
      </c>
      <c r="L181" s="14">
        <v>257.0</v>
      </c>
      <c r="M181" s="22">
        <v>223.0</v>
      </c>
      <c r="N181" s="15"/>
      <c r="O181" s="15"/>
      <c r="P181" s="15"/>
      <c r="Q181" s="14">
        <v>417.0</v>
      </c>
      <c r="R181" s="24">
        <v>186.0</v>
      </c>
      <c r="S181" s="15"/>
      <c r="T181" s="15"/>
      <c r="U181" s="15"/>
      <c r="V181" s="31"/>
      <c r="W181" s="15"/>
      <c r="X181" s="14"/>
      <c r="Y181" s="14">
        <v>569.0</v>
      </c>
      <c r="Z181" s="25">
        <v>233.0</v>
      </c>
      <c r="AA181" s="25"/>
      <c r="AB181" s="25">
        <v>407.0</v>
      </c>
      <c r="AC181" s="14">
        <v>381.0</v>
      </c>
      <c r="AD181" s="14"/>
      <c r="AE181" s="14">
        <v>381.0</v>
      </c>
      <c r="AF181" s="14">
        <v>677.0</v>
      </c>
      <c r="AG181" s="14"/>
      <c r="AH181" s="14">
        <v>328.0</v>
      </c>
      <c r="AI181" s="14">
        <v>254.0</v>
      </c>
      <c r="AJ181" s="14">
        <v>405.0</v>
      </c>
      <c r="AK181" s="14"/>
      <c r="AL181" s="14">
        <v>381.0</v>
      </c>
      <c r="AM181" s="14">
        <v>309.0</v>
      </c>
      <c r="AN181" s="14">
        <v>381.0</v>
      </c>
      <c r="AO181" s="14">
        <v>191.0</v>
      </c>
      <c r="AP181" s="14">
        <v>368.0</v>
      </c>
      <c r="AQ181" s="14">
        <v>274.0</v>
      </c>
      <c r="AR181" s="14"/>
      <c r="AS181" s="14">
        <v>268.0</v>
      </c>
      <c r="AT181" s="14">
        <v>331.0</v>
      </c>
      <c r="AU181" s="14">
        <v>215.0</v>
      </c>
      <c r="AV181" s="14">
        <v>170.0</v>
      </c>
      <c r="AW181" s="14">
        <v>193.0</v>
      </c>
      <c r="AX181" s="14">
        <v>211.0</v>
      </c>
      <c r="AY181" s="14">
        <v>163.0</v>
      </c>
      <c r="AZ181" s="26"/>
      <c r="BA181" s="26"/>
      <c r="BB181" s="26"/>
      <c r="BC181" s="26"/>
    </row>
    <row r="182">
      <c r="A182" s="27">
        <f>HYPERLINK("https://arcprize.org/play?task=6f8cd79b", 171)</f>
        <v>171</v>
      </c>
      <c r="B182" s="14">
        <v>51.0</v>
      </c>
      <c r="C182" s="14">
        <v>90.0</v>
      </c>
      <c r="D182" s="14">
        <v>51.0</v>
      </c>
      <c r="E182" s="14">
        <v>90.0</v>
      </c>
      <c r="F182" s="22">
        <v>51.0</v>
      </c>
      <c r="G182" s="14">
        <v>90.0</v>
      </c>
      <c r="H182" s="14">
        <v>59.0</v>
      </c>
      <c r="I182" s="14">
        <v>66.0</v>
      </c>
      <c r="J182" s="23">
        <v>51.0</v>
      </c>
      <c r="K182" s="14">
        <v>51.0</v>
      </c>
      <c r="L182" s="14">
        <v>61.0</v>
      </c>
      <c r="M182" s="22">
        <v>51.0</v>
      </c>
      <c r="N182" s="14"/>
      <c r="O182" s="14"/>
      <c r="P182" s="14"/>
      <c r="Q182" s="14">
        <v>67.0</v>
      </c>
      <c r="R182" s="24">
        <v>62.0</v>
      </c>
      <c r="S182" s="14"/>
      <c r="T182" s="14">
        <v>103.0</v>
      </c>
      <c r="U182" s="14">
        <v>184.0</v>
      </c>
      <c r="V182" s="29">
        <v>66.0</v>
      </c>
      <c r="W182" s="14">
        <v>63.0</v>
      </c>
      <c r="X182" s="14">
        <v>184.0</v>
      </c>
      <c r="Y182" s="14">
        <v>90.0</v>
      </c>
      <c r="Z182" s="25">
        <v>51.0</v>
      </c>
      <c r="AA182" s="25"/>
      <c r="AB182" s="25">
        <v>76.0</v>
      </c>
      <c r="AC182" s="14">
        <v>90.0</v>
      </c>
      <c r="AD182" s="14">
        <v>67.0</v>
      </c>
      <c r="AE182" s="14">
        <v>90.0</v>
      </c>
      <c r="AF182" s="14">
        <v>90.0</v>
      </c>
      <c r="AG182" s="14">
        <v>91.0</v>
      </c>
      <c r="AH182" s="14">
        <v>62.0</v>
      </c>
      <c r="AI182" s="14">
        <v>63.0</v>
      </c>
      <c r="AJ182" s="14">
        <v>90.0</v>
      </c>
      <c r="AK182" s="14">
        <v>61.0</v>
      </c>
      <c r="AL182" s="14">
        <v>74.0</v>
      </c>
      <c r="AM182" s="14">
        <v>65.0</v>
      </c>
      <c r="AN182" s="14">
        <v>90.0</v>
      </c>
      <c r="AO182" s="14">
        <v>61.0</v>
      </c>
      <c r="AP182" s="14">
        <v>66.0</v>
      </c>
      <c r="AQ182" s="14">
        <v>66.0</v>
      </c>
      <c r="AR182" s="14"/>
      <c r="AS182" s="14">
        <v>56.0</v>
      </c>
      <c r="AT182" s="14">
        <v>72.0</v>
      </c>
      <c r="AU182" s="14">
        <v>53.0</v>
      </c>
      <c r="AV182" s="14">
        <v>51.0</v>
      </c>
      <c r="AW182" s="14">
        <v>51.0</v>
      </c>
      <c r="AX182" s="14">
        <v>61.0</v>
      </c>
      <c r="AY182" s="14">
        <v>51.0</v>
      </c>
      <c r="AZ182" s="26"/>
      <c r="BA182" s="26"/>
      <c r="BB182" s="26"/>
      <c r="BC182" s="26"/>
    </row>
    <row r="183">
      <c r="A183" s="27">
        <f>HYPERLINK("https://arcprize.org/play?task=6fa7a44f", 172)</f>
        <v>172</v>
      </c>
      <c r="B183" s="14">
        <v>20.0</v>
      </c>
      <c r="C183" s="14">
        <v>20.0</v>
      </c>
      <c r="D183" s="14">
        <v>20.0</v>
      </c>
      <c r="E183" s="14">
        <v>20.0</v>
      </c>
      <c r="F183" s="22">
        <v>20.0</v>
      </c>
      <c r="G183" s="14">
        <v>20.0</v>
      </c>
      <c r="H183" s="14">
        <v>20.0</v>
      </c>
      <c r="I183" s="14">
        <v>20.0</v>
      </c>
      <c r="J183" s="23">
        <v>20.0</v>
      </c>
      <c r="K183" s="14">
        <v>20.0</v>
      </c>
      <c r="L183" s="14">
        <v>20.0</v>
      </c>
      <c r="M183" s="22">
        <v>20.0</v>
      </c>
      <c r="N183" s="14"/>
      <c r="O183" s="14"/>
      <c r="P183" s="14"/>
      <c r="Q183" s="14">
        <v>20.0</v>
      </c>
      <c r="R183" s="24">
        <v>20.0</v>
      </c>
      <c r="S183" s="14">
        <v>20.0</v>
      </c>
      <c r="T183" s="14">
        <v>20.0</v>
      </c>
      <c r="U183" s="14">
        <v>20.0</v>
      </c>
      <c r="V183" s="29">
        <v>20.0</v>
      </c>
      <c r="W183" s="14">
        <v>20.0</v>
      </c>
      <c r="X183" s="14">
        <v>20.0</v>
      </c>
      <c r="Y183" s="14">
        <v>20.0</v>
      </c>
      <c r="Z183" s="30">
        <v>20.0</v>
      </c>
      <c r="AA183" s="25"/>
      <c r="AB183" s="25">
        <v>20.0</v>
      </c>
      <c r="AC183" s="14">
        <v>20.0</v>
      </c>
      <c r="AD183" s="14">
        <v>20.0</v>
      </c>
      <c r="AE183" s="14">
        <v>20.0</v>
      </c>
      <c r="AF183" s="14">
        <v>20.0</v>
      </c>
      <c r="AG183" s="14">
        <v>20.0</v>
      </c>
      <c r="AH183" s="14">
        <v>20.0</v>
      </c>
      <c r="AI183" s="14">
        <v>20.0</v>
      </c>
      <c r="AJ183" s="14">
        <v>20.0</v>
      </c>
      <c r="AK183" s="14">
        <v>20.0</v>
      </c>
      <c r="AL183" s="14">
        <v>20.0</v>
      </c>
      <c r="AM183" s="14">
        <v>20.0</v>
      </c>
      <c r="AN183" s="14">
        <v>20.0</v>
      </c>
      <c r="AO183" s="14">
        <v>20.0</v>
      </c>
      <c r="AP183" s="14">
        <v>20.0</v>
      </c>
      <c r="AQ183" s="14">
        <v>20.0</v>
      </c>
      <c r="AR183" s="14"/>
      <c r="AS183" s="14">
        <v>20.0</v>
      </c>
      <c r="AT183" s="14">
        <v>20.0</v>
      </c>
      <c r="AU183" s="14">
        <v>20.0</v>
      </c>
      <c r="AV183" s="14">
        <v>20.0</v>
      </c>
      <c r="AW183" s="14">
        <v>20.0</v>
      </c>
      <c r="AX183" s="14">
        <v>20.0</v>
      </c>
      <c r="AY183" s="14">
        <v>20.0</v>
      </c>
      <c r="AZ183" s="26"/>
      <c r="BA183" s="26"/>
      <c r="BB183" s="26"/>
      <c r="BC183" s="26"/>
    </row>
    <row r="184">
      <c r="A184" s="27">
        <f>HYPERLINK("https://arcprize.org/play?task=72322fa7", 173)</f>
        <v>173</v>
      </c>
      <c r="B184" s="14">
        <v>207.0</v>
      </c>
      <c r="C184" s="14">
        <v>233.0</v>
      </c>
      <c r="D184" s="14">
        <v>204.0</v>
      </c>
      <c r="E184" s="14">
        <v>222.0</v>
      </c>
      <c r="F184" s="22">
        <v>201.0</v>
      </c>
      <c r="G184" s="14">
        <v>222.0</v>
      </c>
      <c r="H184" s="15"/>
      <c r="I184" s="15"/>
      <c r="J184" s="23">
        <v>222.0</v>
      </c>
      <c r="K184" s="14">
        <v>222.0</v>
      </c>
      <c r="L184" s="14">
        <v>222.0</v>
      </c>
      <c r="M184" s="22">
        <v>222.0</v>
      </c>
      <c r="N184" s="15"/>
      <c r="O184" s="15"/>
      <c r="P184" s="15"/>
      <c r="Q184" s="14">
        <v>232.0</v>
      </c>
      <c r="R184" s="24">
        <v>220.0</v>
      </c>
      <c r="S184" s="15"/>
      <c r="T184" s="15"/>
      <c r="U184" s="15"/>
      <c r="V184" s="31"/>
      <c r="W184" s="14"/>
      <c r="X184" s="14"/>
      <c r="Y184" s="14">
        <v>412.0</v>
      </c>
      <c r="Z184" s="25">
        <v>222.0</v>
      </c>
      <c r="AA184" s="25">
        <v>222.0</v>
      </c>
      <c r="AB184" s="25">
        <v>229.0</v>
      </c>
      <c r="AC184" s="14">
        <v>222.0</v>
      </c>
      <c r="AD184" s="14">
        <v>222.0</v>
      </c>
      <c r="AE184" s="14">
        <v>222.0</v>
      </c>
      <c r="AF184" s="14">
        <v>413.0</v>
      </c>
      <c r="AG184" s="14"/>
      <c r="AH184" s="14">
        <v>252.0</v>
      </c>
      <c r="AI184" s="14">
        <v>222.0</v>
      </c>
      <c r="AJ184" s="14">
        <v>222.0</v>
      </c>
      <c r="AK184" s="14"/>
      <c r="AL184" s="14">
        <v>222.0</v>
      </c>
      <c r="AM184" s="14">
        <v>239.0</v>
      </c>
      <c r="AN184" s="14">
        <v>222.0</v>
      </c>
      <c r="AO184" s="14">
        <v>222.0</v>
      </c>
      <c r="AP184" s="14">
        <v>220.0</v>
      </c>
      <c r="AQ184" s="14">
        <v>226.0</v>
      </c>
      <c r="AR184" s="14"/>
      <c r="AS184" s="14">
        <v>222.0</v>
      </c>
      <c r="AT184" s="14">
        <v>222.0</v>
      </c>
      <c r="AU184" s="14">
        <v>208.0</v>
      </c>
      <c r="AV184" s="14">
        <v>220.0</v>
      </c>
      <c r="AW184" s="14">
        <v>215.0</v>
      </c>
      <c r="AX184" s="14">
        <v>219.0</v>
      </c>
      <c r="AY184" s="14">
        <v>197.0</v>
      </c>
      <c r="AZ184" s="26"/>
      <c r="BA184" s="26"/>
      <c r="BB184" s="26"/>
      <c r="BC184" s="26"/>
    </row>
    <row r="185">
      <c r="A185" s="27">
        <f>HYPERLINK("https://arcprize.org/play?task=72ca375d", 174)</f>
        <v>174</v>
      </c>
      <c r="B185" s="14">
        <v>91.0</v>
      </c>
      <c r="C185" s="14">
        <v>303.0</v>
      </c>
      <c r="D185" s="14">
        <v>97.0</v>
      </c>
      <c r="E185" s="14">
        <v>269.0</v>
      </c>
      <c r="F185" s="22">
        <v>89.0</v>
      </c>
      <c r="G185" s="14">
        <v>300.0</v>
      </c>
      <c r="H185" s="14">
        <v>120.0</v>
      </c>
      <c r="I185" s="15"/>
      <c r="J185" s="23">
        <v>105.0</v>
      </c>
      <c r="K185" s="14">
        <v>98.0</v>
      </c>
      <c r="L185" s="14">
        <v>121.0</v>
      </c>
      <c r="M185" s="22">
        <v>105.0</v>
      </c>
      <c r="N185" s="15"/>
      <c r="O185" s="15"/>
      <c r="P185" s="15"/>
      <c r="Q185" s="14">
        <v>148.0</v>
      </c>
      <c r="R185" s="24">
        <v>113.0</v>
      </c>
      <c r="S185" s="15"/>
      <c r="T185" s="15"/>
      <c r="U185" s="15"/>
      <c r="V185" s="29">
        <v>128.0</v>
      </c>
      <c r="W185" s="14">
        <v>118.0</v>
      </c>
      <c r="X185" s="14"/>
      <c r="Y185" s="14">
        <v>407.0</v>
      </c>
      <c r="Z185" s="25">
        <v>103.0</v>
      </c>
      <c r="AA185" s="25"/>
      <c r="AB185" s="25">
        <v>364.0</v>
      </c>
      <c r="AC185" s="14">
        <v>269.0</v>
      </c>
      <c r="AD185" s="14"/>
      <c r="AE185" s="14">
        <v>269.0</v>
      </c>
      <c r="AF185" s="14">
        <v>588.0</v>
      </c>
      <c r="AG185" s="14"/>
      <c r="AH185" s="14">
        <v>186.0</v>
      </c>
      <c r="AI185" s="14">
        <v>112.0</v>
      </c>
      <c r="AJ185" s="14">
        <v>282.0</v>
      </c>
      <c r="AK185" s="14"/>
      <c r="AL185" s="14">
        <v>124.0</v>
      </c>
      <c r="AM185" s="14">
        <v>113.0</v>
      </c>
      <c r="AN185" s="14">
        <v>269.0</v>
      </c>
      <c r="AO185" s="14">
        <v>96.0</v>
      </c>
      <c r="AP185" s="14">
        <v>197.0</v>
      </c>
      <c r="AQ185" s="14">
        <v>211.0</v>
      </c>
      <c r="AR185" s="14"/>
      <c r="AS185" s="14">
        <v>113.0</v>
      </c>
      <c r="AT185" s="14">
        <v>269.0</v>
      </c>
      <c r="AU185" s="14">
        <v>102.0</v>
      </c>
      <c r="AV185" s="14">
        <v>98.0</v>
      </c>
      <c r="AW185" s="14">
        <v>105.0</v>
      </c>
      <c r="AX185" s="14">
        <v>105.0</v>
      </c>
      <c r="AY185" s="14">
        <v>89.0</v>
      </c>
      <c r="AZ185" s="26"/>
      <c r="BA185" s="26"/>
      <c r="BB185" s="26"/>
      <c r="BC185" s="26"/>
    </row>
    <row r="186">
      <c r="A186" s="27">
        <f>HYPERLINK("https://arcprize.org/play?task=73251a56", 175)</f>
        <v>175</v>
      </c>
      <c r="B186" s="14">
        <v>74.0</v>
      </c>
      <c r="C186" s="14">
        <v>173.0</v>
      </c>
      <c r="D186" s="14">
        <v>75.0</v>
      </c>
      <c r="E186" s="14">
        <v>174.0</v>
      </c>
      <c r="F186" s="22">
        <v>75.0</v>
      </c>
      <c r="G186" s="14">
        <v>175.0</v>
      </c>
      <c r="H186" s="15"/>
      <c r="I186" s="15"/>
      <c r="J186" s="23">
        <v>75.0</v>
      </c>
      <c r="K186" s="14">
        <v>87.0</v>
      </c>
      <c r="L186" s="14">
        <v>102.0</v>
      </c>
      <c r="M186" s="22">
        <v>75.0</v>
      </c>
      <c r="N186" s="15"/>
      <c r="O186" s="15"/>
      <c r="P186" s="15"/>
      <c r="Q186" s="14">
        <v>241.0</v>
      </c>
      <c r="R186" s="24">
        <v>75.0</v>
      </c>
      <c r="S186" s="15"/>
      <c r="T186" s="15"/>
      <c r="U186" s="15"/>
      <c r="V186" s="31"/>
      <c r="W186" s="14">
        <v>87.0</v>
      </c>
      <c r="X186" s="14"/>
      <c r="Y186" s="14">
        <v>239.0</v>
      </c>
      <c r="Z186" s="25">
        <v>90.0</v>
      </c>
      <c r="AA186" s="25"/>
      <c r="AB186" s="25">
        <v>181.0</v>
      </c>
      <c r="AC186" s="14">
        <v>175.0</v>
      </c>
      <c r="AD186" s="14"/>
      <c r="AE186" s="14">
        <v>175.0</v>
      </c>
      <c r="AF186" s="14">
        <v>230.0</v>
      </c>
      <c r="AG186" s="14"/>
      <c r="AH186" s="14">
        <v>88.0</v>
      </c>
      <c r="AI186" s="14">
        <v>77.0</v>
      </c>
      <c r="AJ186" s="14">
        <v>175.0</v>
      </c>
      <c r="AK186" s="14"/>
      <c r="AL186" s="14">
        <v>132.0</v>
      </c>
      <c r="AM186" s="14">
        <v>83.0</v>
      </c>
      <c r="AN186" s="14">
        <v>175.0</v>
      </c>
      <c r="AO186" s="14">
        <v>75.0</v>
      </c>
      <c r="AP186" s="14">
        <v>104.0</v>
      </c>
      <c r="AQ186" s="14">
        <v>94.0</v>
      </c>
      <c r="AR186" s="14"/>
      <c r="AS186" s="14">
        <v>82.0</v>
      </c>
      <c r="AT186" s="14">
        <v>174.0</v>
      </c>
      <c r="AU186" s="14">
        <v>87.0</v>
      </c>
      <c r="AV186" s="14">
        <v>75.0</v>
      </c>
      <c r="AW186" s="14">
        <v>75.0</v>
      </c>
      <c r="AX186" s="14">
        <v>92.0</v>
      </c>
      <c r="AY186" s="14">
        <v>74.0</v>
      </c>
      <c r="AZ186" s="26"/>
      <c r="BA186" s="26"/>
      <c r="BB186" s="26"/>
      <c r="BC186" s="26"/>
    </row>
    <row r="187">
      <c r="A187" s="27">
        <f>HYPERLINK("https://arcprize.org/play?task=7447852a", 176)</f>
        <v>176</v>
      </c>
      <c r="B187" s="14">
        <v>64.0</v>
      </c>
      <c r="C187" s="14">
        <v>137.0</v>
      </c>
      <c r="D187" s="14">
        <v>61.0</v>
      </c>
      <c r="E187" s="14">
        <v>139.0</v>
      </c>
      <c r="F187" s="22">
        <v>64.0</v>
      </c>
      <c r="G187" s="14">
        <v>139.0</v>
      </c>
      <c r="H187" s="14">
        <v>99.0</v>
      </c>
      <c r="I187" s="14"/>
      <c r="J187" s="23">
        <v>68.0</v>
      </c>
      <c r="K187" s="14">
        <v>81.0</v>
      </c>
      <c r="L187" s="14">
        <v>86.0</v>
      </c>
      <c r="M187" s="22">
        <v>86.0</v>
      </c>
      <c r="N187" s="15"/>
      <c r="O187" s="15"/>
      <c r="P187" s="15"/>
      <c r="Q187" s="14">
        <v>146.0</v>
      </c>
      <c r="R187" s="24">
        <v>83.0</v>
      </c>
      <c r="S187" s="15"/>
      <c r="T187" s="14">
        <v>80.0</v>
      </c>
      <c r="U187" s="14">
        <v>139.0</v>
      </c>
      <c r="V187" s="29">
        <v>86.0</v>
      </c>
      <c r="W187" s="14">
        <v>82.0</v>
      </c>
      <c r="X187" s="14">
        <v>139.0</v>
      </c>
      <c r="Y187" s="14">
        <v>139.0</v>
      </c>
      <c r="Z187" s="25">
        <v>71.0</v>
      </c>
      <c r="AA187" s="25"/>
      <c r="AB187" s="25">
        <v>139.0</v>
      </c>
      <c r="AC187" s="14">
        <v>139.0</v>
      </c>
      <c r="AD187" s="14"/>
      <c r="AE187" s="14">
        <v>139.0</v>
      </c>
      <c r="AF187" s="14">
        <v>139.0</v>
      </c>
      <c r="AG187" s="14">
        <v>139.0</v>
      </c>
      <c r="AH187" s="14">
        <v>84.0</v>
      </c>
      <c r="AI187" s="14">
        <v>118.0</v>
      </c>
      <c r="AJ187" s="14">
        <v>139.0</v>
      </c>
      <c r="AK187" s="14"/>
      <c r="AL187" s="14">
        <v>124.0</v>
      </c>
      <c r="AM187" s="14">
        <v>79.0</v>
      </c>
      <c r="AN187" s="14">
        <v>139.0</v>
      </c>
      <c r="AO187" s="14">
        <v>76.0</v>
      </c>
      <c r="AP187" s="14">
        <v>84.0</v>
      </c>
      <c r="AQ187" s="14">
        <v>89.0</v>
      </c>
      <c r="AR187" s="14"/>
      <c r="AS187" s="14">
        <v>87.0</v>
      </c>
      <c r="AT187" s="14">
        <v>139.0</v>
      </c>
      <c r="AU187" s="14">
        <v>67.0</v>
      </c>
      <c r="AV187" s="14">
        <v>72.0</v>
      </c>
      <c r="AW187" s="14">
        <v>78.0</v>
      </c>
      <c r="AX187" s="14">
        <v>78.0</v>
      </c>
      <c r="AY187" s="14">
        <v>61.0</v>
      </c>
      <c r="AZ187" s="26"/>
      <c r="BA187" s="26"/>
      <c r="BB187" s="26"/>
      <c r="BC187" s="26"/>
    </row>
    <row r="188">
      <c r="A188" s="27">
        <f>HYPERLINK("https://arcprize.org/play?task=7468f01a", 177)</f>
        <v>177</v>
      </c>
      <c r="B188" s="14">
        <v>51.0</v>
      </c>
      <c r="C188" s="14">
        <v>155.0</v>
      </c>
      <c r="D188" s="14">
        <v>51.0</v>
      </c>
      <c r="E188" s="14">
        <v>155.0</v>
      </c>
      <c r="F188" s="22">
        <v>51.0</v>
      </c>
      <c r="G188" s="14">
        <v>155.0</v>
      </c>
      <c r="H188" s="14">
        <v>55.0</v>
      </c>
      <c r="I188" s="14">
        <v>68.0</v>
      </c>
      <c r="J188" s="23">
        <v>54.0</v>
      </c>
      <c r="K188" s="14">
        <v>54.0</v>
      </c>
      <c r="L188" s="14">
        <v>55.0</v>
      </c>
      <c r="M188" s="22">
        <v>51.0</v>
      </c>
      <c r="N188" s="15"/>
      <c r="O188" s="15"/>
      <c r="P188" s="15"/>
      <c r="Q188" s="14">
        <v>55.0</v>
      </c>
      <c r="R188" s="24">
        <v>59.0</v>
      </c>
      <c r="S188" s="14">
        <v>95.0</v>
      </c>
      <c r="T188" s="14">
        <v>63.0</v>
      </c>
      <c r="U188" s="14">
        <v>155.0</v>
      </c>
      <c r="V188" s="29">
        <v>55.0</v>
      </c>
      <c r="W188" s="14">
        <v>53.0</v>
      </c>
      <c r="X188" s="14">
        <v>155.0</v>
      </c>
      <c r="Y188" s="14">
        <v>155.0</v>
      </c>
      <c r="Z188" s="25">
        <v>54.0</v>
      </c>
      <c r="AA188" s="25"/>
      <c r="AB188" s="25">
        <v>147.0</v>
      </c>
      <c r="AC188" s="14">
        <v>155.0</v>
      </c>
      <c r="AD188" s="14">
        <v>66.0</v>
      </c>
      <c r="AE188" s="14">
        <v>155.0</v>
      </c>
      <c r="AF188" s="14">
        <v>155.0</v>
      </c>
      <c r="AG188" s="14">
        <v>155.0</v>
      </c>
      <c r="AH188" s="14">
        <v>59.0</v>
      </c>
      <c r="AI188" s="14">
        <v>55.0</v>
      </c>
      <c r="AJ188" s="14">
        <v>150.0</v>
      </c>
      <c r="AK188" s="14">
        <v>56.0</v>
      </c>
      <c r="AL188" s="14">
        <v>97.0</v>
      </c>
      <c r="AM188" s="14">
        <v>64.0</v>
      </c>
      <c r="AN188" s="14">
        <v>155.0</v>
      </c>
      <c r="AO188" s="14">
        <v>54.0</v>
      </c>
      <c r="AP188" s="14">
        <v>55.0</v>
      </c>
      <c r="AQ188" s="14">
        <v>54.0</v>
      </c>
      <c r="AR188" s="14"/>
      <c r="AS188" s="14">
        <v>55.0</v>
      </c>
      <c r="AT188" s="14">
        <v>65.0</v>
      </c>
      <c r="AU188" s="14">
        <v>54.0</v>
      </c>
      <c r="AV188" s="14">
        <v>54.0</v>
      </c>
      <c r="AW188" s="14">
        <v>54.0</v>
      </c>
      <c r="AX188" s="14">
        <v>59.0</v>
      </c>
      <c r="AY188" s="14">
        <v>51.0</v>
      </c>
      <c r="AZ188" s="26"/>
      <c r="BA188" s="26"/>
      <c r="BB188" s="26"/>
      <c r="BC188" s="26"/>
    </row>
    <row r="189">
      <c r="A189" s="27">
        <f>HYPERLINK("https://arcprize.org/play?task=746b3537", 178)</f>
        <v>178</v>
      </c>
      <c r="B189" s="14">
        <v>47.0</v>
      </c>
      <c r="C189" s="14">
        <v>77.0</v>
      </c>
      <c r="D189" s="14">
        <v>47.0</v>
      </c>
      <c r="E189" s="14">
        <v>68.0</v>
      </c>
      <c r="F189" s="22">
        <v>47.0</v>
      </c>
      <c r="G189" s="14">
        <v>216.0</v>
      </c>
      <c r="H189" s="14">
        <v>55.0</v>
      </c>
      <c r="I189" s="15"/>
      <c r="J189" s="23">
        <v>52.0</v>
      </c>
      <c r="K189" s="14">
        <v>53.0</v>
      </c>
      <c r="L189" s="14">
        <v>68.0</v>
      </c>
      <c r="M189" s="22">
        <v>47.0</v>
      </c>
      <c r="N189" s="15"/>
      <c r="O189" s="15"/>
      <c r="P189" s="15"/>
      <c r="Q189" s="14">
        <v>150.0</v>
      </c>
      <c r="R189" s="24">
        <v>58.0</v>
      </c>
      <c r="S189" s="14">
        <v>133.0</v>
      </c>
      <c r="T189" s="14">
        <v>59.0</v>
      </c>
      <c r="U189" s="14">
        <v>239.0</v>
      </c>
      <c r="V189" s="29">
        <v>99.0</v>
      </c>
      <c r="W189" s="14">
        <v>58.0</v>
      </c>
      <c r="X189" s="14">
        <v>232.0</v>
      </c>
      <c r="Y189" s="14">
        <v>230.0</v>
      </c>
      <c r="Z189" s="25">
        <v>59.0</v>
      </c>
      <c r="AA189" s="25"/>
      <c r="AB189" s="25">
        <v>150.0</v>
      </c>
      <c r="AC189" s="14">
        <v>219.0</v>
      </c>
      <c r="AD189" s="14">
        <v>102.0</v>
      </c>
      <c r="AE189" s="14">
        <v>219.0</v>
      </c>
      <c r="AF189" s="14">
        <v>232.0</v>
      </c>
      <c r="AG189" s="14">
        <v>202.0</v>
      </c>
      <c r="AH189" s="14">
        <v>71.0</v>
      </c>
      <c r="AI189" s="14">
        <v>68.0</v>
      </c>
      <c r="AJ189" s="14">
        <v>146.0</v>
      </c>
      <c r="AK189" s="14">
        <v>56.0</v>
      </c>
      <c r="AL189" s="14">
        <v>77.0</v>
      </c>
      <c r="AM189" s="14">
        <v>76.0</v>
      </c>
      <c r="AN189" s="14">
        <v>77.0</v>
      </c>
      <c r="AO189" s="14">
        <v>47.0</v>
      </c>
      <c r="AP189" s="14">
        <v>68.0</v>
      </c>
      <c r="AQ189" s="14">
        <v>68.0</v>
      </c>
      <c r="AR189" s="14"/>
      <c r="AS189" s="14">
        <v>59.0</v>
      </c>
      <c r="AT189" s="14">
        <v>77.0</v>
      </c>
      <c r="AU189" s="14">
        <v>47.0</v>
      </c>
      <c r="AV189" s="14">
        <v>50.0</v>
      </c>
      <c r="AW189" s="14">
        <v>50.0</v>
      </c>
      <c r="AX189" s="14">
        <v>51.0</v>
      </c>
      <c r="AY189" s="14">
        <v>47.0</v>
      </c>
      <c r="AZ189" s="26"/>
      <c r="BA189" s="26"/>
      <c r="BB189" s="26"/>
      <c r="BC189" s="26"/>
    </row>
    <row r="190">
      <c r="A190" s="27">
        <f>HYPERLINK("https://arcprize.org/play?task=74dd1130", 179)</f>
        <v>179</v>
      </c>
      <c r="B190" s="14">
        <v>21.0</v>
      </c>
      <c r="C190" s="14">
        <v>21.0</v>
      </c>
      <c r="D190" s="14">
        <v>21.0</v>
      </c>
      <c r="E190" s="14">
        <v>21.0</v>
      </c>
      <c r="F190" s="22">
        <v>21.0</v>
      </c>
      <c r="G190" s="14">
        <v>21.0</v>
      </c>
      <c r="H190" s="14">
        <v>21.0</v>
      </c>
      <c r="I190" s="14">
        <v>21.0</v>
      </c>
      <c r="J190" s="23">
        <v>21.0</v>
      </c>
      <c r="K190" s="14">
        <v>21.0</v>
      </c>
      <c r="L190" s="14">
        <v>21.0</v>
      </c>
      <c r="M190" s="22">
        <v>21.0</v>
      </c>
      <c r="N190" s="14"/>
      <c r="O190" s="14"/>
      <c r="P190" s="14"/>
      <c r="Q190" s="14">
        <v>31.0</v>
      </c>
      <c r="R190" s="24">
        <v>21.0</v>
      </c>
      <c r="S190" s="14">
        <v>31.0</v>
      </c>
      <c r="T190" s="14">
        <v>31.0</v>
      </c>
      <c r="U190" s="14">
        <v>36.0</v>
      </c>
      <c r="V190" s="29">
        <v>21.0</v>
      </c>
      <c r="W190" s="14">
        <v>21.0</v>
      </c>
      <c r="X190" s="14">
        <v>36.0</v>
      </c>
      <c r="Y190" s="14">
        <v>34.0</v>
      </c>
      <c r="Z190" s="30">
        <v>21.0</v>
      </c>
      <c r="AA190" s="25"/>
      <c r="AB190" s="25">
        <v>32.0</v>
      </c>
      <c r="AC190" s="14">
        <v>21.0</v>
      </c>
      <c r="AD190" s="14">
        <v>21.0</v>
      </c>
      <c r="AE190" s="14">
        <v>21.0</v>
      </c>
      <c r="AF190" s="14">
        <v>34.0</v>
      </c>
      <c r="AG190" s="14">
        <v>35.0</v>
      </c>
      <c r="AH190" s="14">
        <v>21.0</v>
      </c>
      <c r="AI190" s="14">
        <v>21.0</v>
      </c>
      <c r="AJ190" s="14">
        <v>21.0</v>
      </c>
      <c r="AK190" s="14">
        <v>21.0</v>
      </c>
      <c r="AL190" s="14">
        <v>21.0</v>
      </c>
      <c r="AM190" s="14">
        <v>21.0</v>
      </c>
      <c r="AN190" s="14">
        <v>21.0</v>
      </c>
      <c r="AO190" s="14">
        <v>21.0</v>
      </c>
      <c r="AP190" s="14">
        <v>21.0</v>
      </c>
      <c r="AQ190" s="14">
        <v>21.0</v>
      </c>
      <c r="AR190" s="14"/>
      <c r="AS190" s="14">
        <v>21.0</v>
      </c>
      <c r="AT190" s="14">
        <v>21.0</v>
      </c>
      <c r="AU190" s="14">
        <v>21.0</v>
      </c>
      <c r="AV190" s="14">
        <v>21.0</v>
      </c>
      <c r="AW190" s="14">
        <v>21.0</v>
      </c>
      <c r="AX190" s="14">
        <v>21.0</v>
      </c>
      <c r="AY190" s="14">
        <v>21.0</v>
      </c>
      <c r="AZ190" s="26"/>
      <c r="BA190" s="26"/>
      <c r="BB190" s="26"/>
      <c r="BC190" s="26"/>
    </row>
    <row r="191">
      <c r="A191" s="27">
        <f>HYPERLINK("https://arcprize.org/play?task=75b8110e", 180)</f>
        <v>180</v>
      </c>
      <c r="B191" s="14">
        <v>79.0</v>
      </c>
      <c r="C191" s="14">
        <v>91.0</v>
      </c>
      <c r="D191" s="14">
        <v>74.0</v>
      </c>
      <c r="E191" s="14">
        <v>91.0</v>
      </c>
      <c r="F191" s="22">
        <v>79.0</v>
      </c>
      <c r="G191" s="14">
        <v>91.0</v>
      </c>
      <c r="H191" s="14">
        <v>88.0</v>
      </c>
      <c r="I191" s="14">
        <v>91.0</v>
      </c>
      <c r="J191" s="23">
        <v>84.0</v>
      </c>
      <c r="K191" s="14">
        <v>82.0</v>
      </c>
      <c r="L191" s="14">
        <v>88.0</v>
      </c>
      <c r="M191" s="22">
        <v>84.0</v>
      </c>
      <c r="N191" s="14"/>
      <c r="O191" s="14"/>
      <c r="P191" s="14"/>
      <c r="Q191" s="14">
        <v>91.0</v>
      </c>
      <c r="R191" s="24">
        <v>83.0</v>
      </c>
      <c r="S191" s="14"/>
      <c r="T191" s="14">
        <v>84.0</v>
      </c>
      <c r="U191" s="14">
        <v>91.0</v>
      </c>
      <c r="V191" s="33"/>
      <c r="W191" s="14">
        <v>81.0</v>
      </c>
      <c r="X191" s="14">
        <v>91.0</v>
      </c>
      <c r="Y191" s="14">
        <v>91.0</v>
      </c>
      <c r="Z191" s="25">
        <v>82.0</v>
      </c>
      <c r="AA191" s="25"/>
      <c r="AB191" s="25">
        <v>91.0</v>
      </c>
      <c r="AC191" s="14">
        <v>91.0</v>
      </c>
      <c r="AD191" s="14"/>
      <c r="AE191" s="14">
        <v>91.0</v>
      </c>
      <c r="AF191" s="14">
        <v>91.0</v>
      </c>
      <c r="AG191" s="14">
        <v>91.0</v>
      </c>
      <c r="AH191" s="14">
        <v>84.0</v>
      </c>
      <c r="AI191" s="14">
        <v>91.0</v>
      </c>
      <c r="AJ191" s="14">
        <v>91.0</v>
      </c>
      <c r="AK191" s="14"/>
      <c r="AL191" s="14">
        <v>91.0</v>
      </c>
      <c r="AM191" s="14">
        <v>82.0</v>
      </c>
      <c r="AN191" s="14">
        <v>91.0</v>
      </c>
      <c r="AO191" s="14">
        <v>82.0</v>
      </c>
      <c r="AP191" s="14">
        <v>84.0</v>
      </c>
      <c r="AQ191" s="14">
        <v>84.0</v>
      </c>
      <c r="AR191" s="14"/>
      <c r="AS191" s="14">
        <v>84.0</v>
      </c>
      <c r="AT191" s="14">
        <v>91.0</v>
      </c>
      <c r="AU191" s="14">
        <v>83.0</v>
      </c>
      <c r="AV191" s="14">
        <v>82.0</v>
      </c>
      <c r="AW191" s="14">
        <v>82.0</v>
      </c>
      <c r="AX191" s="14">
        <v>82.0</v>
      </c>
      <c r="AY191" s="14">
        <v>74.0</v>
      </c>
      <c r="AZ191" s="26"/>
      <c r="BA191" s="26"/>
      <c r="BB191" s="26"/>
      <c r="BC191" s="26"/>
    </row>
    <row r="192">
      <c r="A192" s="27">
        <f>HYPERLINK("https://arcprize.org/play?task=760b3cac", 181)</f>
        <v>181</v>
      </c>
      <c r="B192" s="14">
        <v>67.0</v>
      </c>
      <c r="C192" s="14">
        <v>99.0</v>
      </c>
      <c r="D192" s="14">
        <v>67.0</v>
      </c>
      <c r="E192" s="14">
        <v>99.0</v>
      </c>
      <c r="F192" s="22">
        <v>67.0</v>
      </c>
      <c r="G192" s="14">
        <v>99.0</v>
      </c>
      <c r="H192" s="14">
        <v>84.0</v>
      </c>
      <c r="I192" s="14">
        <v>69.0</v>
      </c>
      <c r="J192" s="23">
        <v>67.0</v>
      </c>
      <c r="K192" s="14">
        <v>68.0</v>
      </c>
      <c r="L192" s="14">
        <v>74.0</v>
      </c>
      <c r="M192" s="22">
        <v>69.0</v>
      </c>
      <c r="N192" s="14"/>
      <c r="O192" s="14"/>
      <c r="P192" s="14"/>
      <c r="Q192" s="14">
        <v>87.0</v>
      </c>
      <c r="R192" s="24">
        <v>70.0</v>
      </c>
      <c r="S192" s="14">
        <v>94.0</v>
      </c>
      <c r="T192" s="14">
        <v>77.0</v>
      </c>
      <c r="U192" s="14">
        <v>99.0</v>
      </c>
      <c r="V192" s="29">
        <v>74.0</v>
      </c>
      <c r="W192" s="14">
        <v>72.0</v>
      </c>
      <c r="X192" s="14">
        <v>99.0</v>
      </c>
      <c r="Y192" s="14">
        <v>99.0</v>
      </c>
      <c r="Z192" s="25">
        <v>68.0</v>
      </c>
      <c r="AA192" s="25"/>
      <c r="AB192" s="25">
        <v>99.0</v>
      </c>
      <c r="AC192" s="14">
        <v>99.0</v>
      </c>
      <c r="AD192" s="14">
        <v>80.0</v>
      </c>
      <c r="AE192" s="14">
        <v>99.0</v>
      </c>
      <c r="AF192" s="14">
        <v>99.0</v>
      </c>
      <c r="AG192" s="14">
        <v>99.0</v>
      </c>
      <c r="AH192" s="14">
        <v>70.0</v>
      </c>
      <c r="AI192" s="14">
        <v>71.0</v>
      </c>
      <c r="AJ192" s="14">
        <v>99.0</v>
      </c>
      <c r="AK192" s="14"/>
      <c r="AL192" s="14">
        <v>99.0</v>
      </c>
      <c r="AM192" s="14">
        <v>70.0</v>
      </c>
      <c r="AN192" s="14">
        <v>99.0</v>
      </c>
      <c r="AO192" s="14">
        <v>67.0</v>
      </c>
      <c r="AP192" s="14">
        <v>84.0</v>
      </c>
      <c r="AQ192" s="14">
        <v>70.0</v>
      </c>
      <c r="AR192" s="14"/>
      <c r="AS192" s="14">
        <v>79.0</v>
      </c>
      <c r="AT192" s="14">
        <v>97.0</v>
      </c>
      <c r="AU192" s="14">
        <v>69.0</v>
      </c>
      <c r="AV192" s="14">
        <v>67.0</v>
      </c>
      <c r="AW192" s="14">
        <v>67.0</v>
      </c>
      <c r="AX192" s="14">
        <v>67.0</v>
      </c>
      <c r="AY192" s="14">
        <v>67.0</v>
      </c>
      <c r="AZ192" s="26"/>
      <c r="BA192" s="26"/>
      <c r="BB192" s="26"/>
      <c r="BC192" s="26"/>
    </row>
    <row r="193">
      <c r="A193" s="27">
        <f>HYPERLINK("https://arcprize.org/play?task=776ffc46", 182)</f>
        <v>182</v>
      </c>
      <c r="B193" s="14">
        <v>160.0</v>
      </c>
      <c r="C193" s="14">
        <v>352.0</v>
      </c>
      <c r="D193" s="14">
        <v>186.0</v>
      </c>
      <c r="E193" s="14">
        <v>564.0</v>
      </c>
      <c r="F193" s="22">
        <v>167.0</v>
      </c>
      <c r="G193" s="14">
        <v>707.0</v>
      </c>
      <c r="H193" s="15"/>
      <c r="I193" s="15"/>
      <c r="J193" s="23">
        <v>203.0</v>
      </c>
      <c r="K193" s="14">
        <v>207.0</v>
      </c>
      <c r="L193" s="14">
        <v>289.0</v>
      </c>
      <c r="M193" s="22">
        <v>205.0</v>
      </c>
      <c r="N193" s="15"/>
      <c r="O193" s="15"/>
      <c r="P193" s="15"/>
      <c r="Q193" s="14">
        <v>355.0</v>
      </c>
      <c r="R193" s="24">
        <v>200.0</v>
      </c>
      <c r="S193" s="15"/>
      <c r="T193" s="15"/>
      <c r="U193" s="15"/>
      <c r="V193" s="31"/>
      <c r="W193" s="15"/>
      <c r="X193" s="14"/>
      <c r="Y193" s="14">
        <v>541.0</v>
      </c>
      <c r="Z193" s="25">
        <v>216.0</v>
      </c>
      <c r="AA193" s="25"/>
      <c r="AB193" s="25">
        <v>387.0</v>
      </c>
      <c r="AC193" s="14">
        <v>497.0</v>
      </c>
      <c r="AD193" s="14"/>
      <c r="AE193" s="14">
        <v>319.0</v>
      </c>
      <c r="AF193" s="14">
        <v>651.0</v>
      </c>
      <c r="AG193" s="14"/>
      <c r="AH193" s="14">
        <v>248.0</v>
      </c>
      <c r="AI193" s="14">
        <v>242.0</v>
      </c>
      <c r="AJ193" s="14">
        <v>413.0</v>
      </c>
      <c r="AK193" s="14"/>
      <c r="AL193" s="14">
        <v>341.0</v>
      </c>
      <c r="AM193" s="14">
        <v>258.0</v>
      </c>
      <c r="AN193" s="14">
        <v>566.0</v>
      </c>
      <c r="AO193" s="14">
        <v>199.0</v>
      </c>
      <c r="AP193" s="14">
        <v>243.0</v>
      </c>
      <c r="AQ193" s="14">
        <v>244.0</v>
      </c>
      <c r="AR193" s="14"/>
      <c r="AS193" s="14">
        <v>207.0</v>
      </c>
      <c r="AT193" s="14">
        <v>324.0</v>
      </c>
      <c r="AU193" s="14">
        <v>195.0</v>
      </c>
      <c r="AV193" s="14">
        <v>182.0</v>
      </c>
      <c r="AW193" s="14">
        <v>224.0</v>
      </c>
      <c r="AX193" s="14">
        <v>206.0</v>
      </c>
      <c r="AY193" s="14">
        <v>160.0</v>
      </c>
      <c r="AZ193" s="26"/>
      <c r="BA193" s="26"/>
      <c r="BB193" s="26"/>
      <c r="BC193" s="26"/>
    </row>
    <row r="194">
      <c r="A194" s="27">
        <f>HYPERLINK("https://arcprize.org/play?task=77fdfe62", 183)</f>
        <v>183</v>
      </c>
      <c r="B194" s="14">
        <v>79.0</v>
      </c>
      <c r="C194" s="14">
        <v>196.0</v>
      </c>
      <c r="D194" s="14">
        <v>94.0</v>
      </c>
      <c r="E194" s="14">
        <v>211.0</v>
      </c>
      <c r="F194" s="22">
        <v>93.0</v>
      </c>
      <c r="G194" s="14">
        <v>225.0</v>
      </c>
      <c r="H194" s="14"/>
      <c r="I194" s="15"/>
      <c r="J194" s="23">
        <v>98.0</v>
      </c>
      <c r="K194" s="14">
        <v>94.0</v>
      </c>
      <c r="L194" s="14">
        <v>99.0</v>
      </c>
      <c r="M194" s="22">
        <v>99.0</v>
      </c>
      <c r="N194" s="15"/>
      <c r="O194" s="15"/>
      <c r="P194" s="15"/>
      <c r="Q194" s="14">
        <v>234.0</v>
      </c>
      <c r="R194" s="24">
        <v>98.0</v>
      </c>
      <c r="S194" s="14">
        <v>98.0</v>
      </c>
      <c r="T194" s="15"/>
      <c r="U194" s="14">
        <v>225.0</v>
      </c>
      <c r="V194" s="29">
        <v>99.0</v>
      </c>
      <c r="W194" s="14">
        <v>95.0</v>
      </c>
      <c r="X194" s="14">
        <v>225.0</v>
      </c>
      <c r="Y194" s="14">
        <v>167.0</v>
      </c>
      <c r="Z194" s="25">
        <v>94.0</v>
      </c>
      <c r="AA194" s="25"/>
      <c r="AB194" s="25">
        <v>169.0</v>
      </c>
      <c r="AC194" s="14">
        <v>211.0</v>
      </c>
      <c r="AD194" s="14">
        <v>99.0</v>
      </c>
      <c r="AE194" s="14">
        <v>211.0</v>
      </c>
      <c r="AF194" s="14">
        <v>225.0</v>
      </c>
      <c r="AG194" s="14">
        <v>225.0</v>
      </c>
      <c r="AH194" s="14">
        <v>97.0</v>
      </c>
      <c r="AI194" s="14">
        <v>108.0</v>
      </c>
      <c r="AJ194" s="14">
        <v>109.0</v>
      </c>
      <c r="AK194" s="14"/>
      <c r="AL194" s="14">
        <v>145.0</v>
      </c>
      <c r="AM194" s="14">
        <v>94.0</v>
      </c>
      <c r="AN194" s="14">
        <v>178.0</v>
      </c>
      <c r="AO194" s="14">
        <v>93.0</v>
      </c>
      <c r="AP194" s="14">
        <v>117.0</v>
      </c>
      <c r="AQ194" s="14">
        <v>98.0</v>
      </c>
      <c r="AR194" s="14"/>
      <c r="AS194" s="14">
        <v>96.0</v>
      </c>
      <c r="AT194" s="14">
        <v>187.0</v>
      </c>
      <c r="AU194" s="14">
        <v>94.0</v>
      </c>
      <c r="AV194" s="14">
        <v>93.0</v>
      </c>
      <c r="AW194" s="14">
        <v>93.0</v>
      </c>
      <c r="AX194" s="14">
        <v>96.0</v>
      </c>
      <c r="AY194" s="14">
        <v>79.0</v>
      </c>
      <c r="AZ194" s="26"/>
      <c r="BA194" s="26"/>
      <c r="BB194" s="26"/>
      <c r="BC194" s="26"/>
    </row>
    <row r="195">
      <c r="A195" s="27">
        <f>HYPERLINK("https://arcprize.org/play?task=780d0b14", 184)</f>
        <v>184</v>
      </c>
      <c r="B195" s="14">
        <v>91.0</v>
      </c>
      <c r="C195" s="14">
        <v>293.0</v>
      </c>
      <c r="D195" s="14">
        <v>94.0</v>
      </c>
      <c r="E195" s="14">
        <v>277.0</v>
      </c>
      <c r="F195" s="22">
        <v>91.0</v>
      </c>
      <c r="G195" s="14">
        <v>286.0</v>
      </c>
      <c r="H195" s="15"/>
      <c r="I195" s="15"/>
      <c r="J195" s="23">
        <v>122.0</v>
      </c>
      <c r="K195" s="14">
        <v>104.0</v>
      </c>
      <c r="L195" s="14">
        <v>121.0</v>
      </c>
      <c r="M195" s="22">
        <v>117.0</v>
      </c>
      <c r="N195" s="15"/>
      <c r="O195" s="15"/>
      <c r="P195" s="15"/>
      <c r="Q195" s="14">
        <v>209.0</v>
      </c>
      <c r="R195" s="24">
        <v>116.0</v>
      </c>
      <c r="S195" s="14">
        <v>268.0</v>
      </c>
      <c r="T195" s="15"/>
      <c r="U195" s="14">
        <v>386.0</v>
      </c>
      <c r="V195" s="31"/>
      <c r="W195" s="14">
        <v>93.0</v>
      </c>
      <c r="X195" s="14">
        <v>293.0</v>
      </c>
      <c r="Y195" s="14">
        <v>283.0</v>
      </c>
      <c r="Z195" s="25">
        <v>107.0</v>
      </c>
      <c r="AA195" s="25"/>
      <c r="AB195" s="25">
        <v>217.0</v>
      </c>
      <c r="AC195" s="14">
        <v>277.0</v>
      </c>
      <c r="AD195" s="14"/>
      <c r="AE195" s="14">
        <v>277.0</v>
      </c>
      <c r="AF195" s="14">
        <v>293.0</v>
      </c>
      <c r="AG195" s="14"/>
      <c r="AH195" s="14">
        <v>167.0</v>
      </c>
      <c r="AI195" s="14">
        <v>150.0</v>
      </c>
      <c r="AJ195" s="14">
        <v>174.0</v>
      </c>
      <c r="AK195" s="14"/>
      <c r="AL195" s="14">
        <v>236.0</v>
      </c>
      <c r="AM195" s="14">
        <v>164.0</v>
      </c>
      <c r="AN195" s="14">
        <v>277.0</v>
      </c>
      <c r="AO195" s="14">
        <v>102.0</v>
      </c>
      <c r="AP195" s="14">
        <v>214.0</v>
      </c>
      <c r="AQ195" s="14">
        <v>196.0</v>
      </c>
      <c r="AR195" s="14"/>
      <c r="AS195" s="14">
        <v>108.0</v>
      </c>
      <c r="AT195" s="14">
        <v>243.0</v>
      </c>
      <c r="AU195" s="14">
        <v>113.0</v>
      </c>
      <c r="AV195" s="14">
        <v>104.0</v>
      </c>
      <c r="AW195" s="14">
        <v>104.0</v>
      </c>
      <c r="AX195" s="14">
        <v>119.0</v>
      </c>
      <c r="AY195" s="14">
        <v>91.0</v>
      </c>
      <c r="AZ195" s="26"/>
      <c r="BA195" s="26"/>
      <c r="BB195" s="26"/>
      <c r="BC195" s="26"/>
    </row>
    <row r="196">
      <c r="A196" s="27">
        <f>HYPERLINK("https://arcprize.org/play?task=7837ac64", 185)</f>
        <v>185</v>
      </c>
      <c r="B196" s="14">
        <v>107.0</v>
      </c>
      <c r="C196" s="14">
        <v>367.0</v>
      </c>
      <c r="D196" s="14">
        <v>121.0</v>
      </c>
      <c r="E196" s="14">
        <v>354.0</v>
      </c>
      <c r="F196" s="22">
        <v>110.0</v>
      </c>
      <c r="G196" s="14">
        <v>365.0</v>
      </c>
      <c r="H196" s="15"/>
      <c r="I196" s="15"/>
      <c r="J196" s="23">
        <v>120.0</v>
      </c>
      <c r="K196" s="14">
        <v>155.0</v>
      </c>
      <c r="L196" s="14">
        <v>165.0</v>
      </c>
      <c r="M196" s="22">
        <v>167.0</v>
      </c>
      <c r="N196" s="15"/>
      <c r="O196" s="15"/>
      <c r="P196" s="15"/>
      <c r="Q196" s="14">
        <v>282.0</v>
      </c>
      <c r="R196" s="24">
        <v>168.0</v>
      </c>
      <c r="S196" s="15"/>
      <c r="T196" s="15"/>
      <c r="U196" s="15"/>
      <c r="V196" s="31"/>
      <c r="W196" s="15"/>
      <c r="X196" s="14"/>
      <c r="Y196" s="14">
        <v>504.0</v>
      </c>
      <c r="Z196" s="25">
        <v>151.0</v>
      </c>
      <c r="AA196" s="25"/>
      <c r="AB196" s="25">
        <v>340.0</v>
      </c>
      <c r="AC196" s="14">
        <v>354.0</v>
      </c>
      <c r="AD196" s="14"/>
      <c r="AE196" s="14">
        <v>357.0</v>
      </c>
      <c r="AF196" s="14">
        <v>436.0</v>
      </c>
      <c r="AG196" s="14"/>
      <c r="AH196" s="14">
        <v>273.0</v>
      </c>
      <c r="AI196" s="14">
        <v>221.0</v>
      </c>
      <c r="AJ196" s="14">
        <v>278.0</v>
      </c>
      <c r="AK196" s="14"/>
      <c r="AL196" s="14">
        <v>182.0</v>
      </c>
      <c r="AM196" s="14">
        <v>186.0</v>
      </c>
      <c r="AN196" s="14">
        <v>357.0</v>
      </c>
      <c r="AO196" s="14">
        <v>149.0</v>
      </c>
      <c r="AP196" s="14">
        <v>251.0</v>
      </c>
      <c r="AQ196" s="14">
        <v>220.0</v>
      </c>
      <c r="AR196" s="14"/>
      <c r="AS196" s="14">
        <v>159.0</v>
      </c>
      <c r="AT196" s="14">
        <v>231.0</v>
      </c>
      <c r="AU196" s="14">
        <v>126.0</v>
      </c>
      <c r="AV196" s="14">
        <v>143.0</v>
      </c>
      <c r="AW196" s="14">
        <v>158.0</v>
      </c>
      <c r="AX196" s="14">
        <v>201.0</v>
      </c>
      <c r="AY196" s="14">
        <v>107.0</v>
      </c>
      <c r="AZ196" s="26"/>
      <c r="BA196" s="26"/>
      <c r="BB196" s="26"/>
      <c r="BC196" s="26"/>
    </row>
    <row r="197">
      <c r="A197" s="27">
        <f>HYPERLINK("https://arcprize.org/play?task=794b24be", 186)</f>
        <v>186</v>
      </c>
      <c r="B197" s="14">
        <v>60.0</v>
      </c>
      <c r="C197" s="14">
        <v>107.0</v>
      </c>
      <c r="D197" s="14">
        <v>61.0</v>
      </c>
      <c r="E197" s="14">
        <v>107.0</v>
      </c>
      <c r="F197" s="22">
        <v>60.0</v>
      </c>
      <c r="G197" s="14">
        <v>107.0</v>
      </c>
      <c r="H197" s="14">
        <v>66.0</v>
      </c>
      <c r="I197" s="14">
        <v>107.0</v>
      </c>
      <c r="J197" s="23">
        <v>60.0</v>
      </c>
      <c r="K197" s="14">
        <v>62.0</v>
      </c>
      <c r="L197" s="14">
        <v>67.0</v>
      </c>
      <c r="M197" s="22">
        <v>60.0</v>
      </c>
      <c r="N197" s="14"/>
      <c r="O197" s="14"/>
      <c r="P197" s="14"/>
      <c r="Q197" s="14">
        <v>76.0</v>
      </c>
      <c r="R197" s="24">
        <v>67.0</v>
      </c>
      <c r="S197" s="14">
        <v>81.0</v>
      </c>
      <c r="T197" s="14">
        <v>76.0</v>
      </c>
      <c r="U197" s="14">
        <v>107.0</v>
      </c>
      <c r="V197" s="29">
        <v>68.0</v>
      </c>
      <c r="W197" s="14">
        <v>66.0</v>
      </c>
      <c r="X197" s="14">
        <v>107.0</v>
      </c>
      <c r="Y197" s="14">
        <v>107.0</v>
      </c>
      <c r="Z197" s="25">
        <v>67.0</v>
      </c>
      <c r="AA197" s="25"/>
      <c r="AB197" s="25">
        <v>89.0</v>
      </c>
      <c r="AC197" s="14">
        <v>107.0</v>
      </c>
      <c r="AD197" s="14">
        <v>71.0</v>
      </c>
      <c r="AE197" s="14">
        <v>107.0</v>
      </c>
      <c r="AF197" s="14">
        <v>107.0</v>
      </c>
      <c r="AG197" s="14">
        <v>107.0</v>
      </c>
      <c r="AH197" s="14">
        <v>67.0</v>
      </c>
      <c r="AI197" s="14">
        <v>71.0</v>
      </c>
      <c r="AJ197" s="14">
        <v>96.0</v>
      </c>
      <c r="AK197" s="14"/>
      <c r="AL197" s="14">
        <v>90.0</v>
      </c>
      <c r="AM197" s="14">
        <v>63.0</v>
      </c>
      <c r="AN197" s="14">
        <v>107.0</v>
      </c>
      <c r="AO197" s="14">
        <v>61.0</v>
      </c>
      <c r="AP197" s="14">
        <v>75.0</v>
      </c>
      <c r="AQ197" s="14">
        <v>68.0</v>
      </c>
      <c r="AR197" s="14"/>
      <c r="AS197" s="14">
        <v>75.0</v>
      </c>
      <c r="AT197" s="14">
        <v>107.0</v>
      </c>
      <c r="AU197" s="14">
        <v>61.0</v>
      </c>
      <c r="AV197" s="14">
        <v>61.0</v>
      </c>
      <c r="AW197" s="14">
        <v>60.0</v>
      </c>
      <c r="AX197" s="14">
        <v>65.0</v>
      </c>
      <c r="AY197" s="14">
        <v>60.0</v>
      </c>
      <c r="AZ197" s="26"/>
      <c r="BA197" s="26"/>
      <c r="BB197" s="26"/>
      <c r="BC197" s="26"/>
    </row>
    <row r="198">
      <c r="A198" s="27">
        <f>HYPERLINK("https://arcprize.org/play?task=7b6016b9", 187)</f>
        <v>187</v>
      </c>
      <c r="B198" s="14">
        <v>91.0</v>
      </c>
      <c r="C198" s="14">
        <v>157.0</v>
      </c>
      <c r="D198" s="14">
        <v>88.0</v>
      </c>
      <c r="E198" s="14">
        <v>157.0</v>
      </c>
      <c r="F198" s="22">
        <v>83.0</v>
      </c>
      <c r="G198" s="14">
        <v>256.0</v>
      </c>
      <c r="H198" s="14"/>
      <c r="I198" s="15"/>
      <c r="J198" s="23">
        <v>96.0</v>
      </c>
      <c r="K198" s="14">
        <v>96.0</v>
      </c>
      <c r="L198" s="14">
        <v>110.0</v>
      </c>
      <c r="M198" s="22">
        <v>94.0</v>
      </c>
      <c r="N198" s="15"/>
      <c r="O198" s="15"/>
      <c r="P198" s="15"/>
      <c r="Q198" s="14">
        <v>267.0</v>
      </c>
      <c r="R198" s="24">
        <v>115.0</v>
      </c>
      <c r="S198" s="15"/>
      <c r="T198" s="15"/>
      <c r="U198" s="14">
        <v>343.0</v>
      </c>
      <c r="V198" s="29">
        <v>113.0</v>
      </c>
      <c r="W198" s="15"/>
      <c r="X198" s="14">
        <v>265.0</v>
      </c>
      <c r="Y198" s="14">
        <v>256.0</v>
      </c>
      <c r="Z198" s="25">
        <v>101.0</v>
      </c>
      <c r="AA198" s="25"/>
      <c r="AB198" s="25">
        <v>260.0</v>
      </c>
      <c r="AC198" s="14">
        <v>246.0</v>
      </c>
      <c r="AD198" s="14"/>
      <c r="AE198" s="14">
        <v>246.0</v>
      </c>
      <c r="AF198" s="14">
        <v>265.0</v>
      </c>
      <c r="AG198" s="14">
        <v>327.0</v>
      </c>
      <c r="AH198" s="14">
        <v>216.0</v>
      </c>
      <c r="AI198" s="14">
        <v>124.0</v>
      </c>
      <c r="AJ198" s="14">
        <v>246.0</v>
      </c>
      <c r="AK198" s="14"/>
      <c r="AL198" s="14">
        <v>214.0</v>
      </c>
      <c r="AM198" s="14">
        <v>98.0</v>
      </c>
      <c r="AN198" s="14">
        <v>246.0</v>
      </c>
      <c r="AO198" s="14">
        <v>88.0</v>
      </c>
      <c r="AP198" s="14">
        <v>145.0</v>
      </c>
      <c r="AQ198" s="14">
        <v>115.0</v>
      </c>
      <c r="AR198" s="14"/>
      <c r="AS198" s="14">
        <v>109.0</v>
      </c>
      <c r="AT198" s="14">
        <v>157.0</v>
      </c>
      <c r="AU198" s="14">
        <v>106.0</v>
      </c>
      <c r="AV198" s="14">
        <v>90.0</v>
      </c>
      <c r="AW198" s="14">
        <v>91.0</v>
      </c>
      <c r="AX198" s="14">
        <v>96.0</v>
      </c>
      <c r="AY198" s="14">
        <v>83.0</v>
      </c>
      <c r="AZ198" s="26"/>
      <c r="BA198" s="26"/>
      <c r="BB198" s="26"/>
      <c r="BC198" s="26"/>
    </row>
    <row r="199">
      <c r="A199" s="27">
        <f>HYPERLINK("https://arcprize.org/play?task=7b7f7511", 188)</f>
        <v>188</v>
      </c>
      <c r="B199" s="14">
        <v>53.0</v>
      </c>
      <c r="C199" s="14">
        <v>113.0</v>
      </c>
      <c r="D199" s="14">
        <v>63.0</v>
      </c>
      <c r="E199" s="14">
        <v>113.0</v>
      </c>
      <c r="F199" s="22">
        <v>59.0</v>
      </c>
      <c r="G199" s="14">
        <v>113.0</v>
      </c>
      <c r="H199" s="14">
        <v>81.0</v>
      </c>
      <c r="I199" s="14"/>
      <c r="J199" s="23">
        <v>73.0</v>
      </c>
      <c r="K199" s="14">
        <v>73.0</v>
      </c>
      <c r="L199" s="14">
        <v>85.0</v>
      </c>
      <c r="M199" s="22">
        <v>77.0</v>
      </c>
      <c r="N199" s="14"/>
      <c r="O199" s="14"/>
      <c r="P199" s="14"/>
      <c r="Q199" s="14">
        <v>98.0</v>
      </c>
      <c r="R199" s="24">
        <v>75.0</v>
      </c>
      <c r="S199" s="14"/>
      <c r="T199" s="14">
        <v>91.0</v>
      </c>
      <c r="U199" s="14">
        <v>113.0</v>
      </c>
      <c r="V199" s="33"/>
      <c r="W199" s="14">
        <v>67.0</v>
      </c>
      <c r="X199" s="14">
        <v>113.0</v>
      </c>
      <c r="Y199" s="14">
        <v>113.0</v>
      </c>
      <c r="Z199" s="25">
        <v>72.0</v>
      </c>
      <c r="AA199" s="25"/>
      <c r="AB199" s="25">
        <v>91.0</v>
      </c>
      <c r="AC199" s="14">
        <v>113.0</v>
      </c>
      <c r="AD199" s="14">
        <v>86.0</v>
      </c>
      <c r="AE199" s="14">
        <v>113.0</v>
      </c>
      <c r="AF199" s="14">
        <v>113.0</v>
      </c>
      <c r="AG199" s="14">
        <v>113.0</v>
      </c>
      <c r="AH199" s="14">
        <v>88.0</v>
      </c>
      <c r="AI199" s="14">
        <v>85.0</v>
      </c>
      <c r="AJ199" s="14">
        <v>113.0</v>
      </c>
      <c r="AK199" s="14"/>
      <c r="AL199" s="14">
        <v>91.0</v>
      </c>
      <c r="AM199" s="14">
        <v>76.0</v>
      </c>
      <c r="AN199" s="14">
        <v>113.0</v>
      </c>
      <c r="AO199" s="14">
        <v>55.0</v>
      </c>
      <c r="AP199" s="14">
        <v>77.0</v>
      </c>
      <c r="AQ199" s="14">
        <v>76.0</v>
      </c>
      <c r="AR199" s="14"/>
      <c r="AS199" s="14">
        <v>81.0</v>
      </c>
      <c r="AT199" s="14">
        <v>113.0</v>
      </c>
      <c r="AU199" s="14">
        <v>53.0</v>
      </c>
      <c r="AV199" s="14">
        <v>57.0</v>
      </c>
      <c r="AW199" s="14">
        <v>68.0</v>
      </c>
      <c r="AX199" s="14">
        <v>69.0</v>
      </c>
      <c r="AY199" s="14">
        <v>53.0</v>
      </c>
      <c r="AZ199" s="26"/>
      <c r="BA199" s="26"/>
      <c r="BB199" s="26"/>
      <c r="BC199" s="26"/>
    </row>
    <row r="200">
      <c r="A200" s="27">
        <f>HYPERLINK("https://arcprize.org/play?task=7c008303", 189)</f>
        <v>189</v>
      </c>
      <c r="B200" s="14">
        <v>95.0</v>
      </c>
      <c r="C200" s="14">
        <v>219.0</v>
      </c>
      <c r="D200" s="14">
        <v>111.0</v>
      </c>
      <c r="E200" s="14">
        <v>214.0</v>
      </c>
      <c r="F200" s="22">
        <v>111.0</v>
      </c>
      <c r="G200" s="14">
        <v>215.0</v>
      </c>
      <c r="H200" s="15"/>
      <c r="I200" s="15"/>
      <c r="J200" s="23">
        <v>113.0</v>
      </c>
      <c r="K200" s="14">
        <v>115.0</v>
      </c>
      <c r="L200" s="14">
        <v>134.0</v>
      </c>
      <c r="M200" s="22">
        <v>115.0</v>
      </c>
      <c r="N200" s="15"/>
      <c r="O200" s="15"/>
      <c r="P200" s="15"/>
      <c r="Q200" s="14">
        <v>235.0</v>
      </c>
      <c r="R200" s="24">
        <v>131.0</v>
      </c>
      <c r="S200" s="14">
        <v>159.0</v>
      </c>
      <c r="T200" s="15"/>
      <c r="U200" s="15"/>
      <c r="V200" s="31"/>
      <c r="W200" s="14">
        <v>130.0</v>
      </c>
      <c r="X200" s="14"/>
      <c r="Y200" s="14">
        <v>389.0</v>
      </c>
      <c r="Z200" s="25">
        <v>115.0</v>
      </c>
      <c r="AA200" s="25"/>
      <c r="AB200" s="25">
        <v>196.0</v>
      </c>
      <c r="AC200" s="14">
        <v>214.0</v>
      </c>
      <c r="AD200" s="14"/>
      <c r="AE200" s="14">
        <v>214.0</v>
      </c>
      <c r="AF200" s="14">
        <v>252.0</v>
      </c>
      <c r="AG200" s="14"/>
      <c r="AH200" s="14">
        <v>117.0</v>
      </c>
      <c r="AI200" s="14">
        <v>138.0</v>
      </c>
      <c r="AJ200" s="14">
        <v>195.0</v>
      </c>
      <c r="AK200" s="14"/>
      <c r="AL200" s="14">
        <v>203.0</v>
      </c>
      <c r="AM200" s="14">
        <v>140.0</v>
      </c>
      <c r="AN200" s="14">
        <v>214.0</v>
      </c>
      <c r="AO200" s="14">
        <v>111.0</v>
      </c>
      <c r="AP200" s="14">
        <v>146.0</v>
      </c>
      <c r="AQ200" s="14">
        <v>144.0</v>
      </c>
      <c r="AR200" s="14"/>
      <c r="AS200" s="14">
        <v>118.0</v>
      </c>
      <c r="AT200" s="14">
        <v>209.0</v>
      </c>
      <c r="AU200" s="14">
        <v>116.0</v>
      </c>
      <c r="AV200" s="14">
        <v>111.0</v>
      </c>
      <c r="AW200" s="14">
        <v>112.0</v>
      </c>
      <c r="AX200" s="14">
        <v>116.0</v>
      </c>
      <c r="AY200" s="14">
        <v>95.0</v>
      </c>
      <c r="AZ200" s="26"/>
      <c r="BA200" s="26"/>
      <c r="BB200" s="26"/>
      <c r="BC200" s="26"/>
    </row>
    <row r="201">
      <c r="A201" s="27">
        <f>HYPERLINK("https://arcprize.org/play?task=7ddcd7ec", 190)</f>
        <v>190</v>
      </c>
      <c r="B201" s="14">
        <v>105.0</v>
      </c>
      <c r="C201" s="14">
        <v>270.0</v>
      </c>
      <c r="D201" s="14">
        <v>103.0</v>
      </c>
      <c r="E201" s="14">
        <v>273.0</v>
      </c>
      <c r="F201" s="22">
        <v>104.0</v>
      </c>
      <c r="G201" s="14">
        <v>295.0</v>
      </c>
      <c r="H201" s="15"/>
      <c r="I201" s="15"/>
      <c r="J201" s="23">
        <v>109.0</v>
      </c>
      <c r="K201" s="14">
        <v>153.0</v>
      </c>
      <c r="L201" s="14">
        <v>144.0</v>
      </c>
      <c r="M201" s="22">
        <v>111.0</v>
      </c>
      <c r="N201" s="15"/>
      <c r="O201" s="15"/>
      <c r="P201" s="15"/>
      <c r="Q201" s="14">
        <v>261.0</v>
      </c>
      <c r="R201" s="24">
        <v>121.0</v>
      </c>
      <c r="S201" s="14">
        <v>267.0</v>
      </c>
      <c r="T201" s="15"/>
      <c r="U201" s="14">
        <v>415.0</v>
      </c>
      <c r="V201" s="31"/>
      <c r="W201" s="14">
        <v>148.0</v>
      </c>
      <c r="X201" s="14">
        <v>297.0</v>
      </c>
      <c r="Y201" s="14">
        <v>274.0</v>
      </c>
      <c r="Z201" s="25">
        <v>111.0</v>
      </c>
      <c r="AA201" s="25"/>
      <c r="AB201" s="25">
        <v>245.0</v>
      </c>
      <c r="AC201" s="14">
        <v>273.0</v>
      </c>
      <c r="AD201" s="14"/>
      <c r="AE201" s="14">
        <v>273.0</v>
      </c>
      <c r="AF201" s="14">
        <v>297.0</v>
      </c>
      <c r="AG201" s="14"/>
      <c r="AH201" s="14">
        <v>240.0</v>
      </c>
      <c r="AI201" s="14">
        <v>178.0</v>
      </c>
      <c r="AJ201" s="14">
        <v>203.0</v>
      </c>
      <c r="AK201" s="14"/>
      <c r="AL201" s="14">
        <v>273.0</v>
      </c>
      <c r="AM201" s="14">
        <v>228.0</v>
      </c>
      <c r="AN201" s="14">
        <v>273.0</v>
      </c>
      <c r="AO201" s="14">
        <v>108.0</v>
      </c>
      <c r="AP201" s="14">
        <v>229.0</v>
      </c>
      <c r="AQ201" s="14">
        <v>216.0</v>
      </c>
      <c r="AR201" s="14"/>
      <c r="AS201" s="14">
        <v>126.0</v>
      </c>
      <c r="AT201" s="14">
        <v>262.0</v>
      </c>
      <c r="AU201" s="14">
        <v>112.0</v>
      </c>
      <c r="AV201" s="14">
        <v>111.0</v>
      </c>
      <c r="AW201" s="14">
        <v>106.0</v>
      </c>
      <c r="AX201" s="14">
        <v>115.0</v>
      </c>
      <c r="AY201" s="14">
        <v>103.0</v>
      </c>
      <c r="AZ201" s="26"/>
      <c r="BA201" s="26"/>
      <c r="BB201" s="26"/>
      <c r="BC201" s="26"/>
    </row>
    <row r="202">
      <c r="A202" s="27">
        <f>HYPERLINK("https://arcprize.org/play?task=7df24a62", 191)</f>
        <v>191</v>
      </c>
      <c r="B202" s="14">
        <v>221.0</v>
      </c>
      <c r="C202" s="14">
        <v>511.0</v>
      </c>
      <c r="D202" s="14">
        <v>227.0</v>
      </c>
      <c r="E202" s="14">
        <v>690.0</v>
      </c>
      <c r="F202" s="22">
        <v>228.0</v>
      </c>
      <c r="G202" s="14">
        <v>411.0</v>
      </c>
      <c r="H202" s="15"/>
      <c r="I202" s="15"/>
      <c r="J202" s="23">
        <v>237.0</v>
      </c>
      <c r="K202" s="14">
        <v>273.0</v>
      </c>
      <c r="L202" s="14">
        <v>303.0</v>
      </c>
      <c r="M202" s="22">
        <v>239.0</v>
      </c>
      <c r="N202" s="15"/>
      <c r="O202" s="15"/>
      <c r="P202" s="15"/>
      <c r="Q202" s="14">
        <v>399.0</v>
      </c>
      <c r="R202" s="24">
        <v>256.0</v>
      </c>
      <c r="S202" s="15"/>
      <c r="T202" s="15"/>
      <c r="U202" s="15"/>
      <c r="V202" s="31"/>
      <c r="W202" s="15"/>
      <c r="X202" s="14"/>
      <c r="Y202" s="14">
        <v>543.0</v>
      </c>
      <c r="Z202" s="25">
        <v>280.0</v>
      </c>
      <c r="AA202" s="25"/>
      <c r="AB202" s="25">
        <v>511.0</v>
      </c>
      <c r="AC202" s="14">
        <v>496.0</v>
      </c>
      <c r="AD202" s="14"/>
      <c r="AE202" s="14">
        <v>303.0</v>
      </c>
      <c r="AF202" s="14">
        <v>460.0</v>
      </c>
      <c r="AG202" s="14"/>
      <c r="AH202" s="14">
        <v>375.0</v>
      </c>
      <c r="AI202" s="14">
        <v>305.0</v>
      </c>
      <c r="AJ202" s="14">
        <v>404.0</v>
      </c>
      <c r="AK202" s="14"/>
      <c r="AL202" s="14">
        <v>326.0</v>
      </c>
      <c r="AM202" s="14">
        <v>355.0</v>
      </c>
      <c r="AN202" s="14">
        <v>502.0</v>
      </c>
      <c r="AO202" s="14">
        <v>275.0</v>
      </c>
      <c r="AP202" s="14">
        <v>383.0</v>
      </c>
      <c r="AQ202" s="14">
        <v>329.0</v>
      </c>
      <c r="AR202" s="14"/>
      <c r="AS202" s="14">
        <v>272.0</v>
      </c>
      <c r="AT202" s="14">
        <v>555.0</v>
      </c>
      <c r="AU202" s="14">
        <v>243.0</v>
      </c>
      <c r="AV202" s="14">
        <v>240.0</v>
      </c>
      <c r="AW202" s="14">
        <v>287.0</v>
      </c>
      <c r="AX202" s="14">
        <v>300.0</v>
      </c>
      <c r="AY202" s="14">
        <v>221.0</v>
      </c>
      <c r="AZ202" s="26"/>
      <c r="BA202" s="26"/>
      <c r="BB202" s="26"/>
      <c r="BC202" s="26"/>
    </row>
    <row r="203">
      <c r="A203" s="27">
        <f>HYPERLINK("https://arcprize.org/play?task=7e0986d6", 192)</f>
        <v>192</v>
      </c>
      <c r="B203" s="14">
        <v>109.0</v>
      </c>
      <c r="C203" s="14">
        <v>372.0</v>
      </c>
      <c r="D203" s="14">
        <v>114.0</v>
      </c>
      <c r="E203" s="14">
        <v>348.0</v>
      </c>
      <c r="F203" s="22">
        <v>99.0</v>
      </c>
      <c r="G203" s="14">
        <v>370.0</v>
      </c>
      <c r="H203" s="14"/>
      <c r="I203" s="14"/>
      <c r="J203" s="23">
        <v>115.0</v>
      </c>
      <c r="K203" s="14">
        <v>151.0</v>
      </c>
      <c r="L203" s="14">
        <v>193.0</v>
      </c>
      <c r="M203" s="22">
        <v>166.0</v>
      </c>
      <c r="N203" s="14"/>
      <c r="O203" s="14"/>
      <c r="P203" s="14"/>
      <c r="Q203" s="14">
        <v>284.0</v>
      </c>
      <c r="R203" s="24">
        <v>153.0</v>
      </c>
      <c r="S203" s="14"/>
      <c r="T203" s="14"/>
      <c r="U203" s="14"/>
      <c r="V203" s="33"/>
      <c r="W203" s="14">
        <v>115.0</v>
      </c>
      <c r="X203" s="14"/>
      <c r="Y203" s="14">
        <v>376.0</v>
      </c>
      <c r="Z203" s="25">
        <v>136.0</v>
      </c>
      <c r="AA203" s="25"/>
      <c r="AB203" s="25">
        <v>381.0</v>
      </c>
      <c r="AC203" s="14">
        <v>285.0</v>
      </c>
      <c r="AD203" s="14"/>
      <c r="AE203" s="14">
        <v>193.0</v>
      </c>
      <c r="AF203" s="14">
        <v>326.0</v>
      </c>
      <c r="AG203" s="14"/>
      <c r="AH203" s="14">
        <v>269.0</v>
      </c>
      <c r="AI203" s="14">
        <v>236.0</v>
      </c>
      <c r="AJ203" s="14">
        <v>294.0</v>
      </c>
      <c r="AK203" s="14"/>
      <c r="AL203" s="14">
        <v>253.0</v>
      </c>
      <c r="AM203" s="14">
        <v>201.0</v>
      </c>
      <c r="AN203" s="14">
        <v>348.0</v>
      </c>
      <c r="AO203" s="14">
        <v>111.0</v>
      </c>
      <c r="AP203" s="14">
        <v>236.0</v>
      </c>
      <c r="AQ203" s="14">
        <v>192.0</v>
      </c>
      <c r="AR203" s="14"/>
      <c r="AS203" s="14">
        <v>128.0</v>
      </c>
      <c r="AT203" s="14">
        <v>263.0</v>
      </c>
      <c r="AU203" s="14">
        <v>122.0</v>
      </c>
      <c r="AV203" s="14">
        <v>122.0</v>
      </c>
      <c r="AW203" s="14">
        <v>136.0</v>
      </c>
      <c r="AX203" s="14">
        <v>155.0</v>
      </c>
      <c r="AY203" s="14">
        <v>99.0</v>
      </c>
      <c r="AZ203" s="26"/>
      <c r="BA203" s="26"/>
      <c r="BB203" s="26"/>
      <c r="BC203" s="26"/>
    </row>
    <row r="204">
      <c r="A204" s="27">
        <f>HYPERLINK("https://arcprize.org/play?task=7f4411dc", 193)</f>
        <v>193</v>
      </c>
      <c r="B204" s="14">
        <v>77.0</v>
      </c>
      <c r="C204" s="14">
        <v>162.0</v>
      </c>
      <c r="D204" s="14">
        <v>71.0</v>
      </c>
      <c r="E204" s="14">
        <v>162.0</v>
      </c>
      <c r="F204" s="22">
        <v>81.0</v>
      </c>
      <c r="G204" s="14">
        <v>163.0</v>
      </c>
      <c r="H204" s="14"/>
      <c r="I204" s="14"/>
      <c r="J204" s="23">
        <v>91.0</v>
      </c>
      <c r="K204" s="14">
        <v>94.0</v>
      </c>
      <c r="L204" s="14">
        <v>150.0</v>
      </c>
      <c r="M204" s="22">
        <v>86.0</v>
      </c>
      <c r="N204" s="14"/>
      <c r="O204" s="14"/>
      <c r="P204" s="14"/>
      <c r="Q204" s="14">
        <v>163.0</v>
      </c>
      <c r="R204" s="24">
        <v>114.0</v>
      </c>
      <c r="S204" s="14"/>
      <c r="T204" s="14">
        <v>185.0</v>
      </c>
      <c r="U204" s="14">
        <v>163.0</v>
      </c>
      <c r="V204" s="31"/>
      <c r="W204" s="14">
        <v>87.0</v>
      </c>
      <c r="X204" s="14">
        <v>163.0</v>
      </c>
      <c r="Y204" s="14">
        <v>163.0</v>
      </c>
      <c r="Z204" s="25">
        <v>92.0</v>
      </c>
      <c r="AA204" s="25"/>
      <c r="AB204" s="25">
        <v>163.0</v>
      </c>
      <c r="AC204" s="14">
        <v>162.0</v>
      </c>
      <c r="AD204" s="14"/>
      <c r="AE204" s="14">
        <v>163.0</v>
      </c>
      <c r="AF204" s="14">
        <v>156.0</v>
      </c>
      <c r="AG204" s="14">
        <v>163.0</v>
      </c>
      <c r="AH204" s="14">
        <v>128.0</v>
      </c>
      <c r="AI204" s="14">
        <v>143.0</v>
      </c>
      <c r="AJ204" s="14">
        <v>163.0</v>
      </c>
      <c r="AK204" s="14"/>
      <c r="AL204" s="14">
        <v>154.0</v>
      </c>
      <c r="AM204" s="14">
        <v>114.0</v>
      </c>
      <c r="AN204" s="14">
        <v>162.0</v>
      </c>
      <c r="AO204" s="14">
        <v>84.0</v>
      </c>
      <c r="AP204" s="14">
        <v>122.0</v>
      </c>
      <c r="AQ204" s="14">
        <v>131.0</v>
      </c>
      <c r="AR204" s="14"/>
      <c r="AS204" s="14">
        <v>98.0</v>
      </c>
      <c r="AT204" s="14">
        <v>162.0</v>
      </c>
      <c r="AU204" s="14">
        <v>94.0</v>
      </c>
      <c r="AV204" s="14">
        <v>86.0</v>
      </c>
      <c r="AW204" s="14">
        <v>93.0</v>
      </c>
      <c r="AX204" s="14">
        <v>95.0</v>
      </c>
      <c r="AY204" s="14">
        <v>71.0</v>
      </c>
      <c r="AZ204" s="26"/>
      <c r="BA204" s="26"/>
      <c r="BB204" s="26"/>
      <c r="BC204" s="26"/>
    </row>
    <row r="205">
      <c r="A205" s="27">
        <f>HYPERLINK("https://arcprize.org/play?task=7fe24cdd", 194)</f>
        <v>194</v>
      </c>
      <c r="B205" s="14">
        <v>67.0</v>
      </c>
      <c r="C205" s="14">
        <v>117.0</v>
      </c>
      <c r="D205" s="14">
        <v>55.0</v>
      </c>
      <c r="E205" s="14">
        <v>117.0</v>
      </c>
      <c r="F205" s="22">
        <v>59.0</v>
      </c>
      <c r="G205" s="14">
        <v>117.0</v>
      </c>
      <c r="H205" s="14"/>
      <c r="I205" s="14"/>
      <c r="J205" s="23">
        <v>67.0</v>
      </c>
      <c r="K205" s="14">
        <v>67.0</v>
      </c>
      <c r="L205" s="14">
        <v>76.0</v>
      </c>
      <c r="M205" s="22">
        <v>66.0</v>
      </c>
      <c r="N205" s="14"/>
      <c r="O205" s="14"/>
      <c r="P205" s="14"/>
      <c r="Q205" s="14">
        <v>81.0</v>
      </c>
      <c r="R205" s="24">
        <v>73.0</v>
      </c>
      <c r="S205" s="14">
        <v>104.0</v>
      </c>
      <c r="T205" s="14">
        <v>99.0</v>
      </c>
      <c r="U205" s="14">
        <v>120.0</v>
      </c>
      <c r="V205" s="29">
        <v>76.0</v>
      </c>
      <c r="W205" s="14">
        <v>75.0</v>
      </c>
      <c r="X205" s="14">
        <v>120.0</v>
      </c>
      <c r="Y205" s="14">
        <v>120.0</v>
      </c>
      <c r="Z205" s="25">
        <v>59.0</v>
      </c>
      <c r="AA205" s="25"/>
      <c r="AB205" s="25">
        <v>120.0</v>
      </c>
      <c r="AC205" s="14">
        <v>115.0</v>
      </c>
      <c r="AD205" s="14"/>
      <c r="AE205" s="14">
        <v>117.0</v>
      </c>
      <c r="AF205" s="14">
        <v>89.0</v>
      </c>
      <c r="AG205" s="14">
        <v>120.0</v>
      </c>
      <c r="AH205" s="14">
        <v>81.0</v>
      </c>
      <c r="AI205" s="14">
        <v>81.0</v>
      </c>
      <c r="AJ205" s="14">
        <v>117.0</v>
      </c>
      <c r="AK205" s="14"/>
      <c r="AL205" s="14">
        <v>116.0</v>
      </c>
      <c r="AM205" s="14">
        <v>104.0</v>
      </c>
      <c r="AN205" s="14">
        <v>117.0</v>
      </c>
      <c r="AO205" s="14">
        <v>66.0</v>
      </c>
      <c r="AP205" s="14">
        <v>117.0</v>
      </c>
      <c r="AQ205" s="14">
        <v>81.0</v>
      </c>
      <c r="AR205" s="14"/>
      <c r="AS205" s="14">
        <v>81.0</v>
      </c>
      <c r="AT205" s="14">
        <v>117.0</v>
      </c>
      <c r="AU205" s="14">
        <v>69.0</v>
      </c>
      <c r="AV205" s="14">
        <v>66.0</v>
      </c>
      <c r="AW205" s="14">
        <v>66.0</v>
      </c>
      <c r="AX205" s="14">
        <v>72.0</v>
      </c>
      <c r="AY205" s="14">
        <v>55.0</v>
      </c>
      <c r="AZ205" s="26"/>
      <c r="BA205" s="26"/>
      <c r="BB205" s="26"/>
      <c r="BC205" s="26"/>
    </row>
    <row r="206">
      <c r="A206" s="27">
        <f>HYPERLINK("https://arcprize.org/play?task=80af3007", 195)</f>
        <v>195</v>
      </c>
      <c r="B206" s="14">
        <v>103.0</v>
      </c>
      <c r="C206" s="14">
        <v>253.0</v>
      </c>
      <c r="D206" s="14">
        <v>94.0</v>
      </c>
      <c r="E206" s="14">
        <v>250.0</v>
      </c>
      <c r="F206" s="14">
        <v>106.0</v>
      </c>
      <c r="G206" s="14">
        <v>260.0</v>
      </c>
      <c r="H206" s="15"/>
      <c r="I206" s="15"/>
      <c r="J206" s="23">
        <v>106.0</v>
      </c>
      <c r="K206" s="14">
        <v>108.0</v>
      </c>
      <c r="L206" s="14">
        <v>108.0</v>
      </c>
      <c r="M206" s="22">
        <v>105.0</v>
      </c>
      <c r="N206" s="15"/>
      <c r="O206" s="15"/>
      <c r="P206" s="15"/>
      <c r="Q206" s="14">
        <v>150.0</v>
      </c>
      <c r="R206" s="24">
        <v>112.0</v>
      </c>
      <c r="S206" s="15"/>
      <c r="T206" s="15"/>
      <c r="U206" s="15"/>
      <c r="V206" s="31"/>
      <c r="W206" s="14">
        <v>105.0</v>
      </c>
      <c r="X206" s="14"/>
      <c r="Y206" s="14">
        <v>322.0</v>
      </c>
      <c r="Z206" s="25">
        <v>114.0</v>
      </c>
      <c r="AA206" s="25"/>
      <c r="AB206" s="25">
        <v>260.0</v>
      </c>
      <c r="AC206" s="14">
        <v>250.0</v>
      </c>
      <c r="AD206" s="14"/>
      <c r="AE206" s="14">
        <v>250.0</v>
      </c>
      <c r="AF206" s="14">
        <v>258.0</v>
      </c>
      <c r="AG206" s="14"/>
      <c r="AH206" s="14">
        <v>106.0</v>
      </c>
      <c r="AI206" s="14">
        <v>119.0</v>
      </c>
      <c r="AJ206" s="14">
        <v>212.0</v>
      </c>
      <c r="AK206" s="14"/>
      <c r="AL206" s="14">
        <v>200.0</v>
      </c>
      <c r="AM206" s="14">
        <v>132.0</v>
      </c>
      <c r="AN206" s="14">
        <v>247.0</v>
      </c>
      <c r="AO206" s="14">
        <v>108.0</v>
      </c>
      <c r="AP206" s="14">
        <v>151.0</v>
      </c>
      <c r="AQ206" s="14">
        <v>161.0</v>
      </c>
      <c r="AR206" s="14"/>
      <c r="AS206" s="14">
        <v>122.0</v>
      </c>
      <c r="AT206" s="14">
        <v>219.0</v>
      </c>
      <c r="AU206" s="14">
        <v>105.0</v>
      </c>
      <c r="AV206" s="14">
        <v>105.0</v>
      </c>
      <c r="AW206" s="14">
        <v>102.0</v>
      </c>
      <c r="AX206" s="14">
        <v>129.0</v>
      </c>
      <c r="AY206" s="14">
        <v>94.0</v>
      </c>
      <c r="AZ206" s="26"/>
      <c r="BA206" s="26"/>
      <c r="BB206" s="26"/>
      <c r="BC206" s="26"/>
    </row>
    <row r="207">
      <c r="A207" s="27">
        <f>HYPERLINK("https://arcprize.org/play?task=810b9b61", 196)</f>
        <v>196</v>
      </c>
      <c r="B207" s="14">
        <v>110.0</v>
      </c>
      <c r="C207" s="14">
        <v>153.0</v>
      </c>
      <c r="D207" s="14">
        <v>106.0</v>
      </c>
      <c r="E207" s="14">
        <v>153.0</v>
      </c>
      <c r="F207" s="22">
        <v>105.0</v>
      </c>
      <c r="G207" s="14">
        <v>379.0</v>
      </c>
      <c r="H207" s="15"/>
      <c r="I207" s="15"/>
      <c r="J207" s="23">
        <v>123.0</v>
      </c>
      <c r="K207" s="14">
        <v>127.0</v>
      </c>
      <c r="L207" s="14">
        <v>153.0</v>
      </c>
      <c r="M207" s="22">
        <v>115.0</v>
      </c>
      <c r="N207" s="15"/>
      <c r="O207" s="15"/>
      <c r="P207" s="15"/>
      <c r="Q207" s="14">
        <v>282.0</v>
      </c>
      <c r="R207" s="24">
        <v>118.0</v>
      </c>
      <c r="S207" s="14">
        <v>291.0</v>
      </c>
      <c r="T207" s="15"/>
      <c r="U207" s="14">
        <v>463.0</v>
      </c>
      <c r="V207" s="31"/>
      <c r="W207" s="14">
        <v>110.0</v>
      </c>
      <c r="X207" s="14">
        <v>410.0</v>
      </c>
      <c r="Y207" s="14">
        <v>381.0</v>
      </c>
      <c r="Z207" s="25">
        <v>129.0</v>
      </c>
      <c r="AA207" s="25"/>
      <c r="AB207" s="25">
        <v>369.0</v>
      </c>
      <c r="AC207" s="14">
        <v>363.0</v>
      </c>
      <c r="AD207" s="14"/>
      <c r="AE207" s="14">
        <v>227.0</v>
      </c>
      <c r="AF207" s="14">
        <v>349.0</v>
      </c>
      <c r="AG207" s="14"/>
      <c r="AH207" s="14">
        <v>220.0</v>
      </c>
      <c r="AI207" s="14">
        <v>153.0</v>
      </c>
      <c r="AJ207" s="14">
        <v>297.0</v>
      </c>
      <c r="AK207" s="14"/>
      <c r="AL207" s="14">
        <v>252.0</v>
      </c>
      <c r="AM207" s="14">
        <v>168.0</v>
      </c>
      <c r="AN207" s="14">
        <v>363.0</v>
      </c>
      <c r="AO207" s="14">
        <v>123.0</v>
      </c>
      <c r="AP207" s="14">
        <v>152.0</v>
      </c>
      <c r="AQ207" s="14">
        <v>132.0</v>
      </c>
      <c r="AR207" s="14"/>
      <c r="AS207" s="14">
        <v>142.0</v>
      </c>
      <c r="AT207" s="14">
        <v>153.0</v>
      </c>
      <c r="AU207" s="14">
        <v>129.0</v>
      </c>
      <c r="AV207" s="14">
        <v>121.0</v>
      </c>
      <c r="AW207" s="14">
        <v>112.0</v>
      </c>
      <c r="AX207" s="14">
        <v>117.0</v>
      </c>
      <c r="AY207" s="14">
        <v>99.0</v>
      </c>
      <c r="AZ207" s="26"/>
      <c r="BA207" s="26"/>
      <c r="BB207" s="26"/>
      <c r="BC207" s="26"/>
    </row>
    <row r="208">
      <c r="A208" s="27">
        <f>HYPERLINK("https://arcprize.org/play?task=82819916", 197)</f>
        <v>197</v>
      </c>
      <c r="B208" s="14">
        <v>54.0</v>
      </c>
      <c r="C208" s="14">
        <v>167.0</v>
      </c>
      <c r="D208" s="14">
        <v>54.0</v>
      </c>
      <c r="E208" s="14">
        <v>235.0</v>
      </c>
      <c r="F208" s="22">
        <v>54.0</v>
      </c>
      <c r="G208" s="14">
        <v>255.0</v>
      </c>
      <c r="H208" s="14">
        <v>54.0</v>
      </c>
      <c r="I208" s="14">
        <v>69.0</v>
      </c>
      <c r="J208" s="23">
        <v>54.0</v>
      </c>
      <c r="K208" s="14">
        <v>51.0</v>
      </c>
      <c r="L208" s="14">
        <v>54.0</v>
      </c>
      <c r="M208" s="22">
        <v>54.0</v>
      </c>
      <c r="N208" s="15"/>
      <c r="O208" s="15"/>
      <c r="P208" s="15"/>
      <c r="Q208" s="14">
        <v>54.0</v>
      </c>
      <c r="R208" s="24">
        <v>54.0</v>
      </c>
      <c r="S208" s="14">
        <v>69.0</v>
      </c>
      <c r="T208" s="14">
        <v>54.0</v>
      </c>
      <c r="U208" s="14">
        <v>264.0</v>
      </c>
      <c r="V208" s="29">
        <v>54.0</v>
      </c>
      <c r="W208" s="14">
        <v>54.0</v>
      </c>
      <c r="X208" s="14">
        <v>257.0</v>
      </c>
      <c r="Y208" s="14">
        <v>257.0</v>
      </c>
      <c r="Z208" s="30">
        <v>54.0</v>
      </c>
      <c r="AA208" s="25"/>
      <c r="AB208" s="25">
        <v>219.0</v>
      </c>
      <c r="AC208" s="14">
        <v>235.0</v>
      </c>
      <c r="AD208" s="14"/>
      <c r="AE208" s="14">
        <v>235.0</v>
      </c>
      <c r="AF208" s="14">
        <v>159.0</v>
      </c>
      <c r="AG208" s="14"/>
      <c r="AH208" s="14">
        <v>54.0</v>
      </c>
      <c r="AI208" s="14">
        <v>54.0</v>
      </c>
      <c r="AJ208" s="14">
        <v>120.0</v>
      </c>
      <c r="AK208" s="14">
        <v>54.0</v>
      </c>
      <c r="AL208" s="14">
        <v>114.0</v>
      </c>
      <c r="AM208" s="14">
        <v>53.0</v>
      </c>
      <c r="AN208" s="14">
        <v>235.0</v>
      </c>
      <c r="AO208" s="14">
        <v>51.0</v>
      </c>
      <c r="AP208" s="14">
        <v>54.0</v>
      </c>
      <c r="AQ208" s="14">
        <v>89.0</v>
      </c>
      <c r="AR208" s="14"/>
      <c r="AS208" s="14">
        <v>71.0</v>
      </c>
      <c r="AT208" s="14">
        <v>158.0</v>
      </c>
      <c r="AU208" s="14">
        <v>54.0</v>
      </c>
      <c r="AV208" s="14">
        <v>54.0</v>
      </c>
      <c r="AW208" s="14">
        <v>54.0</v>
      </c>
      <c r="AX208" s="14">
        <v>54.0</v>
      </c>
      <c r="AY208" s="14">
        <v>51.0</v>
      </c>
      <c r="AZ208" s="26"/>
      <c r="BA208" s="26"/>
      <c r="BB208" s="26"/>
      <c r="BC208" s="26"/>
    </row>
    <row r="209">
      <c r="A209" s="27">
        <f>HYPERLINK("https://arcprize.org/play?task=83302e8f", 198)</f>
        <v>198</v>
      </c>
      <c r="B209" s="14">
        <v>107.0</v>
      </c>
      <c r="C209" s="14">
        <v>320.0</v>
      </c>
      <c r="D209" s="14">
        <v>118.0</v>
      </c>
      <c r="E209" s="14">
        <v>291.0</v>
      </c>
      <c r="F209" s="22">
        <v>110.0</v>
      </c>
      <c r="G209" s="14">
        <v>306.0</v>
      </c>
      <c r="H209" s="15"/>
      <c r="I209" s="15"/>
      <c r="J209" s="23">
        <v>120.0</v>
      </c>
      <c r="K209" s="14">
        <v>222.0</v>
      </c>
      <c r="L209" s="14">
        <v>124.0</v>
      </c>
      <c r="M209" s="22">
        <v>124.0</v>
      </c>
      <c r="N209" s="15"/>
      <c r="O209" s="15"/>
      <c r="P209" s="15"/>
      <c r="Q209" s="14">
        <v>320.0</v>
      </c>
      <c r="R209" s="24">
        <v>161.0</v>
      </c>
      <c r="S209" s="15"/>
      <c r="T209" s="15"/>
      <c r="U209" s="14">
        <v>485.0</v>
      </c>
      <c r="V209" s="31"/>
      <c r="W209" s="15"/>
      <c r="X209" s="14"/>
      <c r="Y209" s="14">
        <v>367.0</v>
      </c>
      <c r="Z209" s="25">
        <v>128.0</v>
      </c>
      <c r="AA209" s="25"/>
      <c r="AB209" s="25">
        <v>320.0</v>
      </c>
      <c r="AC209" s="14">
        <v>291.0</v>
      </c>
      <c r="AD209" s="14"/>
      <c r="AE209" s="14">
        <v>291.0</v>
      </c>
      <c r="AF209" s="14">
        <v>309.0</v>
      </c>
      <c r="AG209" s="14"/>
      <c r="AH209" s="14">
        <v>226.0</v>
      </c>
      <c r="AI209" s="14">
        <v>224.0</v>
      </c>
      <c r="AJ209" s="14">
        <v>283.0</v>
      </c>
      <c r="AK209" s="14"/>
      <c r="AL209" s="14">
        <v>291.0</v>
      </c>
      <c r="AM209" s="14">
        <v>215.0</v>
      </c>
      <c r="AN209" s="14">
        <v>291.0</v>
      </c>
      <c r="AO209" s="14">
        <v>110.0</v>
      </c>
      <c r="AP209" s="14">
        <v>281.0</v>
      </c>
      <c r="AQ209" s="14">
        <v>221.0</v>
      </c>
      <c r="AR209" s="14"/>
      <c r="AS209" s="14">
        <v>162.0</v>
      </c>
      <c r="AT209" s="14">
        <v>291.0</v>
      </c>
      <c r="AU209" s="14">
        <v>119.0</v>
      </c>
      <c r="AV209" s="14">
        <v>142.0</v>
      </c>
      <c r="AW209" s="14">
        <v>141.0</v>
      </c>
      <c r="AX209" s="14">
        <v>178.0</v>
      </c>
      <c r="AY209" s="14">
        <v>102.0</v>
      </c>
      <c r="AZ209" s="26"/>
      <c r="BA209" s="26"/>
      <c r="BB209" s="26"/>
      <c r="BC209" s="26"/>
    </row>
    <row r="210">
      <c r="A210" s="27">
        <f>HYPERLINK("https://arcprize.org/play?task=834ec97d", 199)</f>
        <v>199</v>
      </c>
      <c r="B210" s="14">
        <v>79.0</v>
      </c>
      <c r="C210" s="14">
        <v>163.0</v>
      </c>
      <c r="D210" s="14">
        <v>84.0</v>
      </c>
      <c r="E210" s="14">
        <v>163.0</v>
      </c>
      <c r="F210" s="22">
        <v>84.0</v>
      </c>
      <c r="G210" s="14">
        <v>163.0</v>
      </c>
      <c r="H210" s="14"/>
      <c r="I210" s="15"/>
      <c r="J210" s="23">
        <v>89.0</v>
      </c>
      <c r="K210" s="14">
        <v>79.0</v>
      </c>
      <c r="L210" s="14">
        <v>104.0</v>
      </c>
      <c r="M210" s="22">
        <v>104.0</v>
      </c>
      <c r="N210" s="15"/>
      <c r="O210" s="15"/>
      <c r="P210" s="15"/>
      <c r="Q210" s="14">
        <v>161.0</v>
      </c>
      <c r="R210" s="24">
        <v>84.0</v>
      </c>
      <c r="S210" s="15"/>
      <c r="T210" s="15"/>
      <c r="U210" s="14">
        <v>163.0</v>
      </c>
      <c r="V210" s="31"/>
      <c r="W210" s="14">
        <v>81.0</v>
      </c>
      <c r="X210" s="14">
        <v>163.0</v>
      </c>
      <c r="Y210" s="14">
        <v>163.0</v>
      </c>
      <c r="Z210" s="25">
        <v>100.0</v>
      </c>
      <c r="AA210" s="25"/>
      <c r="AB210" s="25">
        <v>163.0</v>
      </c>
      <c r="AC210" s="14">
        <v>163.0</v>
      </c>
      <c r="AD210" s="14"/>
      <c r="AE210" s="14">
        <v>163.0</v>
      </c>
      <c r="AF210" s="14">
        <v>152.0</v>
      </c>
      <c r="AG210" s="14">
        <v>163.0</v>
      </c>
      <c r="AH210" s="14">
        <v>129.0</v>
      </c>
      <c r="AI210" s="14">
        <v>103.0</v>
      </c>
      <c r="AJ210" s="14">
        <v>118.0</v>
      </c>
      <c r="AK210" s="14"/>
      <c r="AL210" s="14">
        <v>152.0</v>
      </c>
      <c r="AM210" s="14">
        <v>82.0</v>
      </c>
      <c r="AN210" s="14">
        <v>163.0</v>
      </c>
      <c r="AO210" s="14">
        <v>77.0</v>
      </c>
      <c r="AP210" s="14">
        <v>148.0</v>
      </c>
      <c r="AQ210" s="14">
        <v>130.0</v>
      </c>
      <c r="AR210" s="14"/>
      <c r="AS210" s="14">
        <v>90.0</v>
      </c>
      <c r="AT210" s="14">
        <v>163.0</v>
      </c>
      <c r="AU210" s="14">
        <v>81.0</v>
      </c>
      <c r="AV210" s="14">
        <v>77.0</v>
      </c>
      <c r="AW210" s="14">
        <v>77.0</v>
      </c>
      <c r="AX210" s="14">
        <v>84.0</v>
      </c>
      <c r="AY210" s="14">
        <v>77.0</v>
      </c>
      <c r="AZ210" s="26"/>
      <c r="BA210" s="26"/>
      <c r="BB210" s="26"/>
      <c r="BC210" s="26"/>
    </row>
    <row r="211">
      <c r="A211" s="27">
        <f>HYPERLINK("https://arcprize.org/play?task=8403a5d5", 200)</f>
        <v>200</v>
      </c>
      <c r="B211" s="14">
        <v>84.0</v>
      </c>
      <c r="C211" s="14">
        <v>190.0</v>
      </c>
      <c r="D211" s="14">
        <v>84.0</v>
      </c>
      <c r="E211" s="14">
        <v>188.0</v>
      </c>
      <c r="F211" s="22">
        <v>84.0</v>
      </c>
      <c r="G211" s="14">
        <v>190.0</v>
      </c>
      <c r="H211" s="14"/>
      <c r="I211" s="14"/>
      <c r="J211" s="23">
        <v>91.0</v>
      </c>
      <c r="K211" s="14">
        <v>90.0</v>
      </c>
      <c r="L211" s="14">
        <v>104.0</v>
      </c>
      <c r="M211" s="22">
        <v>103.0</v>
      </c>
      <c r="N211" s="14"/>
      <c r="O211" s="14"/>
      <c r="P211" s="14"/>
      <c r="Q211" s="14">
        <v>207.0</v>
      </c>
      <c r="R211" s="24">
        <v>95.0</v>
      </c>
      <c r="S211" s="14"/>
      <c r="T211" s="14">
        <v>219.0</v>
      </c>
      <c r="U211" s="14">
        <v>199.0</v>
      </c>
      <c r="V211" s="29">
        <v>104.0</v>
      </c>
      <c r="W211" s="14">
        <v>98.0</v>
      </c>
      <c r="X211" s="14">
        <v>199.0</v>
      </c>
      <c r="Y211" s="14">
        <v>199.0</v>
      </c>
      <c r="Z211" s="25">
        <v>101.0</v>
      </c>
      <c r="AA211" s="25"/>
      <c r="AB211" s="25">
        <v>177.0</v>
      </c>
      <c r="AC211" s="14">
        <v>188.0</v>
      </c>
      <c r="AD211" s="14"/>
      <c r="AE211" s="14">
        <v>188.0</v>
      </c>
      <c r="AF211" s="14">
        <v>182.0</v>
      </c>
      <c r="AG211" s="14">
        <v>199.0</v>
      </c>
      <c r="AH211" s="14">
        <v>100.0</v>
      </c>
      <c r="AI211" s="14">
        <v>147.0</v>
      </c>
      <c r="AJ211" s="14">
        <v>181.0</v>
      </c>
      <c r="AK211" s="14"/>
      <c r="AL211" s="14">
        <v>147.0</v>
      </c>
      <c r="AM211" s="14">
        <v>131.0</v>
      </c>
      <c r="AN211" s="14">
        <v>188.0</v>
      </c>
      <c r="AO211" s="14">
        <v>111.0</v>
      </c>
      <c r="AP211" s="14">
        <v>128.0</v>
      </c>
      <c r="AQ211" s="14">
        <v>124.0</v>
      </c>
      <c r="AR211" s="14"/>
      <c r="AS211" s="14">
        <v>94.0</v>
      </c>
      <c r="AT211" s="14">
        <v>183.0</v>
      </c>
      <c r="AU211" s="14">
        <v>89.0</v>
      </c>
      <c r="AV211" s="14">
        <v>88.0</v>
      </c>
      <c r="AW211" s="14">
        <v>115.0</v>
      </c>
      <c r="AX211" s="14">
        <v>116.0</v>
      </c>
      <c r="AY211" s="14">
        <v>84.0</v>
      </c>
      <c r="AZ211" s="26"/>
      <c r="BA211" s="26"/>
      <c r="BB211" s="26"/>
      <c r="BC211" s="26"/>
    </row>
    <row r="212">
      <c r="A212" s="27">
        <f>HYPERLINK("https://arcprize.org/play?task=846bdb03", 201)</f>
        <v>201</v>
      </c>
      <c r="B212" s="14">
        <v>187.0</v>
      </c>
      <c r="C212" s="14">
        <v>344.0</v>
      </c>
      <c r="D212" s="14">
        <v>188.0</v>
      </c>
      <c r="E212" s="14">
        <v>332.0</v>
      </c>
      <c r="F212" s="22">
        <v>198.0</v>
      </c>
      <c r="G212" s="14">
        <v>359.0</v>
      </c>
      <c r="H212" s="15"/>
      <c r="I212" s="15"/>
      <c r="J212" s="23">
        <v>229.0</v>
      </c>
      <c r="K212" s="14">
        <v>234.0</v>
      </c>
      <c r="L212" s="14">
        <v>282.0</v>
      </c>
      <c r="M212" s="22">
        <v>229.0</v>
      </c>
      <c r="N212" s="15"/>
      <c r="O212" s="15"/>
      <c r="P212" s="15"/>
      <c r="Q212" s="14">
        <v>365.0</v>
      </c>
      <c r="R212" s="24">
        <v>283.0</v>
      </c>
      <c r="S212" s="15"/>
      <c r="T212" s="15"/>
      <c r="U212" s="14">
        <v>494.0</v>
      </c>
      <c r="W212" s="15"/>
      <c r="X212" s="14">
        <v>359.0</v>
      </c>
      <c r="Y212" s="14">
        <v>358.0</v>
      </c>
      <c r="Z212" s="25">
        <v>236.0</v>
      </c>
      <c r="AA212" s="25"/>
      <c r="AB212" s="25">
        <v>359.0</v>
      </c>
      <c r="AC212" s="14">
        <v>332.0</v>
      </c>
      <c r="AD212" s="14"/>
      <c r="AE212" s="14">
        <v>332.0</v>
      </c>
      <c r="AF212" s="14">
        <v>359.0</v>
      </c>
      <c r="AG212" s="14"/>
      <c r="AH212" s="14">
        <v>301.0</v>
      </c>
      <c r="AI212" s="14">
        <v>268.0</v>
      </c>
      <c r="AJ212" s="14">
        <v>322.0</v>
      </c>
      <c r="AK212" s="14"/>
      <c r="AL212" s="14">
        <v>332.0</v>
      </c>
      <c r="AM212" s="14">
        <v>274.0</v>
      </c>
      <c r="AN212" s="14">
        <v>332.0</v>
      </c>
      <c r="AO212" s="14">
        <v>246.0</v>
      </c>
      <c r="AP212" s="14">
        <v>324.0</v>
      </c>
      <c r="AQ212" s="14">
        <v>301.0</v>
      </c>
      <c r="AR212" s="14"/>
      <c r="AS212" s="14">
        <v>255.0</v>
      </c>
      <c r="AT212" s="14">
        <v>332.0</v>
      </c>
      <c r="AU212" s="14">
        <v>215.0</v>
      </c>
      <c r="AV212" s="14">
        <v>230.0</v>
      </c>
      <c r="AW212" s="14">
        <v>224.0</v>
      </c>
      <c r="AX212" s="14">
        <v>227.0</v>
      </c>
      <c r="AY212" s="14">
        <v>185.0</v>
      </c>
      <c r="AZ212" s="26"/>
      <c r="BA212" s="26"/>
      <c r="BB212" s="26"/>
      <c r="BC212" s="26"/>
    </row>
    <row r="213">
      <c r="A213" s="27">
        <f>HYPERLINK("https://arcprize.org/play?task=855e0971", 202)</f>
        <v>202</v>
      </c>
      <c r="B213" s="14">
        <v>103.0</v>
      </c>
      <c r="C213" s="14">
        <v>351.0</v>
      </c>
      <c r="D213" s="14">
        <v>104.0</v>
      </c>
      <c r="E213" s="14">
        <v>367.0</v>
      </c>
      <c r="F213" s="22">
        <v>98.0</v>
      </c>
      <c r="G213" s="14">
        <v>376.0</v>
      </c>
      <c r="H213" s="15"/>
      <c r="I213" s="15"/>
      <c r="J213" s="23">
        <v>105.0</v>
      </c>
      <c r="K213" s="14">
        <v>106.0</v>
      </c>
      <c r="L213" s="14">
        <v>145.0</v>
      </c>
      <c r="M213" s="22">
        <v>102.0</v>
      </c>
      <c r="N213" s="15"/>
      <c r="O213" s="15"/>
      <c r="P213" s="15"/>
      <c r="Q213" s="14">
        <v>245.0</v>
      </c>
      <c r="R213" s="24">
        <v>127.0</v>
      </c>
      <c r="S213" s="15"/>
      <c r="T213" s="15"/>
      <c r="U213" s="14">
        <v>349.0</v>
      </c>
      <c r="V213" s="31"/>
      <c r="W213" s="14">
        <v>111.0</v>
      </c>
      <c r="X213" s="14"/>
      <c r="Y213" s="14">
        <v>464.0</v>
      </c>
      <c r="Z213" s="25">
        <v>123.0</v>
      </c>
      <c r="AA213" s="25"/>
      <c r="AB213" s="25">
        <v>351.0</v>
      </c>
      <c r="AC213" s="14">
        <v>369.0</v>
      </c>
      <c r="AD213" s="14"/>
      <c r="AE213" s="14">
        <v>202.0</v>
      </c>
      <c r="AF213" s="14">
        <v>339.0</v>
      </c>
      <c r="AG213" s="14"/>
      <c r="AH213" s="14">
        <v>170.0</v>
      </c>
      <c r="AI213" s="14">
        <v>138.0</v>
      </c>
      <c r="AJ213" s="14">
        <v>246.0</v>
      </c>
      <c r="AK213" s="14"/>
      <c r="AL213" s="14">
        <v>260.0</v>
      </c>
      <c r="AM213" s="14">
        <v>130.0</v>
      </c>
      <c r="AN213" s="14">
        <v>362.0</v>
      </c>
      <c r="AO213" s="14">
        <v>104.0</v>
      </c>
      <c r="AP213" s="14">
        <v>271.0</v>
      </c>
      <c r="AQ213" s="14">
        <v>173.0</v>
      </c>
      <c r="AR213" s="14"/>
      <c r="AS213" s="14">
        <v>117.0</v>
      </c>
      <c r="AT213" s="14">
        <v>366.0</v>
      </c>
      <c r="AU213" s="14">
        <v>106.0</v>
      </c>
      <c r="AV213" s="14">
        <v>106.0</v>
      </c>
      <c r="AW213" s="14">
        <v>107.0</v>
      </c>
      <c r="AX213" s="14">
        <v>107.0</v>
      </c>
      <c r="AY213" s="14">
        <v>98.0</v>
      </c>
      <c r="AZ213" s="26"/>
      <c r="BA213" s="26"/>
      <c r="BB213" s="26"/>
      <c r="BC213" s="26"/>
    </row>
    <row r="214">
      <c r="A214" s="27">
        <f>HYPERLINK("https://arcprize.org/play?task=85c4e7cd", 203)</f>
        <v>203</v>
      </c>
      <c r="B214" s="14">
        <v>64.0</v>
      </c>
      <c r="C214" s="14">
        <v>144.0</v>
      </c>
      <c r="D214" s="14">
        <v>67.0</v>
      </c>
      <c r="E214" s="14">
        <v>154.0</v>
      </c>
      <c r="F214" s="22">
        <v>64.0</v>
      </c>
      <c r="G214" s="14">
        <v>154.0</v>
      </c>
      <c r="H214" s="14">
        <v>71.0</v>
      </c>
      <c r="I214" s="15"/>
      <c r="J214" s="23">
        <v>67.0</v>
      </c>
      <c r="K214" s="14">
        <v>66.0</v>
      </c>
      <c r="L214" s="14">
        <v>72.0</v>
      </c>
      <c r="M214" s="22">
        <v>69.0</v>
      </c>
      <c r="N214" s="15"/>
      <c r="O214" s="15"/>
      <c r="P214" s="15"/>
      <c r="Q214" s="14">
        <v>96.0</v>
      </c>
      <c r="R214" s="24">
        <v>74.0</v>
      </c>
      <c r="S214" s="15"/>
      <c r="T214" s="14">
        <v>67.0</v>
      </c>
      <c r="U214" s="15"/>
      <c r="V214" s="29">
        <v>72.0</v>
      </c>
      <c r="W214" s="14">
        <v>69.0</v>
      </c>
      <c r="X214" s="14"/>
      <c r="Y214" s="14">
        <v>154.0</v>
      </c>
      <c r="Z214" s="25">
        <v>64.0</v>
      </c>
      <c r="AA214" s="25"/>
      <c r="AB214" s="25">
        <v>122.0</v>
      </c>
      <c r="AC214" s="14">
        <v>154.0</v>
      </c>
      <c r="AD214" s="14"/>
      <c r="AE214" s="14">
        <v>135.0</v>
      </c>
      <c r="AF214" s="14">
        <v>158.0</v>
      </c>
      <c r="AG214" s="14">
        <v>158.0</v>
      </c>
      <c r="AH214" s="14">
        <v>67.0</v>
      </c>
      <c r="AI214" s="14">
        <v>72.0</v>
      </c>
      <c r="AJ214" s="14">
        <v>111.0</v>
      </c>
      <c r="AK214" s="14"/>
      <c r="AL214" s="14">
        <v>92.0</v>
      </c>
      <c r="AM214" s="14">
        <v>67.0</v>
      </c>
      <c r="AN214" s="14">
        <v>154.0</v>
      </c>
      <c r="AO214" s="14">
        <v>64.0</v>
      </c>
      <c r="AP214" s="14">
        <v>76.0</v>
      </c>
      <c r="AQ214" s="14">
        <v>70.0</v>
      </c>
      <c r="AR214" s="14"/>
      <c r="AS214" s="14">
        <v>91.0</v>
      </c>
      <c r="AT214" s="14">
        <v>92.0</v>
      </c>
      <c r="AU214" s="14">
        <v>64.0</v>
      </c>
      <c r="AV214" s="14">
        <v>64.0</v>
      </c>
      <c r="AW214" s="14">
        <v>64.0</v>
      </c>
      <c r="AX214" s="14">
        <v>64.0</v>
      </c>
      <c r="AY214" s="14">
        <v>64.0</v>
      </c>
      <c r="AZ214" s="26"/>
      <c r="BA214" s="26"/>
      <c r="BB214" s="26"/>
      <c r="BC214" s="26"/>
    </row>
    <row r="215">
      <c r="A215" s="27">
        <f>HYPERLINK("https://arcprize.org/play?task=868de0fa", 204)</f>
        <v>204</v>
      </c>
      <c r="B215" s="14">
        <v>93.0</v>
      </c>
      <c r="C215" s="14">
        <v>275.0</v>
      </c>
      <c r="D215" s="14">
        <v>93.0</v>
      </c>
      <c r="E215" s="14">
        <v>395.0</v>
      </c>
      <c r="F215" s="22">
        <v>93.0</v>
      </c>
      <c r="G215" s="14">
        <v>410.0</v>
      </c>
      <c r="H215" s="15"/>
      <c r="I215" s="15"/>
      <c r="J215" s="23">
        <v>128.0</v>
      </c>
      <c r="K215" s="14">
        <v>105.0</v>
      </c>
      <c r="L215" s="14">
        <v>162.0</v>
      </c>
      <c r="M215" s="22">
        <v>99.0</v>
      </c>
      <c r="N215" s="15"/>
      <c r="O215" s="15"/>
      <c r="P215" s="15"/>
      <c r="Q215" s="14">
        <v>236.0</v>
      </c>
      <c r="R215" s="24">
        <v>105.0</v>
      </c>
      <c r="S215" s="15"/>
      <c r="T215" s="15"/>
      <c r="U215" s="14">
        <v>610.0</v>
      </c>
      <c r="V215" s="29">
        <v>162.0</v>
      </c>
      <c r="W215" s="14">
        <v>108.0</v>
      </c>
      <c r="X215" s="14"/>
      <c r="Y215" s="14">
        <v>318.0</v>
      </c>
      <c r="Z215" s="25">
        <v>97.0</v>
      </c>
      <c r="AA215" s="25"/>
      <c r="AB215" s="25">
        <v>240.0</v>
      </c>
      <c r="AC215" s="14">
        <v>395.0</v>
      </c>
      <c r="AD215" s="14"/>
      <c r="AE215" s="14">
        <v>224.0</v>
      </c>
      <c r="AF215" s="14">
        <v>255.0</v>
      </c>
      <c r="AG215" s="14"/>
      <c r="AH215" s="14">
        <v>199.0</v>
      </c>
      <c r="AI215" s="14">
        <v>168.0</v>
      </c>
      <c r="AJ215" s="14">
        <v>310.0</v>
      </c>
      <c r="AK215" s="14"/>
      <c r="AL215" s="14">
        <v>212.0</v>
      </c>
      <c r="AM215" s="14">
        <v>148.0</v>
      </c>
      <c r="AN215" s="14">
        <v>398.0</v>
      </c>
      <c r="AO215" s="14">
        <v>113.0</v>
      </c>
      <c r="AP215" s="14">
        <v>180.0</v>
      </c>
      <c r="AQ215" s="14">
        <v>151.0</v>
      </c>
      <c r="AR215" s="14"/>
      <c r="AS215" s="14">
        <v>153.0</v>
      </c>
      <c r="AT215" s="14">
        <v>298.0</v>
      </c>
      <c r="AU215" s="14">
        <v>106.0</v>
      </c>
      <c r="AV215" s="14">
        <v>99.0</v>
      </c>
      <c r="AW215" s="14">
        <v>105.0</v>
      </c>
      <c r="AX215" s="14">
        <v>158.0</v>
      </c>
      <c r="AY215" s="14">
        <v>93.0</v>
      </c>
      <c r="AZ215" s="26"/>
      <c r="BA215" s="26"/>
      <c r="BB215" s="26"/>
      <c r="BC215" s="26"/>
    </row>
    <row r="216">
      <c r="A216" s="27">
        <f>HYPERLINK("https://arcprize.org/play?task=8731374e", 205)</f>
        <v>205</v>
      </c>
      <c r="B216" s="14">
        <v>144.0</v>
      </c>
      <c r="C216" s="14">
        <v>434.0</v>
      </c>
      <c r="D216" s="14">
        <v>136.0</v>
      </c>
      <c r="E216" s="14">
        <v>598.0</v>
      </c>
      <c r="F216" s="22">
        <v>134.0</v>
      </c>
      <c r="G216" s="14">
        <v>589.0</v>
      </c>
      <c r="H216" s="15"/>
      <c r="I216" s="15"/>
      <c r="J216" s="23">
        <v>179.0</v>
      </c>
      <c r="K216" s="14">
        <v>197.0</v>
      </c>
      <c r="L216" s="14">
        <v>247.0</v>
      </c>
      <c r="M216" s="22">
        <v>161.0</v>
      </c>
      <c r="N216" s="15"/>
      <c r="O216" s="15"/>
      <c r="P216" s="15"/>
      <c r="Q216" s="15"/>
      <c r="R216" s="24">
        <v>206.0</v>
      </c>
      <c r="S216" s="15"/>
      <c r="T216" s="15"/>
      <c r="U216" s="15"/>
      <c r="V216" s="31"/>
      <c r="W216" s="15"/>
      <c r="X216" s="14"/>
      <c r="Y216" s="14">
        <v>393.0</v>
      </c>
      <c r="Z216" s="25">
        <v>198.0</v>
      </c>
      <c r="AA216" s="25"/>
      <c r="AB216" s="25">
        <v>315.0</v>
      </c>
      <c r="AC216" s="14">
        <v>517.0</v>
      </c>
      <c r="AD216" s="14"/>
      <c r="AE216" s="14">
        <v>293.0</v>
      </c>
      <c r="AF216" s="14">
        <v>404.0</v>
      </c>
      <c r="AG216" s="14"/>
      <c r="AH216" s="14">
        <v>272.0</v>
      </c>
      <c r="AI216" s="14">
        <v>228.0</v>
      </c>
      <c r="AJ216" s="14">
        <v>451.0</v>
      </c>
      <c r="AK216" s="14"/>
      <c r="AL216" s="14">
        <v>319.0</v>
      </c>
      <c r="AM216" s="14">
        <v>240.0</v>
      </c>
      <c r="AN216" s="14">
        <v>401.0</v>
      </c>
      <c r="AO216" s="14">
        <v>218.0</v>
      </c>
      <c r="AP216" s="14">
        <v>243.0</v>
      </c>
      <c r="AQ216" s="14">
        <v>283.0</v>
      </c>
      <c r="AR216" s="14"/>
      <c r="AS216" s="14">
        <v>197.0</v>
      </c>
      <c r="AT216" s="14">
        <v>404.0</v>
      </c>
      <c r="AU216" s="14">
        <v>153.0</v>
      </c>
      <c r="AV216" s="14">
        <v>180.0</v>
      </c>
      <c r="AW216" s="14">
        <v>208.0</v>
      </c>
      <c r="AX216" s="14">
        <v>213.0</v>
      </c>
      <c r="AY216" s="14">
        <v>134.0</v>
      </c>
      <c r="AZ216" s="26"/>
      <c r="BA216" s="26"/>
      <c r="BB216" s="26"/>
      <c r="BC216" s="26"/>
    </row>
    <row r="217">
      <c r="A217" s="27">
        <f>HYPERLINK("https://arcprize.org/play?task=88a10436", 206)</f>
        <v>206</v>
      </c>
      <c r="B217" s="14">
        <v>140.0</v>
      </c>
      <c r="C217" s="14">
        <v>329.0</v>
      </c>
      <c r="D217" s="14">
        <v>140.0</v>
      </c>
      <c r="E217" s="14">
        <v>525.0</v>
      </c>
      <c r="F217" s="22">
        <v>140.0</v>
      </c>
      <c r="G217" s="14">
        <v>277.0</v>
      </c>
      <c r="H217" s="15"/>
      <c r="I217" s="15"/>
      <c r="J217" s="23">
        <v>149.0</v>
      </c>
      <c r="K217" s="14">
        <v>146.0</v>
      </c>
      <c r="L217" s="14">
        <v>148.0</v>
      </c>
      <c r="M217" s="22">
        <v>150.0</v>
      </c>
      <c r="N217" s="15"/>
      <c r="O217" s="15"/>
      <c r="P217" s="15"/>
      <c r="Q217" s="14">
        <v>239.0</v>
      </c>
      <c r="R217" s="24">
        <v>150.0</v>
      </c>
      <c r="S217" s="14">
        <v>223.0</v>
      </c>
      <c r="T217" s="15"/>
      <c r="U217" s="14">
        <v>469.0</v>
      </c>
      <c r="V217" s="31"/>
      <c r="W217" s="14">
        <v>179.0</v>
      </c>
      <c r="X217" s="14"/>
      <c r="Y217" s="14">
        <v>322.0</v>
      </c>
      <c r="Z217" s="25">
        <v>153.0</v>
      </c>
      <c r="AA217" s="25"/>
      <c r="AB217" s="25">
        <v>229.0</v>
      </c>
      <c r="AC217" s="14">
        <v>449.0</v>
      </c>
      <c r="AD217" s="14"/>
      <c r="AE217" s="14">
        <v>244.0</v>
      </c>
      <c r="AF217" s="14">
        <v>249.0</v>
      </c>
      <c r="AG217" s="14"/>
      <c r="AH217" s="14">
        <v>176.0</v>
      </c>
      <c r="AI217" s="14">
        <v>172.0</v>
      </c>
      <c r="AJ217" s="14">
        <v>321.0</v>
      </c>
      <c r="AK217" s="14"/>
      <c r="AL217" s="14">
        <v>198.0</v>
      </c>
      <c r="AM217" s="14">
        <v>162.0</v>
      </c>
      <c r="AN217" s="14">
        <v>306.0</v>
      </c>
      <c r="AO217" s="14">
        <v>151.0</v>
      </c>
      <c r="AP217" s="14">
        <v>218.0</v>
      </c>
      <c r="AQ217" s="14">
        <v>198.0</v>
      </c>
      <c r="AR217" s="14"/>
      <c r="AS217" s="14">
        <v>150.0</v>
      </c>
      <c r="AT217" s="14">
        <v>257.0</v>
      </c>
      <c r="AU217" s="14">
        <v>161.0</v>
      </c>
      <c r="AV217" s="14">
        <v>139.0</v>
      </c>
      <c r="AW217" s="14">
        <v>151.0</v>
      </c>
      <c r="AX217" s="14">
        <v>162.0</v>
      </c>
      <c r="AY217" s="14">
        <v>139.0</v>
      </c>
      <c r="AZ217" s="26"/>
      <c r="BA217" s="26"/>
      <c r="BB217" s="26"/>
      <c r="BC217" s="26"/>
    </row>
    <row r="218">
      <c r="A218" s="27">
        <f>HYPERLINK("https://arcprize.org/play?task=88a62173", 207)</f>
        <v>207</v>
      </c>
      <c r="B218" s="14">
        <v>80.0</v>
      </c>
      <c r="C218" s="14">
        <v>220.0</v>
      </c>
      <c r="D218" s="14">
        <v>74.0</v>
      </c>
      <c r="E218" s="14">
        <v>205.0</v>
      </c>
      <c r="F218" s="22">
        <v>74.0</v>
      </c>
      <c r="G218" s="14">
        <v>212.0</v>
      </c>
      <c r="H218" s="14"/>
      <c r="I218" s="14"/>
      <c r="J218" s="23">
        <v>86.0</v>
      </c>
      <c r="K218" s="14">
        <v>88.0</v>
      </c>
      <c r="L218" s="14">
        <v>84.0</v>
      </c>
      <c r="M218" s="22">
        <v>83.0</v>
      </c>
      <c r="N218" s="14"/>
      <c r="O218" s="14"/>
      <c r="P218" s="14"/>
      <c r="Q218" s="14">
        <v>86.0</v>
      </c>
      <c r="R218" s="24">
        <v>86.0</v>
      </c>
      <c r="S218" s="14">
        <v>86.0</v>
      </c>
      <c r="T218" s="14"/>
      <c r="U218" s="14">
        <v>270.0</v>
      </c>
      <c r="V218" s="29">
        <v>84.0</v>
      </c>
      <c r="W218" s="14">
        <v>84.0</v>
      </c>
      <c r="X218" s="14">
        <v>221.0</v>
      </c>
      <c r="Y218" s="14">
        <v>213.0</v>
      </c>
      <c r="Z218" s="25">
        <v>86.0</v>
      </c>
      <c r="AA218" s="25"/>
      <c r="AB218" s="25">
        <v>107.0</v>
      </c>
      <c r="AC218" s="14">
        <v>205.0</v>
      </c>
      <c r="AD218" s="14"/>
      <c r="AE218" s="14">
        <v>205.0</v>
      </c>
      <c r="AF218" s="14">
        <v>221.0</v>
      </c>
      <c r="AG218" s="14">
        <v>123.0</v>
      </c>
      <c r="AH218" s="14">
        <v>86.0</v>
      </c>
      <c r="AI218" s="14">
        <v>86.0</v>
      </c>
      <c r="AJ218" s="14">
        <v>140.0</v>
      </c>
      <c r="AK218" s="14"/>
      <c r="AL218" s="14">
        <v>141.0</v>
      </c>
      <c r="AM218" s="14">
        <v>86.0</v>
      </c>
      <c r="AN218" s="14">
        <v>205.0</v>
      </c>
      <c r="AO218" s="14">
        <v>78.0</v>
      </c>
      <c r="AP218" s="14">
        <v>86.0</v>
      </c>
      <c r="AQ218" s="14">
        <v>92.0</v>
      </c>
      <c r="AR218" s="14"/>
      <c r="AS218" s="14">
        <v>86.0</v>
      </c>
      <c r="AT218" s="14">
        <v>205.0</v>
      </c>
      <c r="AU218" s="14">
        <v>86.0</v>
      </c>
      <c r="AV218" s="14">
        <v>78.0</v>
      </c>
      <c r="AW218" s="14">
        <v>86.0</v>
      </c>
      <c r="AX218" s="14">
        <v>86.0</v>
      </c>
      <c r="AY218" s="14">
        <v>72.0</v>
      </c>
      <c r="AZ218" s="26"/>
      <c r="BA218" s="26"/>
      <c r="BB218" s="26"/>
      <c r="BC218" s="26"/>
    </row>
    <row r="219">
      <c r="A219" s="27">
        <f>HYPERLINK("https://arcprize.org/play?task=890034e9", 208)</f>
        <v>208</v>
      </c>
      <c r="B219" s="14">
        <v>163.0</v>
      </c>
      <c r="C219" s="14">
        <v>524.0</v>
      </c>
      <c r="D219" s="14">
        <v>211.0</v>
      </c>
      <c r="E219" s="14">
        <v>499.0</v>
      </c>
      <c r="F219" s="22">
        <v>189.0</v>
      </c>
      <c r="G219" s="14">
        <v>525.0</v>
      </c>
      <c r="H219" s="15"/>
      <c r="I219" s="15"/>
      <c r="J219" s="23">
        <v>219.0</v>
      </c>
      <c r="K219" s="14">
        <v>232.0</v>
      </c>
      <c r="L219" s="14">
        <v>229.0</v>
      </c>
      <c r="M219" s="22">
        <v>228.0</v>
      </c>
      <c r="N219" s="15"/>
      <c r="O219" s="15"/>
      <c r="P219" s="15"/>
      <c r="Q219" s="14">
        <v>338.0</v>
      </c>
      <c r="R219" s="24">
        <v>250.0</v>
      </c>
      <c r="S219" s="15"/>
      <c r="T219" s="15"/>
      <c r="U219" s="15"/>
      <c r="V219" s="31"/>
      <c r="W219" s="15"/>
      <c r="X219" s="14"/>
      <c r="Y219" s="14">
        <v>422.0</v>
      </c>
      <c r="Z219" s="25">
        <v>243.0</v>
      </c>
      <c r="AA219" s="25"/>
      <c r="AB219" s="25">
        <v>406.0</v>
      </c>
      <c r="AC219" s="14">
        <v>499.0</v>
      </c>
      <c r="AD219" s="14"/>
      <c r="AE219" s="14">
        <v>329.0</v>
      </c>
      <c r="AF219" s="14">
        <v>351.0</v>
      </c>
      <c r="AG219" s="14"/>
      <c r="AH219" s="14">
        <v>293.0</v>
      </c>
      <c r="AI219" s="14">
        <v>259.0</v>
      </c>
      <c r="AJ219" s="14">
        <v>418.0</v>
      </c>
      <c r="AK219" s="14"/>
      <c r="AL219" s="14">
        <v>303.0</v>
      </c>
      <c r="AM219" s="14">
        <v>287.0</v>
      </c>
      <c r="AN219" s="14">
        <v>379.0</v>
      </c>
      <c r="AO219" s="14">
        <v>238.0</v>
      </c>
      <c r="AP219" s="14">
        <v>291.0</v>
      </c>
      <c r="AQ219" s="14">
        <v>279.0</v>
      </c>
      <c r="AR219" s="14"/>
      <c r="AS219" s="14">
        <v>236.0</v>
      </c>
      <c r="AT219" s="14">
        <v>297.0</v>
      </c>
      <c r="AU219" s="14">
        <v>222.0</v>
      </c>
      <c r="AV219" s="14">
        <v>227.0</v>
      </c>
      <c r="AW219" s="14">
        <v>223.0</v>
      </c>
      <c r="AX219" s="14">
        <v>236.0</v>
      </c>
      <c r="AY219" s="14">
        <v>163.0</v>
      </c>
      <c r="AZ219" s="26"/>
      <c r="BA219" s="26"/>
      <c r="BB219" s="26"/>
      <c r="BC219" s="26"/>
    </row>
    <row r="220">
      <c r="A220" s="27">
        <f>HYPERLINK("https://arcprize.org/play?task=8a004b2b", 209)</f>
        <v>209</v>
      </c>
      <c r="B220" s="14">
        <v>278.0</v>
      </c>
      <c r="C220" s="14">
        <v>894.0</v>
      </c>
      <c r="D220" s="14">
        <v>247.0</v>
      </c>
      <c r="E220" s="14">
        <v>362.0</v>
      </c>
      <c r="F220" s="22">
        <v>268.0</v>
      </c>
      <c r="G220" s="14">
        <v>460.0</v>
      </c>
      <c r="H220" s="15"/>
      <c r="I220" s="15"/>
      <c r="J220" s="23">
        <v>304.0</v>
      </c>
      <c r="K220" s="14">
        <v>282.0</v>
      </c>
      <c r="L220" s="14">
        <v>273.0</v>
      </c>
      <c r="M220" s="22">
        <v>295.0</v>
      </c>
      <c r="N220" s="15"/>
      <c r="O220" s="15"/>
      <c r="P220" s="15"/>
      <c r="Q220" s="15"/>
      <c r="R220" s="24">
        <v>319.0</v>
      </c>
      <c r="S220" s="15"/>
      <c r="T220" s="15"/>
      <c r="U220" s="15"/>
      <c r="V220" s="31"/>
      <c r="W220" s="15"/>
      <c r="X220" s="14"/>
      <c r="Y220" s="14">
        <v>925.0</v>
      </c>
      <c r="Z220" s="25">
        <v>283.0</v>
      </c>
      <c r="AA220" s="25"/>
      <c r="AB220" s="25">
        <v>510.0</v>
      </c>
      <c r="AC220" s="14">
        <v>601.0</v>
      </c>
      <c r="AD220" s="14"/>
      <c r="AE220" s="14">
        <v>393.0</v>
      </c>
      <c r="AF220" s="14">
        <v>578.0</v>
      </c>
      <c r="AG220" s="14">
        <v>383.0</v>
      </c>
      <c r="AH220" s="14">
        <v>353.0</v>
      </c>
      <c r="AI220" s="14">
        <v>419.0</v>
      </c>
      <c r="AJ220" s="14">
        <v>508.0</v>
      </c>
      <c r="AK220" s="14"/>
      <c r="AL220" s="14">
        <v>420.0</v>
      </c>
      <c r="AM220" s="14">
        <v>331.0</v>
      </c>
      <c r="AN220" s="14">
        <v>826.0</v>
      </c>
      <c r="AO220" s="14">
        <v>314.0</v>
      </c>
      <c r="AP220" s="14">
        <v>463.0</v>
      </c>
      <c r="AQ220" s="14">
        <v>408.0</v>
      </c>
      <c r="AR220" s="14"/>
      <c r="AS220" s="14">
        <v>322.0</v>
      </c>
      <c r="AT220" s="14">
        <v>825.0</v>
      </c>
      <c r="AU220" s="14">
        <v>273.0</v>
      </c>
      <c r="AV220" s="14">
        <v>250.0</v>
      </c>
      <c r="AW220" s="14">
        <v>277.0</v>
      </c>
      <c r="AX220" s="14">
        <v>305.0</v>
      </c>
      <c r="AY220" s="14">
        <v>244.0</v>
      </c>
      <c r="AZ220" s="26"/>
      <c r="BA220" s="26"/>
      <c r="BB220" s="26"/>
      <c r="BC220" s="26"/>
    </row>
    <row r="221">
      <c r="A221" s="27">
        <f>HYPERLINK("https://arcprize.org/play?task=8be77c9e", 210)</f>
        <v>210</v>
      </c>
      <c r="B221" s="14">
        <v>20.0</v>
      </c>
      <c r="C221" s="14">
        <v>20.0</v>
      </c>
      <c r="D221" s="14">
        <v>20.0</v>
      </c>
      <c r="E221" s="14">
        <v>20.0</v>
      </c>
      <c r="F221" s="22">
        <v>20.0</v>
      </c>
      <c r="G221" s="14">
        <v>20.0</v>
      </c>
      <c r="H221" s="14">
        <v>20.0</v>
      </c>
      <c r="I221" s="14">
        <v>20.0</v>
      </c>
      <c r="J221" s="23">
        <v>20.0</v>
      </c>
      <c r="K221" s="14">
        <v>20.0</v>
      </c>
      <c r="L221" s="14">
        <v>20.0</v>
      </c>
      <c r="M221" s="22">
        <v>20.0</v>
      </c>
      <c r="N221" s="14"/>
      <c r="O221" s="14"/>
      <c r="P221" s="14"/>
      <c r="Q221" s="14">
        <v>20.0</v>
      </c>
      <c r="R221" s="24">
        <v>20.0</v>
      </c>
      <c r="S221" s="14">
        <v>20.0</v>
      </c>
      <c r="T221" s="14">
        <v>20.0</v>
      </c>
      <c r="U221" s="14">
        <v>20.0</v>
      </c>
      <c r="V221" s="29">
        <v>20.0</v>
      </c>
      <c r="W221" s="14">
        <v>20.0</v>
      </c>
      <c r="X221" s="14">
        <v>20.0</v>
      </c>
      <c r="Y221" s="14">
        <v>20.0</v>
      </c>
      <c r="Z221" s="30">
        <v>20.0</v>
      </c>
      <c r="AA221" s="25"/>
      <c r="AB221" s="25">
        <v>20.0</v>
      </c>
      <c r="AC221" s="14">
        <v>20.0</v>
      </c>
      <c r="AD221" s="14">
        <v>20.0</v>
      </c>
      <c r="AE221" s="14">
        <v>20.0</v>
      </c>
      <c r="AF221" s="14">
        <v>20.0</v>
      </c>
      <c r="AG221" s="14">
        <v>20.0</v>
      </c>
      <c r="AH221" s="14">
        <v>20.0</v>
      </c>
      <c r="AI221" s="14">
        <v>20.0</v>
      </c>
      <c r="AJ221" s="14">
        <v>20.0</v>
      </c>
      <c r="AK221" s="14">
        <v>20.0</v>
      </c>
      <c r="AL221" s="14">
        <v>20.0</v>
      </c>
      <c r="AM221" s="14">
        <v>20.0</v>
      </c>
      <c r="AN221" s="14">
        <v>20.0</v>
      </c>
      <c r="AO221" s="14">
        <v>20.0</v>
      </c>
      <c r="AP221" s="14">
        <v>20.0</v>
      </c>
      <c r="AQ221" s="14">
        <v>20.0</v>
      </c>
      <c r="AR221" s="14"/>
      <c r="AS221" s="14">
        <v>20.0</v>
      </c>
      <c r="AT221" s="14">
        <v>20.0</v>
      </c>
      <c r="AU221" s="14">
        <v>20.0</v>
      </c>
      <c r="AV221" s="14">
        <v>20.0</v>
      </c>
      <c r="AW221" s="14">
        <v>20.0</v>
      </c>
      <c r="AX221" s="14">
        <v>20.0</v>
      </c>
      <c r="AY221" s="14">
        <v>20.0</v>
      </c>
      <c r="AZ221" s="26"/>
      <c r="BA221" s="26"/>
      <c r="BB221" s="26"/>
      <c r="BC221" s="26"/>
    </row>
    <row r="222">
      <c r="A222" s="27">
        <f>HYPERLINK("https://arcprize.org/play?task=8d5021e8", 211)</f>
        <v>211</v>
      </c>
      <c r="B222" s="14">
        <v>48.0</v>
      </c>
      <c r="C222" s="14">
        <v>63.0</v>
      </c>
      <c r="D222" s="14">
        <v>48.0</v>
      </c>
      <c r="E222" s="14">
        <v>63.0</v>
      </c>
      <c r="F222" s="22">
        <v>48.0</v>
      </c>
      <c r="G222" s="14">
        <v>63.0</v>
      </c>
      <c r="H222" s="14">
        <v>49.0</v>
      </c>
      <c r="I222" s="14">
        <v>49.0</v>
      </c>
      <c r="J222" s="23">
        <v>48.0</v>
      </c>
      <c r="K222" s="14">
        <v>49.0</v>
      </c>
      <c r="L222" s="14">
        <v>49.0</v>
      </c>
      <c r="M222" s="22">
        <v>48.0</v>
      </c>
      <c r="N222" s="14"/>
      <c r="O222" s="14"/>
      <c r="P222" s="14"/>
      <c r="Q222" s="14">
        <v>58.0</v>
      </c>
      <c r="R222" s="24">
        <v>49.0</v>
      </c>
      <c r="S222" s="14"/>
      <c r="T222" s="14">
        <v>57.0</v>
      </c>
      <c r="U222" s="14">
        <v>65.0</v>
      </c>
      <c r="V222" s="29">
        <v>49.0</v>
      </c>
      <c r="W222" s="14">
        <v>48.0</v>
      </c>
      <c r="X222" s="14">
        <v>65.0</v>
      </c>
      <c r="Y222" s="14">
        <v>60.0</v>
      </c>
      <c r="Z222" s="25">
        <v>48.0</v>
      </c>
      <c r="AA222" s="25"/>
      <c r="AB222" s="25">
        <v>65.0</v>
      </c>
      <c r="AC222" s="14">
        <v>63.0</v>
      </c>
      <c r="AD222" s="14"/>
      <c r="AE222" s="14">
        <v>56.0</v>
      </c>
      <c r="AF222" s="14">
        <v>65.0</v>
      </c>
      <c r="AG222" s="14">
        <v>65.0</v>
      </c>
      <c r="AH222" s="14">
        <v>49.0</v>
      </c>
      <c r="AI222" s="14">
        <v>49.0</v>
      </c>
      <c r="AJ222" s="14">
        <v>56.0</v>
      </c>
      <c r="AK222" s="14">
        <v>48.0</v>
      </c>
      <c r="AL222" s="14">
        <v>63.0</v>
      </c>
      <c r="AM222" s="14">
        <v>49.0</v>
      </c>
      <c r="AN222" s="14">
        <v>63.0</v>
      </c>
      <c r="AO222" s="14">
        <v>48.0</v>
      </c>
      <c r="AP222" s="14">
        <v>49.0</v>
      </c>
      <c r="AQ222" s="14">
        <v>48.0</v>
      </c>
      <c r="AR222" s="14"/>
      <c r="AS222" s="14">
        <v>49.0</v>
      </c>
      <c r="AT222" s="14">
        <v>63.0</v>
      </c>
      <c r="AU222" s="14">
        <v>48.0</v>
      </c>
      <c r="AV222" s="14">
        <v>48.0</v>
      </c>
      <c r="AW222" s="14">
        <v>48.0</v>
      </c>
      <c r="AX222" s="14">
        <v>48.0</v>
      </c>
      <c r="AY222" s="14">
        <v>48.0</v>
      </c>
      <c r="AZ222" s="26"/>
      <c r="BA222" s="26"/>
      <c r="BB222" s="26"/>
      <c r="BC222" s="26"/>
    </row>
    <row r="223">
      <c r="A223" s="27">
        <f>HYPERLINK("https://arcprize.org/play?task=8d510a79", 212)</f>
        <v>212</v>
      </c>
      <c r="B223" s="14">
        <v>99.0</v>
      </c>
      <c r="C223" s="14">
        <v>234.0</v>
      </c>
      <c r="D223" s="14">
        <v>93.0</v>
      </c>
      <c r="E223" s="14">
        <v>215.0</v>
      </c>
      <c r="F223" s="22">
        <v>101.0</v>
      </c>
      <c r="G223" s="14">
        <v>236.0</v>
      </c>
      <c r="H223" s="14"/>
      <c r="I223" s="14"/>
      <c r="J223" s="23">
        <v>117.0</v>
      </c>
      <c r="K223" s="14">
        <v>133.0</v>
      </c>
      <c r="L223" s="14">
        <v>131.0</v>
      </c>
      <c r="M223" s="22">
        <v>120.0</v>
      </c>
      <c r="N223" s="14"/>
      <c r="O223" s="14"/>
      <c r="P223" s="14"/>
      <c r="Q223" s="14">
        <v>242.0</v>
      </c>
      <c r="R223" s="24">
        <v>141.0</v>
      </c>
      <c r="S223" s="14"/>
      <c r="T223" s="14"/>
      <c r="U223" s="14">
        <v>353.0</v>
      </c>
      <c r="V223" s="33"/>
      <c r="W223" s="14">
        <v>126.0</v>
      </c>
      <c r="X223" s="14"/>
      <c r="Y223" s="14">
        <v>237.0</v>
      </c>
      <c r="Z223" s="25">
        <v>130.0</v>
      </c>
      <c r="AA223" s="25"/>
      <c r="AB223" s="25">
        <v>229.0</v>
      </c>
      <c r="AC223" s="14">
        <v>215.0</v>
      </c>
      <c r="AD223" s="14"/>
      <c r="AE223" s="14">
        <v>215.0</v>
      </c>
      <c r="AF223" s="14">
        <v>239.0</v>
      </c>
      <c r="AG223" s="14"/>
      <c r="AH223" s="14">
        <v>176.0</v>
      </c>
      <c r="AI223" s="14">
        <v>167.0</v>
      </c>
      <c r="AJ223" s="14">
        <v>224.0</v>
      </c>
      <c r="AK223" s="14"/>
      <c r="AL223" s="14">
        <v>213.0</v>
      </c>
      <c r="AM223" s="14">
        <v>145.0</v>
      </c>
      <c r="AN223" s="14">
        <v>215.0</v>
      </c>
      <c r="AO223" s="14">
        <v>120.0</v>
      </c>
      <c r="AP223" s="14">
        <v>213.0</v>
      </c>
      <c r="AQ223" s="14">
        <v>160.0</v>
      </c>
      <c r="AR223" s="14"/>
      <c r="AS223" s="14">
        <v>128.0</v>
      </c>
      <c r="AT223" s="14">
        <v>212.0</v>
      </c>
      <c r="AU223" s="14">
        <v>113.0</v>
      </c>
      <c r="AV223" s="14">
        <v>115.0</v>
      </c>
      <c r="AW223" s="14">
        <v>121.0</v>
      </c>
      <c r="AX223" s="14">
        <v>142.0</v>
      </c>
      <c r="AY223" s="14">
        <v>88.0</v>
      </c>
      <c r="AZ223" s="26"/>
      <c r="BA223" s="26"/>
      <c r="BB223" s="26"/>
      <c r="BC223" s="26"/>
    </row>
    <row r="224">
      <c r="A224" s="27">
        <f>HYPERLINK("https://arcprize.org/play?task=8e1813be", 213)</f>
        <v>213</v>
      </c>
      <c r="B224" s="14">
        <v>86.0</v>
      </c>
      <c r="C224" s="14">
        <v>274.0</v>
      </c>
      <c r="D224" s="14">
        <v>90.0</v>
      </c>
      <c r="E224" s="14">
        <v>269.0</v>
      </c>
      <c r="F224" s="22">
        <v>87.0</v>
      </c>
      <c r="G224" s="14">
        <v>302.0</v>
      </c>
      <c r="H224" s="15"/>
      <c r="I224" s="15"/>
      <c r="J224" s="23">
        <v>89.0</v>
      </c>
      <c r="K224" s="14">
        <v>96.0</v>
      </c>
      <c r="L224" s="14">
        <v>102.0</v>
      </c>
      <c r="M224" s="22">
        <v>87.0</v>
      </c>
      <c r="N224" s="15"/>
      <c r="O224" s="15"/>
      <c r="P224" s="15"/>
      <c r="Q224" s="14">
        <v>163.0</v>
      </c>
      <c r="R224" s="24">
        <v>123.0</v>
      </c>
      <c r="S224" s="15"/>
      <c r="T224" s="15"/>
      <c r="U224" s="14">
        <v>425.0</v>
      </c>
      <c r="V224" s="29">
        <v>114.0</v>
      </c>
      <c r="W224" s="14">
        <v>97.0</v>
      </c>
      <c r="X224" s="14">
        <v>308.0</v>
      </c>
      <c r="Y224" s="14">
        <v>309.0</v>
      </c>
      <c r="Z224" s="25">
        <v>114.0</v>
      </c>
      <c r="AA224" s="25"/>
      <c r="AB224" s="25">
        <v>207.0</v>
      </c>
      <c r="AC224" s="14">
        <v>236.0</v>
      </c>
      <c r="AD224" s="14"/>
      <c r="AE224" s="14">
        <v>283.0</v>
      </c>
      <c r="AF224" s="14">
        <v>308.0</v>
      </c>
      <c r="AG224" s="14"/>
      <c r="AH224" s="14">
        <v>141.0</v>
      </c>
      <c r="AI224" s="14">
        <v>101.0</v>
      </c>
      <c r="AJ224" s="14">
        <v>197.0</v>
      </c>
      <c r="AK224" s="14"/>
      <c r="AL224" s="14">
        <v>223.0</v>
      </c>
      <c r="AM224" s="14">
        <v>133.0</v>
      </c>
      <c r="AN224" s="14">
        <v>283.0</v>
      </c>
      <c r="AO224" s="14">
        <v>94.0</v>
      </c>
      <c r="AP224" s="14">
        <v>115.0</v>
      </c>
      <c r="AQ224" s="14">
        <v>143.0</v>
      </c>
      <c r="AR224" s="14"/>
      <c r="AS224" s="14">
        <v>101.0</v>
      </c>
      <c r="AT224" s="14">
        <v>238.0</v>
      </c>
      <c r="AU224" s="14">
        <v>89.0</v>
      </c>
      <c r="AV224" s="14">
        <v>88.0</v>
      </c>
      <c r="AW224" s="14">
        <v>106.0</v>
      </c>
      <c r="AX224" s="14">
        <v>128.0</v>
      </c>
      <c r="AY224" s="14">
        <v>86.0</v>
      </c>
      <c r="AZ224" s="26"/>
      <c r="BA224" s="26"/>
      <c r="BB224" s="26"/>
      <c r="BC224" s="26"/>
    </row>
    <row r="225">
      <c r="A225" s="27">
        <f>HYPERLINK("https://arcprize.org/play?task=8e5a5113", 214)</f>
        <v>214</v>
      </c>
      <c r="B225" s="14">
        <v>62.0</v>
      </c>
      <c r="C225" s="14">
        <v>162.0</v>
      </c>
      <c r="D225" s="14">
        <v>62.0</v>
      </c>
      <c r="E225" s="14">
        <v>162.0</v>
      </c>
      <c r="F225" s="22">
        <v>62.0</v>
      </c>
      <c r="G225" s="14">
        <v>162.0</v>
      </c>
      <c r="H225" s="14">
        <v>73.0</v>
      </c>
      <c r="I225" s="14"/>
      <c r="J225" s="23">
        <v>61.0</v>
      </c>
      <c r="K225" s="14">
        <v>65.0</v>
      </c>
      <c r="L225" s="14">
        <v>90.0</v>
      </c>
      <c r="M225" s="22">
        <v>65.0</v>
      </c>
      <c r="N225" s="14"/>
      <c r="O225" s="14"/>
      <c r="P225" s="14"/>
      <c r="Q225" s="14">
        <v>73.0</v>
      </c>
      <c r="R225" s="24">
        <v>72.0</v>
      </c>
      <c r="S225" s="14"/>
      <c r="T225" s="14">
        <v>74.0</v>
      </c>
      <c r="U225" s="14">
        <v>151.0</v>
      </c>
      <c r="V225" s="29">
        <v>92.0</v>
      </c>
      <c r="W225" s="14">
        <v>70.0</v>
      </c>
      <c r="X225" s="14"/>
      <c r="Y225" s="14">
        <v>162.0</v>
      </c>
      <c r="Z225" s="25">
        <v>63.0</v>
      </c>
      <c r="AA225" s="25"/>
      <c r="AB225" s="25">
        <v>96.0</v>
      </c>
      <c r="AC225" s="14">
        <v>116.0</v>
      </c>
      <c r="AD225" s="14"/>
      <c r="AE225" s="14">
        <v>162.0</v>
      </c>
      <c r="AF225" s="14">
        <v>168.0</v>
      </c>
      <c r="AG225" s="14">
        <v>168.0</v>
      </c>
      <c r="AH225" s="14">
        <v>81.0</v>
      </c>
      <c r="AI225" s="14">
        <v>73.0</v>
      </c>
      <c r="AJ225" s="14">
        <v>102.0</v>
      </c>
      <c r="AK225" s="14"/>
      <c r="AL225" s="14">
        <v>116.0</v>
      </c>
      <c r="AM225" s="14">
        <v>75.0</v>
      </c>
      <c r="AN225" s="14">
        <v>162.0</v>
      </c>
      <c r="AO225" s="14">
        <v>62.0</v>
      </c>
      <c r="AP225" s="14">
        <v>76.0</v>
      </c>
      <c r="AQ225" s="14">
        <v>79.0</v>
      </c>
      <c r="AR225" s="14"/>
      <c r="AS225" s="14">
        <v>74.0</v>
      </c>
      <c r="AT225" s="14">
        <v>91.0</v>
      </c>
      <c r="AU225" s="14">
        <v>66.0</v>
      </c>
      <c r="AV225" s="14">
        <v>63.0</v>
      </c>
      <c r="AW225" s="14">
        <v>63.0</v>
      </c>
      <c r="AX225" s="14">
        <v>70.0</v>
      </c>
      <c r="AY225" s="14">
        <v>61.0</v>
      </c>
      <c r="AZ225" s="26"/>
      <c r="BA225" s="26"/>
      <c r="BB225" s="26"/>
      <c r="BC225" s="26"/>
    </row>
    <row r="226">
      <c r="A226" s="27">
        <f>HYPERLINK("https://arcprize.org/play?task=8eb1be9a", 215)</f>
        <v>215</v>
      </c>
      <c r="B226" s="14">
        <v>42.0</v>
      </c>
      <c r="C226" s="14">
        <v>86.0</v>
      </c>
      <c r="D226" s="14">
        <v>45.0</v>
      </c>
      <c r="E226" s="14">
        <v>86.0</v>
      </c>
      <c r="F226" s="22">
        <v>42.0</v>
      </c>
      <c r="G226" s="14">
        <v>49.0</v>
      </c>
      <c r="H226" s="14">
        <v>49.0</v>
      </c>
      <c r="I226" s="14">
        <v>48.0</v>
      </c>
      <c r="J226" s="23">
        <v>48.0</v>
      </c>
      <c r="K226" s="14">
        <v>48.0</v>
      </c>
      <c r="L226" s="14">
        <v>52.0</v>
      </c>
      <c r="M226" s="22">
        <v>44.0</v>
      </c>
      <c r="N226" s="15"/>
      <c r="O226" s="15"/>
      <c r="P226" s="15"/>
      <c r="Q226" s="14">
        <v>86.0</v>
      </c>
      <c r="R226" s="24">
        <v>49.0</v>
      </c>
      <c r="S226" s="15"/>
      <c r="T226" s="14">
        <v>83.0</v>
      </c>
      <c r="U226" s="14">
        <v>86.0</v>
      </c>
      <c r="V226" s="29">
        <v>53.0</v>
      </c>
      <c r="W226" s="14">
        <v>44.0</v>
      </c>
      <c r="X226" s="14">
        <v>86.0</v>
      </c>
      <c r="Y226" s="14">
        <v>86.0</v>
      </c>
      <c r="Z226" s="25">
        <v>46.0</v>
      </c>
      <c r="AA226" s="25"/>
      <c r="AB226" s="25">
        <v>86.0</v>
      </c>
      <c r="AC226" s="14">
        <v>86.0</v>
      </c>
      <c r="AD226" s="14"/>
      <c r="AE226" s="14">
        <v>86.0</v>
      </c>
      <c r="AF226" s="14">
        <v>86.0</v>
      </c>
      <c r="AG226" s="14">
        <v>86.0</v>
      </c>
      <c r="AH226" s="14">
        <v>49.0</v>
      </c>
      <c r="AI226" s="14">
        <v>62.0</v>
      </c>
      <c r="AJ226" s="14">
        <v>77.0</v>
      </c>
      <c r="AK226" s="14">
        <v>49.0</v>
      </c>
      <c r="AL226" s="14">
        <v>86.0</v>
      </c>
      <c r="AM226" s="14">
        <v>49.0</v>
      </c>
      <c r="AN226" s="14">
        <v>86.0</v>
      </c>
      <c r="AO226" s="14">
        <v>45.0</v>
      </c>
      <c r="AP226" s="14">
        <v>49.0</v>
      </c>
      <c r="AQ226" s="14">
        <v>55.0</v>
      </c>
      <c r="AR226" s="14"/>
      <c r="AS226" s="14">
        <v>54.0</v>
      </c>
      <c r="AT226" s="14">
        <v>86.0</v>
      </c>
      <c r="AU226" s="14">
        <v>46.0</v>
      </c>
      <c r="AV226" s="14">
        <v>42.0</v>
      </c>
      <c r="AW226" s="14">
        <v>44.0</v>
      </c>
      <c r="AX226" s="14">
        <v>48.0</v>
      </c>
      <c r="AY226" s="14">
        <v>42.0</v>
      </c>
      <c r="AZ226" s="26"/>
      <c r="BA226" s="26"/>
      <c r="BB226" s="26"/>
      <c r="BC226" s="26"/>
    </row>
    <row r="227">
      <c r="A227" s="27">
        <f>HYPERLINK("https://arcprize.org/play?task=8efcae92", 216)</f>
        <v>216</v>
      </c>
      <c r="B227" s="14">
        <v>113.0</v>
      </c>
      <c r="C227" s="14">
        <v>274.0</v>
      </c>
      <c r="D227" s="14">
        <v>113.0</v>
      </c>
      <c r="E227" s="14">
        <v>305.0</v>
      </c>
      <c r="F227" s="22">
        <v>111.0</v>
      </c>
      <c r="G227" s="14">
        <v>324.0</v>
      </c>
      <c r="H227" s="15"/>
      <c r="I227" s="15"/>
      <c r="J227" s="23">
        <v>133.0</v>
      </c>
      <c r="K227" s="14">
        <v>150.0</v>
      </c>
      <c r="L227" s="14">
        <v>145.0</v>
      </c>
      <c r="M227" s="22">
        <v>133.0</v>
      </c>
      <c r="N227" s="15"/>
      <c r="O227" s="15"/>
      <c r="P227" s="15"/>
      <c r="Q227" s="14">
        <v>255.0</v>
      </c>
      <c r="R227" s="24">
        <v>130.0</v>
      </c>
      <c r="S227" s="15"/>
      <c r="T227" s="15"/>
      <c r="U227" s="15"/>
      <c r="V227" s="31"/>
      <c r="W227" s="14">
        <v>122.0</v>
      </c>
      <c r="X227" s="14"/>
      <c r="Y227" s="14">
        <v>400.0</v>
      </c>
      <c r="Z227" s="25">
        <v>130.0</v>
      </c>
      <c r="AA227" s="25"/>
      <c r="AB227" s="25">
        <v>291.0</v>
      </c>
      <c r="AC227" s="14">
        <v>305.0</v>
      </c>
      <c r="AD227" s="14"/>
      <c r="AE227" s="14">
        <v>240.0</v>
      </c>
      <c r="AF227" s="14">
        <v>427.0</v>
      </c>
      <c r="AG227" s="14"/>
      <c r="AH227" s="14">
        <v>216.0</v>
      </c>
      <c r="AI227" s="14">
        <v>164.0</v>
      </c>
      <c r="AJ227" s="14">
        <v>317.0</v>
      </c>
      <c r="AK227" s="14"/>
      <c r="AL227" s="14">
        <v>301.0</v>
      </c>
      <c r="AM227" s="14">
        <v>226.0</v>
      </c>
      <c r="AN227" s="14">
        <v>305.0</v>
      </c>
      <c r="AO227" s="14">
        <v>137.0</v>
      </c>
      <c r="AP227" s="14">
        <v>195.0</v>
      </c>
      <c r="AQ227" s="14">
        <v>199.0</v>
      </c>
      <c r="AR227" s="14"/>
      <c r="AS227" s="14">
        <v>144.0</v>
      </c>
      <c r="AT227" s="14">
        <v>296.0</v>
      </c>
      <c r="AU227" s="14">
        <v>121.0</v>
      </c>
      <c r="AV227" s="14">
        <v>131.0</v>
      </c>
      <c r="AW227" s="14">
        <v>148.0</v>
      </c>
      <c r="AX227" s="14">
        <v>131.0</v>
      </c>
      <c r="AY227" s="14">
        <v>111.0</v>
      </c>
      <c r="AZ227" s="26"/>
      <c r="BA227" s="26"/>
      <c r="BB227" s="26"/>
      <c r="BC227" s="26"/>
    </row>
    <row r="228">
      <c r="A228" s="27">
        <f>HYPERLINK("https://arcprize.org/play?task=8f2ea7aa", 217)</f>
        <v>217</v>
      </c>
      <c r="B228" s="14">
        <v>95.0</v>
      </c>
      <c r="C228" s="14">
        <v>189.0</v>
      </c>
      <c r="D228" s="14">
        <v>95.0</v>
      </c>
      <c r="E228" s="14">
        <v>189.0</v>
      </c>
      <c r="F228" s="22">
        <v>95.0</v>
      </c>
      <c r="G228" s="14">
        <v>148.0</v>
      </c>
      <c r="H228" s="15"/>
      <c r="I228" s="15"/>
      <c r="J228" s="23">
        <v>99.0</v>
      </c>
      <c r="K228" s="14">
        <v>101.0</v>
      </c>
      <c r="L228" s="14">
        <v>108.0</v>
      </c>
      <c r="M228" s="22">
        <v>99.0</v>
      </c>
      <c r="N228" s="15"/>
      <c r="O228" s="15"/>
      <c r="P228" s="15"/>
      <c r="Q228" s="14">
        <v>189.0</v>
      </c>
      <c r="R228" s="24">
        <v>107.0</v>
      </c>
      <c r="S228" s="14">
        <v>161.0</v>
      </c>
      <c r="T228" s="15"/>
      <c r="U228" s="14">
        <v>189.0</v>
      </c>
      <c r="V228" s="29">
        <v>107.0</v>
      </c>
      <c r="W228" s="14">
        <v>101.0</v>
      </c>
      <c r="X228" s="14">
        <v>189.0</v>
      </c>
      <c r="Y228" s="14">
        <v>189.0</v>
      </c>
      <c r="Z228" s="25">
        <v>109.0</v>
      </c>
      <c r="AA228" s="25"/>
      <c r="AB228" s="25">
        <v>131.0</v>
      </c>
      <c r="AC228" s="14">
        <v>189.0</v>
      </c>
      <c r="AD228" s="14"/>
      <c r="AE228" s="14">
        <v>189.0</v>
      </c>
      <c r="AF228" s="14">
        <v>189.0</v>
      </c>
      <c r="AG228" s="14">
        <v>189.0</v>
      </c>
      <c r="AH228" s="14">
        <v>107.0</v>
      </c>
      <c r="AI228" s="14">
        <v>108.0</v>
      </c>
      <c r="AJ228" s="14">
        <v>127.0</v>
      </c>
      <c r="AK228" s="14"/>
      <c r="AL228" s="14">
        <v>146.0</v>
      </c>
      <c r="AM228" s="14">
        <v>133.0</v>
      </c>
      <c r="AN228" s="14">
        <v>189.0</v>
      </c>
      <c r="AO228" s="14">
        <v>97.0</v>
      </c>
      <c r="AP228" s="14">
        <v>134.0</v>
      </c>
      <c r="AQ228" s="14">
        <v>107.0</v>
      </c>
      <c r="AR228" s="14"/>
      <c r="AS228" s="14">
        <v>105.0</v>
      </c>
      <c r="AT228" s="14">
        <v>189.0</v>
      </c>
      <c r="AU228" s="14">
        <v>99.0</v>
      </c>
      <c r="AV228" s="14">
        <v>101.0</v>
      </c>
      <c r="AW228" s="14">
        <v>97.0</v>
      </c>
      <c r="AX228" s="14">
        <v>102.0</v>
      </c>
      <c r="AY228" s="14">
        <v>95.0</v>
      </c>
      <c r="AZ228" s="26"/>
      <c r="BA228" s="26"/>
      <c r="BB228" s="26"/>
      <c r="BC228" s="26"/>
    </row>
    <row r="229">
      <c r="A229" s="27">
        <f>HYPERLINK("https://arcprize.org/play?task=90c28cc7", 218)</f>
        <v>218</v>
      </c>
      <c r="B229" s="14">
        <v>56.0</v>
      </c>
      <c r="C229" s="14">
        <v>289.0</v>
      </c>
      <c r="D229" s="14">
        <v>56.0</v>
      </c>
      <c r="E229" s="14">
        <v>277.0</v>
      </c>
      <c r="F229" s="22">
        <v>56.0</v>
      </c>
      <c r="G229" s="14">
        <v>205.0</v>
      </c>
      <c r="H229" s="14">
        <v>65.0</v>
      </c>
      <c r="I229" s="15"/>
      <c r="J229" s="23">
        <v>64.0</v>
      </c>
      <c r="K229" s="14">
        <v>62.0</v>
      </c>
      <c r="L229" s="14">
        <v>81.0</v>
      </c>
      <c r="M229" s="22">
        <v>61.0</v>
      </c>
      <c r="N229" s="15"/>
      <c r="O229" s="15"/>
      <c r="P229" s="15"/>
      <c r="Q229" s="14">
        <v>221.0</v>
      </c>
      <c r="R229" s="24">
        <v>70.0</v>
      </c>
      <c r="S229" s="15"/>
      <c r="T229" s="15"/>
      <c r="U229" s="15"/>
      <c r="V229" s="29">
        <v>91.0</v>
      </c>
      <c r="W229" s="14">
        <v>58.0</v>
      </c>
      <c r="X229" s="14"/>
      <c r="Y229" s="14">
        <v>266.0</v>
      </c>
      <c r="Z229" s="25">
        <v>62.0</v>
      </c>
      <c r="AA229" s="25"/>
      <c r="AB229" s="25">
        <v>272.0</v>
      </c>
      <c r="AC229" s="14">
        <v>277.0</v>
      </c>
      <c r="AD229" s="14"/>
      <c r="AE229" s="14">
        <v>94.0</v>
      </c>
      <c r="AF229" s="14">
        <v>261.0</v>
      </c>
      <c r="AG229" s="14"/>
      <c r="AH229" s="14">
        <v>86.0</v>
      </c>
      <c r="AI229" s="14">
        <v>128.0</v>
      </c>
      <c r="AJ229" s="14">
        <v>147.0</v>
      </c>
      <c r="AK229" s="14">
        <v>74.0</v>
      </c>
      <c r="AL229" s="14">
        <v>85.0</v>
      </c>
      <c r="AM229" s="14">
        <v>70.0</v>
      </c>
      <c r="AN229" s="14">
        <v>279.0</v>
      </c>
      <c r="AO229" s="14">
        <v>63.0</v>
      </c>
      <c r="AP229" s="14">
        <v>71.0</v>
      </c>
      <c r="AQ229" s="14">
        <v>76.0</v>
      </c>
      <c r="AR229" s="14"/>
      <c r="AS229" s="14">
        <v>81.0</v>
      </c>
      <c r="AT229" s="14">
        <v>237.0</v>
      </c>
      <c r="AU229" s="14">
        <v>67.0</v>
      </c>
      <c r="AV229" s="14">
        <v>63.0</v>
      </c>
      <c r="AW229" s="14">
        <v>63.0</v>
      </c>
      <c r="AX229" s="14">
        <v>63.0</v>
      </c>
      <c r="AY229" s="14">
        <v>56.0</v>
      </c>
      <c r="AZ229" s="26"/>
      <c r="BA229" s="26"/>
      <c r="BB229" s="26"/>
      <c r="BC229" s="26"/>
    </row>
    <row r="230">
      <c r="A230" s="27">
        <f>HYPERLINK("https://arcprize.org/play?task=90f3ed37", 219)</f>
        <v>219</v>
      </c>
      <c r="B230" s="14">
        <v>242.0</v>
      </c>
      <c r="C230" s="14">
        <v>904.0</v>
      </c>
      <c r="D230" s="14">
        <v>242.0</v>
      </c>
      <c r="E230" s="14">
        <v>975.0</v>
      </c>
      <c r="F230" s="22">
        <v>241.0</v>
      </c>
      <c r="G230" s="14">
        <v>1086.0</v>
      </c>
      <c r="H230" s="15"/>
      <c r="I230" s="15"/>
      <c r="J230" s="23">
        <v>241.0</v>
      </c>
      <c r="K230" s="14">
        <v>272.0</v>
      </c>
      <c r="L230" s="14">
        <v>353.0</v>
      </c>
      <c r="M230" s="22">
        <v>283.0</v>
      </c>
      <c r="N230" s="15"/>
      <c r="O230" s="15"/>
      <c r="P230" s="15"/>
      <c r="Q230" s="15"/>
      <c r="R230" s="24">
        <v>349.0</v>
      </c>
      <c r="S230" s="15"/>
      <c r="T230" s="14">
        <v>491.0</v>
      </c>
      <c r="U230" s="15"/>
      <c r="V230" s="31"/>
      <c r="W230" s="14"/>
      <c r="X230" s="14"/>
      <c r="Y230" s="14">
        <v>901.0</v>
      </c>
      <c r="Z230" s="25">
        <v>304.0</v>
      </c>
      <c r="AA230" s="25"/>
      <c r="AB230" s="25">
        <v>488.0</v>
      </c>
      <c r="AC230" s="14">
        <v>699.0</v>
      </c>
      <c r="AD230" s="14"/>
      <c r="AE230" s="14">
        <v>353.0</v>
      </c>
      <c r="AF230" s="14"/>
      <c r="AG230" s="14"/>
      <c r="AH230" s="14">
        <v>431.0</v>
      </c>
      <c r="AI230" s="14">
        <v>298.0</v>
      </c>
      <c r="AJ230" s="14">
        <v>353.0</v>
      </c>
      <c r="AK230" s="14"/>
      <c r="AL230" s="14">
        <v>352.0</v>
      </c>
      <c r="AM230" s="14">
        <v>298.0</v>
      </c>
      <c r="AN230" s="14">
        <v>850.0</v>
      </c>
      <c r="AO230" s="14">
        <v>302.0</v>
      </c>
      <c r="AP230" s="14">
        <v>329.0</v>
      </c>
      <c r="AQ230" s="14">
        <v>340.0</v>
      </c>
      <c r="AR230" s="14"/>
      <c r="AS230" s="14">
        <v>306.0</v>
      </c>
      <c r="AT230" s="14">
        <v>301.0</v>
      </c>
      <c r="AU230" s="14">
        <v>266.0</v>
      </c>
      <c r="AV230" s="14">
        <v>248.0</v>
      </c>
      <c r="AW230" s="14">
        <v>320.0</v>
      </c>
      <c r="AX230" s="14">
        <v>297.0</v>
      </c>
      <c r="AY230" s="14">
        <v>233.0</v>
      </c>
      <c r="AZ230" s="26"/>
      <c r="BA230" s="26"/>
      <c r="BB230" s="26"/>
      <c r="BC230" s="26"/>
    </row>
    <row r="231">
      <c r="A231" s="27">
        <f>HYPERLINK("https://arcprize.org/play?task=913fb3ed", 220)</f>
        <v>220</v>
      </c>
      <c r="B231" s="14">
        <v>89.0</v>
      </c>
      <c r="C231" s="14">
        <v>198.0</v>
      </c>
      <c r="D231" s="14">
        <v>88.0</v>
      </c>
      <c r="E231" s="14">
        <v>198.0</v>
      </c>
      <c r="F231" s="22">
        <v>82.0</v>
      </c>
      <c r="G231" s="14">
        <v>234.0</v>
      </c>
      <c r="H231" s="14"/>
      <c r="I231" s="14"/>
      <c r="J231" s="23">
        <v>93.0</v>
      </c>
      <c r="K231" s="14">
        <v>110.0</v>
      </c>
      <c r="L231" s="14">
        <v>101.0</v>
      </c>
      <c r="M231" s="22">
        <v>87.0</v>
      </c>
      <c r="N231" s="14"/>
      <c r="O231" s="14"/>
      <c r="P231" s="14"/>
      <c r="Q231" s="14">
        <v>242.0</v>
      </c>
      <c r="R231" s="24">
        <v>123.0</v>
      </c>
      <c r="S231" s="14">
        <v>175.0</v>
      </c>
      <c r="T231" s="14"/>
      <c r="U231" s="14">
        <v>246.0</v>
      </c>
      <c r="V231" s="29">
        <v>107.0</v>
      </c>
      <c r="W231" s="29">
        <v>89.0</v>
      </c>
      <c r="X231" s="14">
        <v>235.0</v>
      </c>
      <c r="Y231" s="14">
        <v>242.0</v>
      </c>
      <c r="Z231" s="25">
        <v>101.0</v>
      </c>
      <c r="AA231" s="25"/>
      <c r="AB231" s="25">
        <v>210.0</v>
      </c>
      <c r="AC231" s="14">
        <v>220.0</v>
      </c>
      <c r="AD231" s="14"/>
      <c r="AE231" s="14">
        <v>220.0</v>
      </c>
      <c r="AF231" s="14">
        <v>235.0</v>
      </c>
      <c r="AG231" s="14">
        <v>228.0</v>
      </c>
      <c r="AH231" s="14">
        <v>117.0</v>
      </c>
      <c r="AI231" s="14">
        <v>149.0</v>
      </c>
      <c r="AJ231" s="14">
        <v>174.0</v>
      </c>
      <c r="AK231" s="14"/>
      <c r="AL231" s="14">
        <v>190.0</v>
      </c>
      <c r="AM231" s="14">
        <v>109.0</v>
      </c>
      <c r="AN231" s="14">
        <v>220.0</v>
      </c>
      <c r="AO231" s="14">
        <v>110.0</v>
      </c>
      <c r="AP231" s="14">
        <v>149.0</v>
      </c>
      <c r="AQ231" s="14">
        <v>147.0</v>
      </c>
      <c r="AR231" s="14"/>
      <c r="AS231" s="14">
        <v>139.0</v>
      </c>
      <c r="AT231" s="14">
        <v>184.0</v>
      </c>
      <c r="AU231" s="14">
        <v>97.0</v>
      </c>
      <c r="AV231" s="14">
        <v>109.0</v>
      </c>
      <c r="AW231" s="14">
        <v>94.0</v>
      </c>
      <c r="AX231" s="14">
        <v>113.0</v>
      </c>
      <c r="AY231" s="14">
        <v>82.0</v>
      </c>
      <c r="AZ231" s="26"/>
      <c r="BA231" s="26"/>
      <c r="BB231" s="26"/>
      <c r="BC231" s="26"/>
    </row>
    <row r="232">
      <c r="A232" s="27">
        <f>HYPERLINK("https://arcprize.org/play?task=91413438", 221)</f>
        <v>221</v>
      </c>
      <c r="B232" s="14">
        <v>86.0</v>
      </c>
      <c r="C232" s="14">
        <v>178.0</v>
      </c>
      <c r="D232" s="14">
        <v>86.0</v>
      </c>
      <c r="E232" s="14">
        <v>182.0</v>
      </c>
      <c r="F232" s="22">
        <v>87.0</v>
      </c>
      <c r="G232" s="14">
        <v>100.0</v>
      </c>
      <c r="H232" s="15"/>
      <c r="I232" s="15"/>
      <c r="J232" s="23">
        <v>100.0</v>
      </c>
      <c r="K232" s="14">
        <v>89.0</v>
      </c>
      <c r="L232" s="14">
        <v>105.0</v>
      </c>
      <c r="M232" s="22">
        <v>87.0</v>
      </c>
      <c r="N232" s="15"/>
      <c r="O232" s="15"/>
      <c r="P232" s="15"/>
      <c r="Q232" s="14">
        <v>143.0</v>
      </c>
      <c r="R232" s="24">
        <v>102.0</v>
      </c>
      <c r="S232" s="14">
        <v>109.0</v>
      </c>
      <c r="T232" s="15"/>
      <c r="U232" s="15"/>
      <c r="V232" s="31"/>
      <c r="W232" s="14">
        <v>92.0</v>
      </c>
      <c r="X232" s="14"/>
      <c r="Y232" s="14">
        <v>243.0</v>
      </c>
      <c r="Z232" s="25">
        <v>90.0</v>
      </c>
      <c r="AA232" s="25"/>
      <c r="AB232" s="25">
        <v>190.0</v>
      </c>
      <c r="AC232" s="14">
        <v>134.0</v>
      </c>
      <c r="AD232" s="14"/>
      <c r="AE232" s="14">
        <v>137.0</v>
      </c>
      <c r="AF232" s="14">
        <v>179.0</v>
      </c>
      <c r="AG232" s="14"/>
      <c r="AH232" s="14">
        <v>101.0</v>
      </c>
      <c r="AI232" s="14">
        <v>106.0</v>
      </c>
      <c r="AJ232" s="14">
        <v>168.0</v>
      </c>
      <c r="AK232" s="14"/>
      <c r="AL232" s="14">
        <v>134.0</v>
      </c>
      <c r="AM232" s="14">
        <v>118.0</v>
      </c>
      <c r="AN232" s="14">
        <v>182.0</v>
      </c>
      <c r="AO232" s="14">
        <v>87.0</v>
      </c>
      <c r="AP232" s="14">
        <v>107.0</v>
      </c>
      <c r="AQ232" s="14">
        <v>101.0</v>
      </c>
      <c r="AR232" s="14"/>
      <c r="AS232" s="14">
        <v>101.0</v>
      </c>
      <c r="AT232" s="14">
        <v>176.0</v>
      </c>
      <c r="AU232" s="14">
        <v>98.0</v>
      </c>
      <c r="AV232" s="14">
        <v>89.0</v>
      </c>
      <c r="AW232" s="14">
        <v>89.0</v>
      </c>
      <c r="AX232" s="14">
        <v>89.0</v>
      </c>
      <c r="AY232" s="14">
        <v>86.0</v>
      </c>
      <c r="AZ232" s="26"/>
      <c r="BA232" s="26"/>
      <c r="BB232" s="26"/>
      <c r="BC232" s="26"/>
    </row>
    <row r="233">
      <c r="A233" s="27">
        <f>HYPERLINK("https://arcprize.org/play?task=91714a58", 222)</f>
        <v>222</v>
      </c>
      <c r="B233" s="14">
        <v>102.0</v>
      </c>
      <c r="C233" s="14">
        <v>248.0</v>
      </c>
      <c r="D233" s="14">
        <v>93.0</v>
      </c>
      <c r="E233" s="14">
        <v>232.0</v>
      </c>
      <c r="F233" s="22">
        <v>107.0</v>
      </c>
      <c r="G233" s="14">
        <v>252.0</v>
      </c>
      <c r="H233" s="15"/>
      <c r="I233" s="15"/>
      <c r="J233" s="23">
        <v>119.0</v>
      </c>
      <c r="K233" s="14">
        <v>128.0</v>
      </c>
      <c r="L233" s="14">
        <v>194.0</v>
      </c>
      <c r="M233" s="22">
        <v>120.0</v>
      </c>
      <c r="N233" s="15"/>
      <c r="O233" s="15"/>
      <c r="P233" s="15"/>
      <c r="Q233" s="14">
        <v>270.0</v>
      </c>
      <c r="R233" s="24">
        <v>119.0</v>
      </c>
      <c r="S233" s="15"/>
      <c r="T233" s="15"/>
      <c r="U233" s="14">
        <v>499.0</v>
      </c>
      <c r="V233" s="31"/>
      <c r="W233" s="15"/>
      <c r="X233" s="14"/>
      <c r="Y233" s="14">
        <v>263.0</v>
      </c>
      <c r="Z233" s="25">
        <v>122.0</v>
      </c>
      <c r="AA233" s="25"/>
      <c r="AB233" s="25">
        <v>258.0</v>
      </c>
      <c r="AC233" s="14">
        <v>232.0</v>
      </c>
      <c r="AD233" s="14"/>
      <c r="AE233" s="14">
        <v>232.0</v>
      </c>
      <c r="AF233" s="14">
        <v>292.0</v>
      </c>
      <c r="AG233" s="14"/>
      <c r="AH233" s="14">
        <v>228.0</v>
      </c>
      <c r="AI233" s="14">
        <v>215.0</v>
      </c>
      <c r="AJ233" s="14">
        <v>238.0</v>
      </c>
      <c r="AK233" s="14"/>
      <c r="AL233" s="14">
        <v>232.0</v>
      </c>
      <c r="AM233" s="14">
        <v>194.0</v>
      </c>
      <c r="AN233" s="14">
        <v>232.0</v>
      </c>
      <c r="AO233" s="14">
        <v>137.0</v>
      </c>
      <c r="AP233" s="14">
        <v>216.0</v>
      </c>
      <c r="AQ233" s="14">
        <v>211.0</v>
      </c>
      <c r="AR233" s="14"/>
      <c r="AS233" s="14">
        <v>117.0</v>
      </c>
      <c r="AT233" s="14">
        <v>232.0</v>
      </c>
      <c r="AU233" s="14">
        <v>109.0</v>
      </c>
      <c r="AV233" s="14">
        <v>117.0</v>
      </c>
      <c r="AW233" s="14">
        <v>141.0</v>
      </c>
      <c r="AX233" s="14">
        <v>186.0</v>
      </c>
      <c r="AY233" s="14">
        <v>93.0</v>
      </c>
      <c r="AZ233" s="26"/>
      <c r="BA233" s="26"/>
      <c r="BB233" s="26"/>
      <c r="BC233" s="26"/>
    </row>
    <row r="234">
      <c r="A234" s="27">
        <f>HYPERLINK("https://arcprize.org/play?task=9172f3a0", 223)</f>
        <v>223</v>
      </c>
      <c r="B234" s="14">
        <v>46.0</v>
      </c>
      <c r="C234" s="14">
        <v>62.0</v>
      </c>
      <c r="D234" s="14">
        <v>46.0</v>
      </c>
      <c r="E234" s="14">
        <v>79.0</v>
      </c>
      <c r="F234" s="22">
        <v>51.0</v>
      </c>
      <c r="G234" s="14">
        <v>64.0</v>
      </c>
      <c r="H234" s="14">
        <v>55.0</v>
      </c>
      <c r="I234" s="14">
        <v>59.0</v>
      </c>
      <c r="J234" s="23">
        <v>52.0</v>
      </c>
      <c r="K234" s="14">
        <v>50.0</v>
      </c>
      <c r="L234" s="14">
        <v>56.0</v>
      </c>
      <c r="M234" s="22">
        <v>52.0</v>
      </c>
      <c r="N234" s="14"/>
      <c r="O234" s="14"/>
      <c r="P234" s="14"/>
      <c r="Q234" s="14">
        <v>64.0</v>
      </c>
      <c r="R234" s="24">
        <v>52.0</v>
      </c>
      <c r="S234" s="14">
        <v>59.0</v>
      </c>
      <c r="T234" s="14">
        <v>70.0</v>
      </c>
      <c r="U234" s="14">
        <v>66.0</v>
      </c>
      <c r="V234" s="29">
        <v>59.0</v>
      </c>
      <c r="W234" s="14">
        <v>51.0</v>
      </c>
      <c r="X234" s="14">
        <v>66.0</v>
      </c>
      <c r="Y234" s="14">
        <v>73.0</v>
      </c>
      <c r="Z234" s="25">
        <v>50.0</v>
      </c>
      <c r="AA234" s="25"/>
      <c r="AB234" s="25">
        <v>60.0</v>
      </c>
      <c r="AC234" s="14">
        <v>67.0</v>
      </c>
      <c r="AD234" s="14"/>
      <c r="AE234" s="14">
        <v>56.0</v>
      </c>
      <c r="AF234" s="14">
        <v>94.0</v>
      </c>
      <c r="AG234" s="14">
        <v>55.0</v>
      </c>
      <c r="AH234" s="14">
        <v>55.0</v>
      </c>
      <c r="AI234" s="14">
        <v>55.0</v>
      </c>
      <c r="AJ234" s="14">
        <v>59.0</v>
      </c>
      <c r="AK234" s="14">
        <v>51.0</v>
      </c>
      <c r="AL234" s="14">
        <v>72.0</v>
      </c>
      <c r="AM234" s="14">
        <v>58.0</v>
      </c>
      <c r="AN234" s="14">
        <v>79.0</v>
      </c>
      <c r="AO234" s="14">
        <v>50.0</v>
      </c>
      <c r="AP234" s="14">
        <v>65.0</v>
      </c>
      <c r="AQ234" s="14">
        <v>53.0</v>
      </c>
      <c r="AR234" s="14"/>
      <c r="AS234" s="14">
        <v>53.0</v>
      </c>
      <c r="AT234" s="14">
        <v>62.0</v>
      </c>
      <c r="AU234" s="14">
        <v>53.0</v>
      </c>
      <c r="AV234" s="14">
        <v>46.0</v>
      </c>
      <c r="AW234" s="14">
        <v>50.0</v>
      </c>
      <c r="AX234" s="14">
        <v>52.0</v>
      </c>
      <c r="AY234" s="14">
        <v>46.0</v>
      </c>
      <c r="AZ234" s="26"/>
      <c r="BA234" s="26"/>
      <c r="BB234" s="26"/>
      <c r="BC234" s="26"/>
    </row>
    <row r="235">
      <c r="A235" s="27">
        <f>HYPERLINK("https://arcprize.org/play?task=928ad970", 224)</f>
        <v>224</v>
      </c>
      <c r="B235" s="14">
        <v>145.0</v>
      </c>
      <c r="C235" s="14">
        <v>272.0</v>
      </c>
      <c r="D235" s="14">
        <v>131.0</v>
      </c>
      <c r="E235" s="14">
        <v>248.0</v>
      </c>
      <c r="F235" s="22">
        <v>114.0</v>
      </c>
      <c r="G235" s="14">
        <v>268.0</v>
      </c>
      <c r="H235" s="14"/>
      <c r="I235" s="14"/>
      <c r="J235" s="23">
        <v>138.0</v>
      </c>
      <c r="K235" s="14">
        <v>183.0</v>
      </c>
      <c r="L235" s="14">
        <v>210.0</v>
      </c>
      <c r="M235" s="22">
        <v>182.0</v>
      </c>
      <c r="N235" s="14"/>
      <c r="O235" s="14"/>
      <c r="P235" s="14"/>
      <c r="Q235" s="14">
        <v>272.0</v>
      </c>
      <c r="R235" s="24">
        <v>177.0</v>
      </c>
      <c r="S235" s="14">
        <v>252.0</v>
      </c>
      <c r="T235" s="14"/>
      <c r="U235" s="14"/>
      <c r="V235" s="33"/>
      <c r="W235" s="14"/>
      <c r="X235" s="14"/>
      <c r="Y235" s="14">
        <v>272.0</v>
      </c>
      <c r="Z235" s="25">
        <v>188.0</v>
      </c>
      <c r="AA235" s="25"/>
      <c r="AB235" s="25">
        <v>268.0</v>
      </c>
      <c r="AC235" s="14">
        <v>248.0</v>
      </c>
      <c r="AD235" s="14"/>
      <c r="AE235" s="14">
        <v>248.0</v>
      </c>
      <c r="AF235" s="14">
        <v>268.0</v>
      </c>
      <c r="AG235" s="14"/>
      <c r="AH235" s="14">
        <v>217.0</v>
      </c>
      <c r="AI235" s="14">
        <v>225.0</v>
      </c>
      <c r="AJ235" s="14">
        <v>256.0</v>
      </c>
      <c r="AK235" s="14"/>
      <c r="AL235" s="14">
        <v>233.0</v>
      </c>
      <c r="AM235" s="14">
        <v>209.0</v>
      </c>
      <c r="AN235" s="14">
        <v>248.0</v>
      </c>
      <c r="AO235" s="14">
        <v>181.0</v>
      </c>
      <c r="AP235" s="14">
        <v>232.0</v>
      </c>
      <c r="AQ235" s="14">
        <v>217.0</v>
      </c>
      <c r="AR235" s="14"/>
      <c r="AS235" s="14">
        <v>208.0</v>
      </c>
      <c r="AT235" s="14">
        <v>230.0</v>
      </c>
      <c r="AU235" s="14">
        <v>145.0</v>
      </c>
      <c r="AV235" s="14">
        <v>185.0</v>
      </c>
      <c r="AW235" s="14">
        <v>187.0</v>
      </c>
      <c r="AX235" s="14">
        <v>201.0</v>
      </c>
      <c r="AY235" s="14">
        <v>114.0</v>
      </c>
      <c r="AZ235" s="26"/>
      <c r="BA235" s="26"/>
      <c r="BB235" s="26"/>
      <c r="BC235" s="26"/>
    </row>
    <row r="236">
      <c r="A236" s="27">
        <f>HYPERLINK("https://arcprize.org/play?task=93b581b8", 225)</f>
        <v>225</v>
      </c>
      <c r="B236" s="14">
        <v>125.0</v>
      </c>
      <c r="C236" s="14">
        <v>268.0</v>
      </c>
      <c r="D236" s="14">
        <v>126.0</v>
      </c>
      <c r="E236" s="14">
        <v>244.0</v>
      </c>
      <c r="F236" s="22">
        <v>127.0</v>
      </c>
      <c r="G236" s="14">
        <v>260.0</v>
      </c>
      <c r="H236" s="15"/>
      <c r="I236" s="15"/>
      <c r="J236" s="23">
        <v>129.0</v>
      </c>
      <c r="K236" s="14">
        <v>124.0</v>
      </c>
      <c r="L236" s="14">
        <v>194.0</v>
      </c>
      <c r="M236" s="22">
        <v>142.0</v>
      </c>
      <c r="N236" s="15"/>
      <c r="O236" s="15"/>
      <c r="P236" s="15"/>
      <c r="Q236" s="14">
        <v>271.0</v>
      </c>
      <c r="R236" s="24">
        <v>135.0</v>
      </c>
      <c r="S236" s="15"/>
      <c r="T236" s="15"/>
      <c r="U236" s="15"/>
      <c r="V236" s="31"/>
      <c r="W236" s="14">
        <v>138.0</v>
      </c>
      <c r="X236" s="14"/>
      <c r="Y236" s="14">
        <v>264.0</v>
      </c>
      <c r="Z236" s="25">
        <v>128.0</v>
      </c>
      <c r="AA236" s="25"/>
      <c r="AB236" s="25">
        <v>245.0</v>
      </c>
      <c r="AC236" s="14">
        <v>244.0</v>
      </c>
      <c r="AD236" s="14"/>
      <c r="AE236" s="14">
        <v>244.0</v>
      </c>
      <c r="AF236" s="14">
        <v>262.0</v>
      </c>
      <c r="AG236" s="14"/>
      <c r="AH236" s="14">
        <v>142.0</v>
      </c>
      <c r="AI236" s="14">
        <v>212.0</v>
      </c>
      <c r="AJ236" s="14">
        <v>258.0</v>
      </c>
      <c r="AK236" s="14"/>
      <c r="AL236" s="14">
        <v>244.0</v>
      </c>
      <c r="AM236" s="14">
        <v>159.0</v>
      </c>
      <c r="AN236" s="14">
        <v>244.0</v>
      </c>
      <c r="AO236" s="14">
        <v>123.0</v>
      </c>
      <c r="AP236" s="14">
        <v>180.0</v>
      </c>
      <c r="AQ236" s="14">
        <v>171.0</v>
      </c>
      <c r="AR236" s="14"/>
      <c r="AS236" s="14">
        <v>167.0</v>
      </c>
      <c r="AT236" s="14">
        <v>244.0</v>
      </c>
      <c r="AU236" s="14">
        <v>134.0</v>
      </c>
      <c r="AV236" s="14">
        <v>123.0</v>
      </c>
      <c r="AW236" s="14">
        <v>123.0</v>
      </c>
      <c r="AX236" s="14">
        <v>126.0</v>
      </c>
      <c r="AY236" s="14">
        <v>122.0</v>
      </c>
      <c r="AZ236" s="26"/>
      <c r="BA236" s="26"/>
      <c r="BB236" s="26"/>
      <c r="BC236" s="26"/>
    </row>
    <row r="237">
      <c r="A237" s="27">
        <f>HYPERLINK("https://arcprize.org/play?task=941d9a10", 226)</f>
        <v>226</v>
      </c>
      <c r="B237" s="14">
        <v>120.0</v>
      </c>
      <c r="C237" s="14">
        <v>248.0</v>
      </c>
      <c r="D237" s="14">
        <v>119.0</v>
      </c>
      <c r="E237" s="14">
        <v>231.0</v>
      </c>
      <c r="F237" s="22">
        <v>117.0</v>
      </c>
      <c r="G237" s="14">
        <v>243.0</v>
      </c>
      <c r="H237" s="15"/>
      <c r="I237" s="15"/>
      <c r="J237" s="23">
        <v>143.0</v>
      </c>
      <c r="K237" s="14">
        <v>152.0</v>
      </c>
      <c r="L237" s="14">
        <v>133.0</v>
      </c>
      <c r="M237" s="22">
        <v>133.0</v>
      </c>
      <c r="N237" s="15"/>
      <c r="O237" s="15"/>
      <c r="P237" s="15"/>
      <c r="Q237" s="14">
        <v>251.0</v>
      </c>
      <c r="R237" s="24">
        <v>160.0</v>
      </c>
      <c r="S237" s="15"/>
      <c r="T237" s="15"/>
      <c r="U237" s="14">
        <v>262.0</v>
      </c>
      <c r="V237" s="31"/>
      <c r="W237" s="14">
        <v>143.0</v>
      </c>
      <c r="X237" s="14">
        <v>250.0</v>
      </c>
      <c r="Y237" s="14">
        <v>248.0</v>
      </c>
      <c r="Z237" s="25">
        <v>162.0</v>
      </c>
      <c r="AA237" s="25"/>
      <c r="AB237" s="25">
        <v>250.0</v>
      </c>
      <c r="AC237" s="14">
        <v>231.0</v>
      </c>
      <c r="AD237" s="14"/>
      <c r="AE237" s="14">
        <v>231.0</v>
      </c>
      <c r="AF237" s="14">
        <v>250.0</v>
      </c>
      <c r="AG237" s="14">
        <v>263.0</v>
      </c>
      <c r="AH237" s="14">
        <v>177.0</v>
      </c>
      <c r="AI237" s="14">
        <v>190.0</v>
      </c>
      <c r="AJ237" s="14">
        <v>231.0</v>
      </c>
      <c r="AK237" s="14"/>
      <c r="AL237" s="14">
        <v>231.0</v>
      </c>
      <c r="AM237" s="14">
        <v>161.0</v>
      </c>
      <c r="AN237" s="14">
        <v>231.0</v>
      </c>
      <c r="AO237" s="14">
        <v>134.0</v>
      </c>
      <c r="AP237" s="14">
        <v>168.0</v>
      </c>
      <c r="AQ237" s="14">
        <v>190.0</v>
      </c>
      <c r="AR237" s="14"/>
      <c r="AS237" s="14">
        <v>147.0</v>
      </c>
      <c r="AT237" s="14">
        <v>231.0</v>
      </c>
      <c r="AU237" s="14">
        <v>139.0</v>
      </c>
      <c r="AV237" s="14">
        <v>137.0</v>
      </c>
      <c r="AW237" s="14">
        <v>132.0</v>
      </c>
      <c r="AX237" s="14">
        <v>150.0</v>
      </c>
      <c r="AY237" s="14">
        <v>117.0</v>
      </c>
      <c r="AZ237" s="26"/>
      <c r="BA237" s="26"/>
      <c r="BB237" s="26"/>
      <c r="BC237" s="26"/>
    </row>
    <row r="238">
      <c r="A238" s="27">
        <f>HYPERLINK("https://arcprize.org/play?task=94f9d214", 227)</f>
        <v>227</v>
      </c>
      <c r="B238" s="14">
        <v>52.0</v>
      </c>
      <c r="C238" s="14">
        <v>72.0</v>
      </c>
      <c r="D238" s="14">
        <v>52.0</v>
      </c>
      <c r="E238" s="14">
        <v>72.0</v>
      </c>
      <c r="F238" s="22">
        <v>52.0</v>
      </c>
      <c r="G238" s="14">
        <v>72.0</v>
      </c>
      <c r="H238" s="14">
        <v>57.0</v>
      </c>
      <c r="I238" s="14">
        <v>69.0</v>
      </c>
      <c r="J238" s="23">
        <v>58.0</v>
      </c>
      <c r="K238" s="14">
        <v>60.0</v>
      </c>
      <c r="L238" s="14">
        <v>61.0</v>
      </c>
      <c r="M238" s="22">
        <v>54.0</v>
      </c>
      <c r="N238" s="14"/>
      <c r="O238" s="14"/>
      <c r="P238" s="14"/>
      <c r="Q238" s="14">
        <v>68.0</v>
      </c>
      <c r="R238" s="24">
        <v>61.0</v>
      </c>
      <c r="S238" s="14"/>
      <c r="T238" s="14">
        <v>69.0</v>
      </c>
      <c r="U238" s="14">
        <v>74.0</v>
      </c>
      <c r="V238" s="29">
        <v>65.0</v>
      </c>
      <c r="W238" s="14">
        <v>58.0</v>
      </c>
      <c r="X238" s="14">
        <v>74.0</v>
      </c>
      <c r="Y238" s="14">
        <v>74.0</v>
      </c>
      <c r="Z238" s="25">
        <v>60.0</v>
      </c>
      <c r="AA238" s="25"/>
      <c r="AB238" s="25">
        <v>74.0</v>
      </c>
      <c r="AC238" s="14">
        <v>72.0</v>
      </c>
      <c r="AD238" s="14"/>
      <c r="AE238" s="14">
        <v>72.0</v>
      </c>
      <c r="AF238" s="14">
        <v>74.0</v>
      </c>
      <c r="AG238" s="14">
        <v>60.0</v>
      </c>
      <c r="AH238" s="14">
        <v>60.0</v>
      </c>
      <c r="AI238" s="14">
        <v>68.0</v>
      </c>
      <c r="AJ238" s="14">
        <v>72.0</v>
      </c>
      <c r="AK238" s="14">
        <v>60.0</v>
      </c>
      <c r="AL238" s="14">
        <v>72.0</v>
      </c>
      <c r="AM238" s="14">
        <v>62.0</v>
      </c>
      <c r="AN238" s="14">
        <v>72.0</v>
      </c>
      <c r="AO238" s="14">
        <v>55.0</v>
      </c>
      <c r="AP238" s="14">
        <v>72.0</v>
      </c>
      <c r="AQ238" s="14">
        <v>63.0</v>
      </c>
      <c r="AR238" s="14"/>
      <c r="AS238" s="14">
        <v>63.0</v>
      </c>
      <c r="AT238" s="14">
        <v>72.0</v>
      </c>
      <c r="AU238" s="14">
        <v>55.0</v>
      </c>
      <c r="AV238" s="14">
        <v>60.0</v>
      </c>
      <c r="AW238" s="14">
        <v>52.0</v>
      </c>
      <c r="AX238" s="14">
        <v>58.0</v>
      </c>
      <c r="AY238" s="14">
        <v>52.0</v>
      </c>
      <c r="AZ238" s="26"/>
      <c r="BA238" s="26"/>
      <c r="BB238" s="26"/>
      <c r="BC238" s="26"/>
    </row>
    <row r="239">
      <c r="A239" s="27">
        <f>HYPERLINK("https://arcprize.org/play?task=952a094c", 228)</f>
        <v>228</v>
      </c>
      <c r="B239" s="14">
        <v>116.0</v>
      </c>
      <c r="C239" s="14">
        <v>272.0</v>
      </c>
      <c r="D239" s="14">
        <v>116.0</v>
      </c>
      <c r="E239" s="14">
        <v>244.0</v>
      </c>
      <c r="F239" s="22">
        <v>116.0</v>
      </c>
      <c r="G239" s="14">
        <v>263.0</v>
      </c>
      <c r="H239" s="15"/>
      <c r="I239" s="15"/>
      <c r="J239" s="23">
        <v>119.0</v>
      </c>
      <c r="K239" s="14">
        <v>146.0</v>
      </c>
      <c r="L239" s="14">
        <v>209.0</v>
      </c>
      <c r="M239" s="22">
        <v>177.0</v>
      </c>
      <c r="N239" s="15"/>
      <c r="O239" s="15"/>
      <c r="P239" s="15"/>
      <c r="Q239" s="14">
        <v>271.0</v>
      </c>
      <c r="R239" s="24">
        <v>132.0</v>
      </c>
      <c r="S239" s="15"/>
      <c r="T239" s="14">
        <v>254.0</v>
      </c>
      <c r="U239" s="14">
        <v>301.0</v>
      </c>
      <c r="V239" s="31"/>
      <c r="W239" s="14">
        <v>122.0</v>
      </c>
      <c r="X239" s="14">
        <v>263.0</v>
      </c>
      <c r="Y239" s="14">
        <v>266.0</v>
      </c>
      <c r="Z239" s="25">
        <v>123.0</v>
      </c>
      <c r="AA239" s="25"/>
      <c r="AB239" s="25">
        <v>226.0</v>
      </c>
      <c r="AC239" s="14">
        <v>244.0</v>
      </c>
      <c r="AD239" s="14"/>
      <c r="AE239" s="14">
        <v>244.0</v>
      </c>
      <c r="AF239" s="14">
        <v>263.0</v>
      </c>
      <c r="AG239" s="14">
        <v>187.0</v>
      </c>
      <c r="AH239" s="14">
        <v>191.0</v>
      </c>
      <c r="AI239" s="14">
        <v>190.0</v>
      </c>
      <c r="AJ239" s="14">
        <v>223.0</v>
      </c>
      <c r="AK239" s="14"/>
      <c r="AL239" s="14">
        <v>231.0</v>
      </c>
      <c r="AM239" s="14">
        <v>171.0</v>
      </c>
      <c r="AN239" s="14">
        <v>244.0</v>
      </c>
      <c r="AO239" s="14">
        <v>121.0</v>
      </c>
      <c r="AP239" s="14">
        <v>201.0</v>
      </c>
      <c r="AQ239" s="14">
        <v>197.0</v>
      </c>
      <c r="AR239" s="14"/>
      <c r="AS239" s="14">
        <v>162.0</v>
      </c>
      <c r="AT239" s="14">
        <v>244.0</v>
      </c>
      <c r="AU239" s="14">
        <v>130.0</v>
      </c>
      <c r="AV239" s="14">
        <v>136.0</v>
      </c>
      <c r="AW239" s="14">
        <v>153.0</v>
      </c>
      <c r="AX239" s="14">
        <v>130.0</v>
      </c>
      <c r="AY239" s="14">
        <v>114.0</v>
      </c>
      <c r="AZ239" s="26"/>
      <c r="BA239" s="26"/>
      <c r="BB239" s="26"/>
      <c r="BC239" s="26"/>
    </row>
    <row r="240">
      <c r="A240" s="27">
        <f>HYPERLINK("https://arcprize.org/play?task=9565186b", 229)</f>
        <v>229</v>
      </c>
      <c r="B240" s="14">
        <v>73.0</v>
      </c>
      <c r="C240" s="14">
        <v>96.0</v>
      </c>
      <c r="D240" s="14">
        <v>73.0</v>
      </c>
      <c r="E240" s="14">
        <v>96.0</v>
      </c>
      <c r="F240" s="22">
        <v>73.0</v>
      </c>
      <c r="G240" s="14">
        <v>79.0</v>
      </c>
      <c r="H240" s="14"/>
      <c r="I240" s="14">
        <v>83.0</v>
      </c>
      <c r="J240" s="23">
        <v>73.0</v>
      </c>
      <c r="K240" s="14">
        <v>74.0</v>
      </c>
      <c r="L240" s="14">
        <v>74.0</v>
      </c>
      <c r="M240" s="22">
        <v>73.0</v>
      </c>
      <c r="N240" s="15"/>
      <c r="O240" s="15"/>
      <c r="P240" s="15"/>
      <c r="Q240" s="15">
        <v>83.0</v>
      </c>
      <c r="R240" s="24">
        <v>74.0</v>
      </c>
      <c r="S240" s="14">
        <v>74.0</v>
      </c>
      <c r="T240" s="14">
        <v>82.0</v>
      </c>
      <c r="U240" s="14">
        <v>144.0</v>
      </c>
      <c r="V240" s="29">
        <v>74.0</v>
      </c>
      <c r="W240" s="14">
        <v>73.0</v>
      </c>
      <c r="X240" s="14">
        <v>144.0</v>
      </c>
      <c r="Y240" s="14">
        <v>142.0</v>
      </c>
      <c r="Z240" s="25">
        <v>73.0</v>
      </c>
      <c r="AA240" s="25"/>
      <c r="AB240" s="25">
        <v>85.0</v>
      </c>
      <c r="AC240" s="14">
        <v>96.0</v>
      </c>
      <c r="AD240" s="14"/>
      <c r="AE240" s="14">
        <v>96.0</v>
      </c>
      <c r="AF240" s="14">
        <v>144.0</v>
      </c>
      <c r="AG240" s="14">
        <v>144.0</v>
      </c>
      <c r="AH240" s="14">
        <v>74.0</v>
      </c>
      <c r="AI240" s="14">
        <v>74.0</v>
      </c>
      <c r="AJ240" s="14">
        <v>83.0</v>
      </c>
      <c r="AK240" s="14"/>
      <c r="AL240" s="14">
        <v>96.0</v>
      </c>
      <c r="AM240" s="14">
        <v>96.0</v>
      </c>
      <c r="AN240" s="14">
        <v>96.0</v>
      </c>
      <c r="AO240" s="14">
        <v>73.0</v>
      </c>
      <c r="AP240" s="14">
        <v>74.0</v>
      </c>
      <c r="AQ240" s="14">
        <v>79.0</v>
      </c>
      <c r="AR240" s="14"/>
      <c r="AS240" s="14">
        <v>74.0</v>
      </c>
      <c r="AT240" s="14">
        <v>96.0</v>
      </c>
      <c r="AU240" s="14">
        <v>73.0</v>
      </c>
      <c r="AV240" s="14">
        <v>73.0</v>
      </c>
      <c r="AW240" s="14">
        <v>73.0</v>
      </c>
      <c r="AX240" s="14">
        <v>74.0</v>
      </c>
      <c r="AY240" s="14">
        <v>73.0</v>
      </c>
      <c r="AZ240" s="26"/>
      <c r="BA240" s="26"/>
      <c r="BB240" s="26"/>
      <c r="BC240" s="26"/>
    </row>
    <row r="241">
      <c r="A241" s="27">
        <f>HYPERLINK("https://arcprize.org/play?task=95990924", 230)</f>
        <v>230</v>
      </c>
      <c r="B241" s="14">
        <v>102.0</v>
      </c>
      <c r="C241" s="14">
        <v>230.0</v>
      </c>
      <c r="D241" s="14">
        <v>110.0</v>
      </c>
      <c r="E241" s="14">
        <v>184.0</v>
      </c>
      <c r="F241" s="22">
        <v>95.0</v>
      </c>
      <c r="G241" s="14">
        <v>214.0</v>
      </c>
      <c r="H241" s="14"/>
      <c r="I241" s="15"/>
      <c r="J241" s="23">
        <v>111.0</v>
      </c>
      <c r="K241" s="14">
        <v>131.0</v>
      </c>
      <c r="L241" s="14">
        <v>131.0</v>
      </c>
      <c r="M241" s="22">
        <v>114.0</v>
      </c>
      <c r="N241" s="15"/>
      <c r="O241" s="15"/>
      <c r="P241" s="15"/>
      <c r="Q241" s="14">
        <v>225.0</v>
      </c>
      <c r="R241" s="24">
        <v>118.0</v>
      </c>
      <c r="S241" s="14">
        <v>255.0</v>
      </c>
      <c r="T241" s="15"/>
      <c r="U241" s="14">
        <v>277.0</v>
      </c>
      <c r="V241" s="31"/>
      <c r="W241" s="14">
        <v>128.0</v>
      </c>
      <c r="X241" s="14">
        <v>230.0</v>
      </c>
      <c r="Y241" s="14">
        <v>225.0</v>
      </c>
      <c r="Z241" s="25">
        <v>117.0</v>
      </c>
      <c r="AA241" s="25"/>
      <c r="AB241" s="25">
        <v>198.0</v>
      </c>
      <c r="AC241" s="14">
        <v>207.0</v>
      </c>
      <c r="AD241" s="14"/>
      <c r="AE241" s="14">
        <v>207.0</v>
      </c>
      <c r="AF241" s="14">
        <v>230.0</v>
      </c>
      <c r="AG241" s="14">
        <v>146.0</v>
      </c>
      <c r="AH241" s="14">
        <v>156.0</v>
      </c>
      <c r="AI241" s="14">
        <v>146.0</v>
      </c>
      <c r="AJ241" s="14">
        <v>176.0</v>
      </c>
      <c r="AK241" s="14"/>
      <c r="AL241" s="14">
        <v>207.0</v>
      </c>
      <c r="AM241" s="14">
        <v>138.0</v>
      </c>
      <c r="AN241" s="14">
        <v>207.0</v>
      </c>
      <c r="AO241" s="14">
        <v>120.0</v>
      </c>
      <c r="AP241" s="14">
        <v>153.0</v>
      </c>
      <c r="AQ241" s="14">
        <v>144.0</v>
      </c>
      <c r="AR241" s="14"/>
      <c r="AS241" s="14">
        <v>132.0</v>
      </c>
      <c r="AT241" s="14">
        <v>207.0</v>
      </c>
      <c r="AU241" s="14">
        <v>113.0</v>
      </c>
      <c r="AV241" s="14">
        <v>125.0</v>
      </c>
      <c r="AW241" s="14">
        <v>113.0</v>
      </c>
      <c r="AX241" s="14">
        <v>111.0</v>
      </c>
      <c r="AY241" s="14">
        <v>95.0</v>
      </c>
      <c r="AZ241" s="26"/>
      <c r="BA241" s="26"/>
      <c r="BB241" s="26"/>
      <c r="BC241" s="26"/>
    </row>
    <row r="242">
      <c r="A242" s="27">
        <f>HYPERLINK("https://arcprize.org/play?task=963e52fc", 231)</f>
        <v>231</v>
      </c>
      <c r="B242" s="14">
        <v>43.0</v>
      </c>
      <c r="C242" s="14">
        <v>75.0</v>
      </c>
      <c r="D242" s="14">
        <v>43.0</v>
      </c>
      <c r="E242" s="14">
        <v>75.0</v>
      </c>
      <c r="F242" s="22">
        <v>43.0</v>
      </c>
      <c r="G242" s="14">
        <v>64.0</v>
      </c>
      <c r="H242" s="14">
        <v>43.0</v>
      </c>
      <c r="I242" s="14">
        <v>43.0</v>
      </c>
      <c r="J242" s="23">
        <v>43.0</v>
      </c>
      <c r="K242" s="14">
        <v>43.0</v>
      </c>
      <c r="L242" s="14">
        <v>43.0</v>
      </c>
      <c r="M242" s="22">
        <v>43.0</v>
      </c>
      <c r="N242" s="15"/>
      <c r="O242" s="15"/>
      <c r="P242" s="15"/>
      <c r="Q242" s="14">
        <v>43.0</v>
      </c>
      <c r="R242" s="24">
        <v>43.0</v>
      </c>
      <c r="S242" s="14">
        <v>92.0</v>
      </c>
      <c r="T242" s="14">
        <v>75.0</v>
      </c>
      <c r="U242" s="14">
        <v>77.0</v>
      </c>
      <c r="V242" s="29">
        <v>43.0</v>
      </c>
      <c r="W242" s="14">
        <v>43.0</v>
      </c>
      <c r="X242" s="14">
        <v>77.0</v>
      </c>
      <c r="Y242" s="14">
        <v>75.0</v>
      </c>
      <c r="Z242" s="30">
        <v>43.0</v>
      </c>
      <c r="AA242" s="25"/>
      <c r="AB242" s="25">
        <v>77.0</v>
      </c>
      <c r="AC242" s="14">
        <v>75.0</v>
      </c>
      <c r="AD242" s="14">
        <v>58.0</v>
      </c>
      <c r="AE242" s="14">
        <v>75.0</v>
      </c>
      <c r="AF242" s="14">
        <v>77.0</v>
      </c>
      <c r="AG242" s="14">
        <v>75.0</v>
      </c>
      <c r="AH242" s="14">
        <v>43.0</v>
      </c>
      <c r="AI242" s="14">
        <v>43.0</v>
      </c>
      <c r="AJ242" s="14">
        <v>75.0</v>
      </c>
      <c r="AK242" s="14">
        <v>43.0</v>
      </c>
      <c r="AL242" s="14">
        <v>58.0</v>
      </c>
      <c r="AM242" s="14">
        <v>46.0</v>
      </c>
      <c r="AN242" s="14">
        <v>75.0</v>
      </c>
      <c r="AO242" s="14">
        <v>42.0</v>
      </c>
      <c r="AP242" s="14">
        <v>43.0</v>
      </c>
      <c r="AQ242" s="14">
        <v>43.0</v>
      </c>
      <c r="AR242" s="14"/>
      <c r="AS242" s="14">
        <v>43.0</v>
      </c>
      <c r="AT242" s="14">
        <v>75.0</v>
      </c>
      <c r="AU242" s="14">
        <v>43.0</v>
      </c>
      <c r="AV242" s="14">
        <v>43.0</v>
      </c>
      <c r="AW242" s="14">
        <v>43.0</v>
      </c>
      <c r="AX242" s="14">
        <v>43.0</v>
      </c>
      <c r="AY242" s="14">
        <v>42.0</v>
      </c>
      <c r="AZ242" s="26"/>
      <c r="BA242" s="26"/>
      <c r="BB242" s="26"/>
      <c r="BC242" s="26"/>
    </row>
    <row r="243">
      <c r="A243" s="27">
        <f>HYPERLINK("https://arcprize.org/play?task=97999447", 232)</f>
        <v>232</v>
      </c>
      <c r="B243" s="14">
        <v>59.0</v>
      </c>
      <c r="C243" s="14">
        <v>109.0</v>
      </c>
      <c r="D243" s="14">
        <v>57.0</v>
      </c>
      <c r="E243" s="14">
        <v>109.0</v>
      </c>
      <c r="F243" s="22">
        <v>58.0</v>
      </c>
      <c r="G243" s="14">
        <v>134.0</v>
      </c>
      <c r="H243" s="14">
        <v>70.0</v>
      </c>
      <c r="I243" s="14">
        <v>70.0</v>
      </c>
      <c r="J243" s="23">
        <v>69.0</v>
      </c>
      <c r="K243" s="14">
        <v>67.0</v>
      </c>
      <c r="L243" s="14">
        <v>60.0</v>
      </c>
      <c r="M243" s="22">
        <v>60.0</v>
      </c>
      <c r="N243" s="15"/>
      <c r="O243" s="15"/>
      <c r="P243" s="15"/>
      <c r="Q243" s="14">
        <v>111.0</v>
      </c>
      <c r="R243" s="24">
        <v>77.0</v>
      </c>
      <c r="S243" s="14">
        <v>93.0</v>
      </c>
      <c r="T243" s="14">
        <v>101.0</v>
      </c>
      <c r="U243" s="14">
        <v>134.0</v>
      </c>
      <c r="V243" s="29">
        <v>96.0</v>
      </c>
      <c r="W243" s="14">
        <v>66.0</v>
      </c>
      <c r="X243" s="14">
        <v>134.0</v>
      </c>
      <c r="Y243" s="14">
        <v>134.0</v>
      </c>
      <c r="Z243" s="25">
        <v>71.0</v>
      </c>
      <c r="AA243" s="25"/>
      <c r="AB243" s="25">
        <v>120.0</v>
      </c>
      <c r="AC243" s="14">
        <v>134.0</v>
      </c>
      <c r="AD243" s="14"/>
      <c r="AE243" s="14">
        <v>134.0</v>
      </c>
      <c r="AF243" s="14">
        <v>134.0</v>
      </c>
      <c r="AG243" s="14">
        <v>134.0</v>
      </c>
      <c r="AH243" s="14">
        <v>75.0</v>
      </c>
      <c r="AI243" s="14">
        <v>75.0</v>
      </c>
      <c r="AJ243" s="14">
        <v>134.0</v>
      </c>
      <c r="AK243" s="14"/>
      <c r="AL243" s="14">
        <v>120.0</v>
      </c>
      <c r="AM243" s="14">
        <v>71.0</v>
      </c>
      <c r="AN243" s="14">
        <v>134.0</v>
      </c>
      <c r="AO243" s="14">
        <v>68.0</v>
      </c>
      <c r="AP243" s="14">
        <v>100.0</v>
      </c>
      <c r="AQ243" s="14">
        <v>75.0</v>
      </c>
      <c r="AR243" s="14"/>
      <c r="AS243" s="14">
        <v>70.0</v>
      </c>
      <c r="AT243" s="14">
        <v>109.0</v>
      </c>
      <c r="AU243" s="14">
        <v>58.0</v>
      </c>
      <c r="AV243" s="14">
        <v>58.0</v>
      </c>
      <c r="AW243" s="14">
        <v>58.0</v>
      </c>
      <c r="AX243" s="14">
        <v>61.0</v>
      </c>
      <c r="AY243" s="14">
        <v>57.0</v>
      </c>
      <c r="AZ243" s="26"/>
      <c r="BA243" s="26"/>
      <c r="BB243" s="26"/>
      <c r="BC243" s="26"/>
    </row>
    <row r="244">
      <c r="A244" s="27">
        <f>HYPERLINK("https://arcprize.org/play?task=97a05b5b", 233)</f>
        <v>233</v>
      </c>
      <c r="B244" s="14">
        <v>278.0</v>
      </c>
      <c r="C244" s="14">
        <v>384.0</v>
      </c>
      <c r="D244" s="14">
        <v>271.0</v>
      </c>
      <c r="E244" s="14">
        <v>370.0</v>
      </c>
      <c r="F244" s="22">
        <v>261.0</v>
      </c>
      <c r="G244" s="14">
        <v>370.0</v>
      </c>
      <c r="H244" s="15"/>
      <c r="I244" s="15"/>
      <c r="J244" s="23">
        <v>291.0</v>
      </c>
      <c r="K244" s="14">
        <v>324.0</v>
      </c>
      <c r="L244" s="14">
        <v>370.0</v>
      </c>
      <c r="M244" s="22">
        <v>326.0</v>
      </c>
      <c r="N244" s="15"/>
      <c r="O244" s="15"/>
      <c r="P244" s="15"/>
      <c r="Q244" s="14">
        <v>384.0</v>
      </c>
      <c r="R244" s="24">
        <v>337.0</v>
      </c>
      <c r="S244" s="15"/>
      <c r="T244" s="15"/>
      <c r="U244" s="14">
        <v>1251.0</v>
      </c>
      <c r="V244" s="31"/>
      <c r="W244" s="15"/>
      <c r="X244" s="14">
        <v>2544.0</v>
      </c>
      <c r="Y244" s="14">
        <v>570.0</v>
      </c>
      <c r="Z244" s="25">
        <v>310.0</v>
      </c>
      <c r="AA244" s="25">
        <v>370.0</v>
      </c>
      <c r="AB244" s="25">
        <v>384.0</v>
      </c>
      <c r="AC244" s="14">
        <v>370.0</v>
      </c>
      <c r="AD244" s="14"/>
      <c r="AE244" s="14">
        <v>370.0</v>
      </c>
      <c r="AF244" s="14">
        <v>897.0</v>
      </c>
      <c r="AG244" s="14"/>
      <c r="AH244" s="14">
        <v>401.0</v>
      </c>
      <c r="AI244" s="14">
        <v>370.0</v>
      </c>
      <c r="AJ244" s="14">
        <v>370.0</v>
      </c>
      <c r="AK244" s="14"/>
      <c r="AL244" s="14">
        <v>370.0</v>
      </c>
      <c r="AM244" s="14">
        <v>403.0</v>
      </c>
      <c r="AN244" s="14">
        <v>370.0</v>
      </c>
      <c r="AO244" s="14">
        <v>311.0</v>
      </c>
      <c r="AP244" s="14">
        <v>368.0</v>
      </c>
      <c r="AQ244" s="14">
        <v>380.0</v>
      </c>
      <c r="AR244" s="14"/>
      <c r="AS244" s="14">
        <v>318.0</v>
      </c>
      <c r="AT244" s="14">
        <v>370.0</v>
      </c>
      <c r="AU244" s="14">
        <v>273.0</v>
      </c>
      <c r="AV244" s="14">
        <v>302.0</v>
      </c>
      <c r="AW244" s="14">
        <v>306.0</v>
      </c>
      <c r="AX244" s="14">
        <v>327.0</v>
      </c>
      <c r="AY244" s="14">
        <v>256.0</v>
      </c>
      <c r="AZ244" s="26"/>
      <c r="BA244" s="26"/>
      <c r="BB244" s="26"/>
      <c r="BC244" s="26"/>
    </row>
    <row r="245">
      <c r="A245" s="27">
        <f>HYPERLINK("https://arcprize.org/play?task=98cf29f8", 234)</f>
        <v>234</v>
      </c>
      <c r="B245" s="14">
        <v>107.0</v>
      </c>
      <c r="C245" s="14">
        <v>119.0</v>
      </c>
      <c r="D245" s="14">
        <v>107.0</v>
      </c>
      <c r="E245" s="14">
        <v>117.0</v>
      </c>
      <c r="F245" s="22">
        <v>106.0</v>
      </c>
      <c r="G245" s="14">
        <v>192.0</v>
      </c>
      <c r="H245" s="15"/>
      <c r="I245" s="15"/>
      <c r="J245" s="23">
        <v>109.0</v>
      </c>
      <c r="K245" s="14">
        <v>109.0</v>
      </c>
      <c r="L245" s="14">
        <v>119.0</v>
      </c>
      <c r="M245" s="22">
        <v>119.0</v>
      </c>
      <c r="N245" s="15"/>
      <c r="O245" s="15"/>
      <c r="P245" s="15"/>
      <c r="Q245" s="14">
        <v>246.0</v>
      </c>
      <c r="R245" s="24">
        <v>113.0</v>
      </c>
      <c r="S245" s="15"/>
      <c r="T245" s="15"/>
      <c r="U245" s="15"/>
      <c r="V245" s="31"/>
      <c r="W245" s="14">
        <v>109.0</v>
      </c>
      <c r="X245" s="14"/>
      <c r="Y245" s="14">
        <v>387.0</v>
      </c>
      <c r="Z245" s="25">
        <v>111.0</v>
      </c>
      <c r="AA245" s="25"/>
      <c r="AB245" s="25">
        <v>620.0</v>
      </c>
      <c r="AC245" s="14">
        <v>133.0</v>
      </c>
      <c r="AD245" s="14">
        <v>113.0</v>
      </c>
      <c r="AE245" s="14">
        <v>210.0</v>
      </c>
      <c r="AF245" s="14">
        <v>692.0</v>
      </c>
      <c r="AG245" s="14"/>
      <c r="AH245" s="14">
        <v>309.0</v>
      </c>
      <c r="AI245" s="14">
        <v>119.0</v>
      </c>
      <c r="AJ245" s="14">
        <v>251.0</v>
      </c>
      <c r="AK245" s="14">
        <v>129.0</v>
      </c>
      <c r="AL245" s="14">
        <v>119.0</v>
      </c>
      <c r="AM245" s="14">
        <v>117.0</v>
      </c>
      <c r="AN245" s="14">
        <v>119.0</v>
      </c>
      <c r="AO245" s="14">
        <v>108.0</v>
      </c>
      <c r="AP245" s="14">
        <v>112.0</v>
      </c>
      <c r="AQ245" s="14">
        <v>119.0</v>
      </c>
      <c r="AR245" s="14"/>
      <c r="AS245" s="14">
        <v>117.0</v>
      </c>
      <c r="AT245" s="14">
        <v>114.0</v>
      </c>
      <c r="AU245" s="14">
        <v>113.0</v>
      </c>
      <c r="AV245" s="14">
        <v>107.0</v>
      </c>
      <c r="AW245" s="14">
        <v>121.0</v>
      </c>
      <c r="AX245" s="14">
        <v>113.0</v>
      </c>
      <c r="AY245" s="14">
        <v>106.0</v>
      </c>
      <c r="AZ245" s="26"/>
      <c r="BA245" s="26"/>
      <c r="BB245" s="26"/>
      <c r="BC245" s="26"/>
    </row>
    <row r="246">
      <c r="A246" s="27">
        <f>HYPERLINK("https://arcprize.org/play?task=995c5fa3", 235)</f>
        <v>235</v>
      </c>
      <c r="B246" s="14">
        <v>62.0</v>
      </c>
      <c r="C246" s="14">
        <v>78.0</v>
      </c>
      <c r="D246" s="14">
        <v>61.0</v>
      </c>
      <c r="E246" s="14">
        <v>78.0</v>
      </c>
      <c r="F246" s="22">
        <v>62.0</v>
      </c>
      <c r="G246" s="14">
        <v>79.0</v>
      </c>
      <c r="H246" s="14">
        <v>61.0</v>
      </c>
      <c r="I246" s="14">
        <v>78.0</v>
      </c>
      <c r="J246" s="23">
        <v>65.0</v>
      </c>
      <c r="K246" s="14">
        <v>66.0</v>
      </c>
      <c r="L246" s="14">
        <v>70.0</v>
      </c>
      <c r="M246" s="22">
        <v>67.0</v>
      </c>
      <c r="N246" s="15"/>
      <c r="O246" s="15"/>
      <c r="P246" s="15"/>
      <c r="Q246" s="14">
        <v>72.0</v>
      </c>
      <c r="R246" s="24">
        <v>69.0</v>
      </c>
      <c r="S246" s="15"/>
      <c r="T246" s="14">
        <v>77.0</v>
      </c>
      <c r="U246" s="14">
        <v>79.0</v>
      </c>
      <c r="V246" s="31"/>
      <c r="W246" s="14">
        <v>68.0</v>
      </c>
      <c r="X246" s="14">
        <v>79.0</v>
      </c>
      <c r="Y246" s="14">
        <v>79.0</v>
      </c>
      <c r="Z246" s="25">
        <v>69.0</v>
      </c>
      <c r="AA246" s="25"/>
      <c r="AB246" s="25">
        <v>79.0</v>
      </c>
      <c r="AC246" s="14">
        <v>78.0</v>
      </c>
      <c r="AD246" s="14"/>
      <c r="AE246" s="14">
        <v>78.0</v>
      </c>
      <c r="AF246" s="14">
        <v>79.0</v>
      </c>
      <c r="AG246" s="14">
        <v>79.0</v>
      </c>
      <c r="AH246" s="14">
        <v>68.0</v>
      </c>
      <c r="AI246" s="14">
        <v>72.0</v>
      </c>
      <c r="AJ246" s="14">
        <v>72.0</v>
      </c>
      <c r="AK246" s="14"/>
      <c r="AL246" s="14">
        <v>73.0</v>
      </c>
      <c r="AM246" s="14">
        <v>72.0</v>
      </c>
      <c r="AN246" s="14">
        <v>78.0</v>
      </c>
      <c r="AO246" s="14">
        <v>65.0</v>
      </c>
      <c r="AP246" s="14">
        <v>78.0</v>
      </c>
      <c r="AQ246" s="14">
        <v>70.0</v>
      </c>
      <c r="AR246" s="14"/>
      <c r="AS246" s="14">
        <v>72.0</v>
      </c>
      <c r="AT246" s="14">
        <v>78.0</v>
      </c>
      <c r="AU246" s="14">
        <v>63.0</v>
      </c>
      <c r="AV246" s="14">
        <v>65.0</v>
      </c>
      <c r="AW246" s="14">
        <v>66.0</v>
      </c>
      <c r="AX246" s="14">
        <v>68.0</v>
      </c>
      <c r="AY246" s="14">
        <v>61.0</v>
      </c>
      <c r="AZ246" s="26"/>
      <c r="BA246" s="26"/>
      <c r="BB246" s="26"/>
      <c r="BC246" s="26"/>
    </row>
    <row r="247">
      <c r="A247" s="27">
        <f>HYPERLINK("https://arcprize.org/play?task=99b1bc43", 236)</f>
        <v>236</v>
      </c>
      <c r="B247" s="14">
        <v>54.0</v>
      </c>
      <c r="C247" s="14">
        <v>129.0</v>
      </c>
      <c r="D247" s="14">
        <v>54.0</v>
      </c>
      <c r="E247" s="14">
        <v>138.0</v>
      </c>
      <c r="F247" s="22">
        <v>54.0</v>
      </c>
      <c r="G247" s="14">
        <v>74.0</v>
      </c>
      <c r="H247" s="14">
        <v>62.0</v>
      </c>
      <c r="I247" s="14"/>
      <c r="J247" s="23">
        <v>60.0</v>
      </c>
      <c r="K247" s="14">
        <v>62.0</v>
      </c>
      <c r="L247" s="14">
        <v>63.0</v>
      </c>
      <c r="M247" s="22">
        <v>60.0</v>
      </c>
      <c r="N247" s="14"/>
      <c r="O247" s="14"/>
      <c r="P247" s="14"/>
      <c r="Q247" s="14">
        <v>72.0</v>
      </c>
      <c r="R247" s="24">
        <v>63.0</v>
      </c>
      <c r="S247" s="14"/>
      <c r="T247" s="14">
        <v>70.0</v>
      </c>
      <c r="U247" s="14">
        <v>138.0</v>
      </c>
      <c r="V247" s="29">
        <v>69.0</v>
      </c>
      <c r="W247" s="14">
        <v>61.0</v>
      </c>
      <c r="X247" s="14">
        <v>138.0</v>
      </c>
      <c r="Y247" s="14">
        <v>129.0</v>
      </c>
      <c r="Z247" s="25">
        <v>62.0</v>
      </c>
      <c r="AA247" s="25"/>
      <c r="AB247" s="25">
        <v>74.0</v>
      </c>
      <c r="AC247" s="14">
        <v>138.0</v>
      </c>
      <c r="AD247" s="14"/>
      <c r="AE247" s="14">
        <v>138.0</v>
      </c>
      <c r="AF247" s="14">
        <v>138.0</v>
      </c>
      <c r="AG247" s="14">
        <v>138.0</v>
      </c>
      <c r="AH247" s="14">
        <v>62.0</v>
      </c>
      <c r="AI247" s="14">
        <v>70.0</v>
      </c>
      <c r="AJ247" s="14">
        <v>71.0</v>
      </c>
      <c r="AK247" s="14">
        <v>62.0</v>
      </c>
      <c r="AL247" s="14">
        <v>81.0</v>
      </c>
      <c r="AM247" s="14">
        <v>65.0</v>
      </c>
      <c r="AN247" s="14">
        <v>85.0</v>
      </c>
      <c r="AO247" s="14">
        <v>60.0</v>
      </c>
      <c r="AP247" s="14">
        <v>68.0</v>
      </c>
      <c r="AQ247" s="14">
        <v>65.0</v>
      </c>
      <c r="AR247" s="14"/>
      <c r="AS247" s="14">
        <v>65.0</v>
      </c>
      <c r="AT247" s="14">
        <v>138.0</v>
      </c>
      <c r="AU247" s="14">
        <v>61.0</v>
      </c>
      <c r="AV247" s="14">
        <v>60.0</v>
      </c>
      <c r="AW247" s="14">
        <v>54.0</v>
      </c>
      <c r="AX247" s="14">
        <v>60.0</v>
      </c>
      <c r="AY247" s="14">
        <v>54.0</v>
      </c>
      <c r="AZ247" s="26"/>
      <c r="BA247" s="26"/>
      <c r="BB247" s="26"/>
      <c r="BC247" s="26"/>
    </row>
    <row r="248">
      <c r="A248" s="27">
        <f>HYPERLINK("https://arcprize.org/play?task=99fa7670", 237)</f>
        <v>237</v>
      </c>
      <c r="B248" s="14">
        <v>66.0</v>
      </c>
      <c r="C248" s="14">
        <v>204.0</v>
      </c>
      <c r="D248" s="14">
        <v>67.0</v>
      </c>
      <c r="E248" s="14">
        <v>184.0</v>
      </c>
      <c r="F248" s="22">
        <v>68.0</v>
      </c>
      <c r="G248" s="14">
        <v>192.0</v>
      </c>
      <c r="H248" s="14">
        <v>73.0</v>
      </c>
      <c r="I248" s="15"/>
      <c r="J248" s="23">
        <v>79.0</v>
      </c>
      <c r="K248" s="14">
        <v>69.0</v>
      </c>
      <c r="L248" s="14">
        <v>77.0</v>
      </c>
      <c r="M248" s="22">
        <v>68.0</v>
      </c>
      <c r="N248" s="15"/>
      <c r="O248" s="15"/>
      <c r="P248" s="15"/>
      <c r="Q248" s="14">
        <v>203.0</v>
      </c>
      <c r="R248" s="24">
        <v>71.0</v>
      </c>
      <c r="S248" s="15"/>
      <c r="T248" s="14">
        <v>177.0</v>
      </c>
      <c r="U248" s="14">
        <v>173.0</v>
      </c>
      <c r="V248" s="29">
        <v>82.0</v>
      </c>
      <c r="W248" s="14">
        <v>69.0</v>
      </c>
      <c r="X248" s="14"/>
      <c r="Y248" s="14">
        <v>204.0</v>
      </c>
      <c r="Z248" s="25">
        <v>71.0</v>
      </c>
      <c r="AA248" s="25"/>
      <c r="AB248" s="25">
        <v>164.0</v>
      </c>
      <c r="AC248" s="14">
        <v>159.0</v>
      </c>
      <c r="AD248" s="14"/>
      <c r="AE248" s="14">
        <v>184.0</v>
      </c>
      <c r="AF248" s="14">
        <v>198.0</v>
      </c>
      <c r="AG248" s="14"/>
      <c r="AH248" s="14">
        <v>82.0</v>
      </c>
      <c r="AI248" s="14">
        <v>108.0</v>
      </c>
      <c r="AJ248" s="14">
        <v>135.0</v>
      </c>
      <c r="AK248" s="14"/>
      <c r="AL248" s="14">
        <v>87.0</v>
      </c>
      <c r="AM248" s="14">
        <v>80.0</v>
      </c>
      <c r="AN248" s="14">
        <v>184.0</v>
      </c>
      <c r="AO248" s="14">
        <v>66.0</v>
      </c>
      <c r="AP248" s="14">
        <v>95.0</v>
      </c>
      <c r="AQ248" s="14">
        <v>89.0</v>
      </c>
      <c r="AR248" s="14"/>
      <c r="AS248" s="14">
        <v>84.0</v>
      </c>
      <c r="AT248" s="14">
        <v>158.0</v>
      </c>
      <c r="AU248" s="14">
        <v>68.0</v>
      </c>
      <c r="AV248" s="14">
        <v>66.0</v>
      </c>
      <c r="AW248" s="14">
        <v>71.0</v>
      </c>
      <c r="AX248" s="14">
        <v>71.0</v>
      </c>
      <c r="AY248" s="14">
        <v>66.0</v>
      </c>
      <c r="AZ248" s="26"/>
      <c r="BA248" s="26"/>
      <c r="BB248" s="26"/>
      <c r="BC248" s="26"/>
    </row>
    <row r="249">
      <c r="A249" s="27">
        <f>HYPERLINK("https://arcprize.org/play?task=9aec4887", 238)</f>
        <v>238</v>
      </c>
      <c r="B249" s="14">
        <v>209.0</v>
      </c>
      <c r="C249" s="14">
        <v>461.0</v>
      </c>
      <c r="D249" s="14">
        <v>201.0</v>
      </c>
      <c r="E249" s="14">
        <v>990.0</v>
      </c>
      <c r="F249" s="22">
        <v>195.0</v>
      </c>
      <c r="G249" s="14">
        <v>383.0</v>
      </c>
      <c r="H249" s="15"/>
      <c r="I249" s="15"/>
      <c r="J249" s="23">
        <v>223.0</v>
      </c>
      <c r="K249" s="14">
        <v>243.0</v>
      </c>
      <c r="L249" s="14">
        <v>265.0</v>
      </c>
      <c r="M249" s="22">
        <v>250.0</v>
      </c>
      <c r="N249" s="15"/>
      <c r="O249" s="15"/>
      <c r="P249" s="15"/>
      <c r="Q249" s="14">
        <v>340.0</v>
      </c>
      <c r="R249" s="24">
        <v>260.0</v>
      </c>
      <c r="S249" s="15"/>
      <c r="T249" s="15"/>
      <c r="U249" s="15"/>
      <c r="V249" s="31"/>
      <c r="W249" s="15"/>
      <c r="X249" s="14"/>
      <c r="Y249" s="14">
        <v>506.0</v>
      </c>
      <c r="Z249" s="25">
        <v>240.0</v>
      </c>
      <c r="AA249" s="25"/>
      <c r="AB249" s="25">
        <v>432.0</v>
      </c>
      <c r="AC249" s="14">
        <v>570.0</v>
      </c>
      <c r="AD249" s="14"/>
      <c r="AE249" s="14">
        <v>314.0</v>
      </c>
      <c r="AF249" s="14">
        <v>420.0</v>
      </c>
      <c r="AG249" s="14"/>
      <c r="AH249" s="14">
        <v>340.0</v>
      </c>
      <c r="AI249" s="14">
        <v>255.0</v>
      </c>
      <c r="AJ249" s="14">
        <v>454.0</v>
      </c>
      <c r="AK249" s="14"/>
      <c r="AL249" s="14">
        <v>373.0</v>
      </c>
      <c r="AM249" s="14">
        <v>286.0</v>
      </c>
      <c r="AN249" s="14">
        <v>607.0</v>
      </c>
      <c r="AO249" s="14">
        <v>237.0</v>
      </c>
      <c r="AP249" s="14">
        <v>458.0</v>
      </c>
      <c r="AQ249" s="14">
        <v>290.0</v>
      </c>
      <c r="AR249" s="14"/>
      <c r="AS249" s="14">
        <v>266.0</v>
      </c>
      <c r="AT249" s="14">
        <v>268.0</v>
      </c>
      <c r="AU249" s="14">
        <v>228.0</v>
      </c>
      <c r="AV249" s="14">
        <v>232.0</v>
      </c>
      <c r="AW249" s="14">
        <v>241.0</v>
      </c>
      <c r="AX249" s="14">
        <v>270.0</v>
      </c>
      <c r="AY249" s="14">
        <v>195.0</v>
      </c>
      <c r="AZ249" s="26"/>
      <c r="BA249" s="26"/>
      <c r="BB249" s="26"/>
      <c r="BC249" s="26"/>
    </row>
    <row r="250">
      <c r="A250" s="27">
        <f>HYPERLINK("https://arcprize.org/play?task=9af7a82c", 239)</f>
        <v>239</v>
      </c>
      <c r="B250" s="14">
        <v>99.0</v>
      </c>
      <c r="C250" s="14">
        <v>212.0</v>
      </c>
      <c r="D250" s="14">
        <v>99.0</v>
      </c>
      <c r="E250" s="14">
        <v>207.0</v>
      </c>
      <c r="F250" s="22">
        <v>104.0</v>
      </c>
      <c r="G250" s="14">
        <v>213.0</v>
      </c>
      <c r="H250" s="14">
        <v>110.0</v>
      </c>
      <c r="I250" s="15"/>
      <c r="J250" s="23">
        <v>104.0</v>
      </c>
      <c r="K250" s="14">
        <v>111.0</v>
      </c>
      <c r="L250" s="14">
        <v>112.0</v>
      </c>
      <c r="M250" s="22">
        <v>106.0</v>
      </c>
      <c r="N250" s="15"/>
      <c r="O250" s="15"/>
      <c r="P250" s="15"/>
      <c r="Q250" s="14">
        <v>218.0</v>
      </c>
      <c r="R250" s="24">
        <v>114.0</v>
      </c>
      <c r="S250" s="15"/>
      <c r="T250" s="15"/>
      <c r="U250" s="14">
        <v>213.0</v>
      </c>
      <c r="V250" s="29">
        <v>113.0</v>
      </c>
      <c r="W250" s="14">
        <v>114.0</v>
      </c>
      <c r="X250" s="14">
        <v>213.0</v>
      </c>
      <c r="Y250" s="14">
        <v>183.0</v>
      </c>
      <c r="Z250" s="25">
        <v>112.0</v>
      </c>
      <c r="AA250" s="25"/>
      <c r="AB250" s="25">
        <v>137.0</v>
      </c>
      <c r="AC250" s="14">
        <v>207.0</v>
      </c>
      <c r="AD250" s="14"/>
      <c r="AE250" s="14">
        <v>207.0</v>
      </c>
      <c r="AF250" s="14">
        <v>213.0</v>
      </c>
      <c r="AG250" s="14">
        <v>213.0</v>
      </c>
      <c r="AH250" s="14">
        <v>113.0</v>
      </c>
      <c r="AI250" s="14">
        <v>124.0</v>
      </c>
      <c r="AJ250" s="14">
        <v>170.0</v>
      </c>
      <c r="AK250" s="14"/>
      <c r="AL250" s="14">
        <v>139.0</v>
      </c>
      <c r="AM250" s="14">
        <v>111.0</v>
      </c>
      <c r="AN250" s="14">
        <v>207.0</v>
      </c>
      <c r="AO250" s="14">
        <v>111.0</v>
      </c>
      <c r="AP250" s="14">
        <v>127.0</v>
      </c>
      <c r="AQ250" s="14">
        <v>115.0</v>
      </c>
      <c r="AR250" s="14"/>
      <c r="AS250" s="14">
        <v>112.0</v>
      </c>
      <c r="AT250" s="14">
        <v>122.0</v>
      </c>
      <c r="AU250" s="14">
        <v>103.0</v>
      </c>
      <c r="AV250" s="14">
        <v>107.0</v>
      </c>
      <c r="AW250" s="14">
        <v>111.0</v>
      </c>
      <c r="AX250" s="14">
        <v>111.0</v>
      </c>
      <c r="AY250" s="14">
        <v>99.0</v>
      </c>
      <c r="AZ250" s="26"/>
      <c r="BA250" s="26"/>
      <c r="BB250" s="26"/>
      <c r="BC250" s="26"/>
    </row>
    <row r="251">
      <c r="A251" s="27">
        <f>HYPERLINK("https://arcprize.org/play?task=9d9215db", 240)</f>
        <v>240</v>
      </c>
      <c r="B251" s="14">
        <v>99.0</v>
      </c>
      <c r="C251" s="14">
        <v>237.0</v>
      </c>
      <c r="D251" s="14">
        <v>104.0</v>
      </c>
      <c r="E251" s="14">
        <v>225.0</v>
      </c>
      <c r="F251" s="22">
        <v>102.0</v>
      </c>
      <c r="G251" s="14">
        <v>230.0</v>
      </c>
      <c r="H251" s="15"/>
      <c r="I251" s="15"/>
      <c r="J251" s="23">
        <v>135.0</v>
      </c>
      <c r="K251" s="14">
        <v>138.0</v>
      </c>
      <c r="L251" s="14">
        <v>150.0</v>
      </c>
      <c r="M251" s="22">
        <v>146.0</v>
      </c>
      <c r="N251" s="15"/>
      <c r="O251" s="15"/>
      <c r="P251" s="15"/>
      <c r="Q251" s="14">
        <v>301.0</v>
      </c>
      <c r="R251" s="24">
        <v>122.0</v>
      </c>
      <c r="S251" s="15"/>
      <c r="T251" s="14">
        <v>135.0</v>
      </c>
      <c r="U251" s="15"/>
      <c r="V251" s="31"/>
      <c r="W251" s="15"/>
      <c r="X251" s="14"/>
      <c r="Y251" s="14">
        <v>252.0</v>
      </c>
      <c r="Z251" s="25">
        <v>126.0</v>
      </c>
      <c r="AA251" s="25"/>
      <c r="AB251" s="25">
        <v>412.0</v>
      </c>
      <c r="AC251" s="14">
        <v>225.0</v>
      </c>
      <c r="AD251" s="14"/>
      <c r="AE251" s="14">
        <v>199.0</v>
      </c>
      <c r="AF251" s="14">
        <v>418.0</v>
      </c>
      <c r="AG251" s="14"/>
      <c r="AH251" s="14">
        <v>167.0</v>
      </c>
      <c r="AI251" s="14">
        <v>194.0</v>
      </c>
      <c r="AJ251" s="14">
        <v>228.0</v>
      </c>
      <c r="AK251" s="14"/>
      <c r="AL251" s="14">
        <v>217.0</v>
      </c>
      <c r="AM251" s="14">
        <v>161.0</v>
      </c>
      <c r="AN251" s="14">
        <v>225.0</v>
      </c>
      <c r="AO251" s="14">
        <v>89.0</v>
      </c>
      <c r="AP251" s="14">
        <v>181.0</v>
      </c>
      <c r="AQ251" s="14">
        <v>186.0</v>
      </c>
      <c r="AR251" s="14"/>
      <c r="AS251" s="14">
        <v>113.0</v>
      </c>
      <c r="AT251" s="14">
        <v>225.0</v>
      </c>
      <c r="AU251" s="14">
        <v>113.0</v>
      </c>
      <c r="AV251" s="14">
        <v>107.0</v>
      </c>
      <c r="AW251" s="14">
        <v>103.0</v>
      </c>
      <c r="AX251" s="14">
        <v>133.0</v>
      </c>
      <c r="AY251" s="14">
        <v>89.0</v>
      </c>
      <c r="AZ251" s="26"/>
      <c r="BA251" s="26"/>
      <c r="BB251" s="26"/>
      <c r="BC251" s="26"/>
    </row>
    <row r="252">
      <c r="A252" s="27">
        <f>HYPERLINK("https://arcprize.org/play?task=9dfd6313", 241)</f>
        <v>241</v>
      </c>
      <c r="B252" s="14">
        <v>21.0</v>
      </c>
      <c r="C252" s="14">
        <v>21.0</v>
      </c>
      <c r="D252" s="14">
        <v>21.0</v>
      </c>
      <c r="E252" s="14">
        <v>21.0</v>
      </c>
      <c r="F252" s="22">
        <v>21.0</v>
      </c>
      <c r="G252" s="14">
        <v>21.0</v>
      </c>
      <c r="H252" s="14">
        <v>21.0</v>
      </c>
      <c r="I252" s="14">
        <v>21.0</v>
      </c>
      <c r="J252" s="23">
        <v>21.0</v>
      </c>
      <c r="K252" s="14">
        <v>21.0</v>
      </c>
      <c r="L252" s="14">
        <v>21.0</v>
      </c>
      <c r="M252" s="22">
        <v>21.0</v>
      </c>
      <c r="N252" s="14"/>
      <c r="O252" s="14"/>
      <c r="P252" s="14"/>
      <c r="Q252" s="14">
        <v>31.0</v>
      </c>
      <c r="R252" s="24">
        <v>21.0</v>
      </c>
      <c r="S252" s="14"/>
      <c r="T252" s="14">
        <v>31.0</v>
      </c>
      <c r="U252" s="14">
        <v>31.0</v>
      </c>
      <c r="V252" s="29">
        <v>21.0</v>
      </c>
      <c r="W252" s="14">
        <v>21.0</v>
      </c>
      <c r="X252" s="14">
        <v>31.0</v>
      </c>
      <c r="Y252" s="14">
        <v>31.0</v>
      </c>
      <c r="Z252" s="30">
        <v>21.0</v>
      </c>
      <c r="AA252" s="25"/>
      <c r="AB252" s="25">
        <v>21.0</v>
      </c>
      <c r="AC252" s="14">
        <v>21.0</v>
      </c>
      <c r="AD252" s="14">
        <v>21.0</v>
      </c>
      <c r="AE252" s="14">
        <v>21.0</v>
      </c>
      <c r="AF252" s="14">
        <v>31.0</v>
      </c>
      <c r="AG252" s="14">
        <v>31.0</v>
      </c>
      <c r="AH252" s="14">
        <v>21.0</v>
      </c>
      <c r="AI252" s="14">
        <v>21.0</v>
      </c>
      <c r="AJ252" s="14">
        <v>21.0</v>
      </c>
      <c r="AK252" s="14">
        <v>21.0</v>
      </c>
      <c r="AL252" s="14">
        <v>21.0</v>
      </c>
      <c r="AM252" s="14">
        <v>21.0</v>
      </c>
      <c r="AN252" s="14">
        <v>21.0</v>
      </c>
      <c r="AO252" s="14">
        <v>21.0</v>
      </c>
      <c r="AP252" s="14">
        <v>21.0</v>
      </c>
      <c r="AQ252" s="14">
        <v>21.0</v>
      </c>
      <c r="AR252" s="14"/>
      <c r="AS252" s="14">
        <v>21.0</v>
      </c>
      <c r="AT252" s="14">
        <v>21.0</v>
      </c>
      <c r="AU252" s="14">
        <v>21.0</v>
      </c>
      <c r="AV252" s="14">
        <v>21.0</v>
      </c>
      <c r="AW252" s="14">
        <v>21.0</v>
      </c>
      <c r="AX252" s="14">
        <v>21.0</v>
      </c>
      <c r="AY252" s="14">
        <v>21.0</v>
      </c>
      <c r="AZ252" s="26"/>
      <c r="BA252" s="26"/>
      <c r="BB252" s="26"/>
      <c r="BC252" s="26"/>
    </row>
    <row r="253">
      <c r="A253" s="27">
        <f>HYPERLINK("https://arcprize.org/play?task=9ecd008a", 242)</f>
        <v>242</v>
      </c>
      <c r="B253" s="14">
        <v>54.0</v>
      </c>
      <c r="C253" s="14">
        <v>239.0</v>
      </c>
      <c r="D253" s="14">
        <v>54.0</v>
      </c>
      <c r="E253" s="14">
        <v>229.0</v>
      </c>
      <c r="F253" s="22">
        <v>54.0</v>
      </c>
      <c r="G253" s="14">
        <v>131.0</v>
      </c>
      <c r="H253" s="14">
        <v>66.0</v>
      </c>
      <c r="I253" s="14">
        <v>66.0</v>
      </c>
      <c r="J253" s="23">
        <v>54.0</v>
      </c>
      <c r="K253" s="14">
        <v>54.0</v>
      </c>
      <c r="L253" s="14">
        <v>54.0</v>
      </c>
      <c r="M253" s="22">
        <v>54.0</v>
      </c>
      <c r="N253" s="14"/>
      <c r="O253" s="14"/>
      <c r="P253" s="14"/>
      <c r="Q253" s="14">
        <v>68.0</v>
      </c>
      <c r="R253" s="24">
        <v>68.0</v>
      </c>
      <c r="S253" s="14">
        <v>83.0</v>
      </c>
      <c r="T253" s="14">
        <v>133.0</v>
      </c>
      <c r="U253" s="14">
        <v>423.0</v>
      </c>
      <c r="V253" s="29">
        <v>54.0</v>
      </c>
      <c r="W253" s="14">
        <v>54.0</v>
      </c>
      <c r="X253" s="14">
        <v>271.0</v>
      </c>
      <c r="Y253" s="14">
        <v>180.0</v>
      </c>
      <c r="Z253" s="25">
        <v>54.0</v>
      </c>
      <c r="AA253" s="25"/>
      <c r="AB253" s="25">
        <v>181.0</v>
      </c>
      <c r="AC253" s="14">
        <v>183.0</v>
      </c>
      <c r="AD253" s="14"/>
      <c r="AE253" s="14">
        <v>247.0</v>
      </c>
      <c r="AF253" s="14">
        <v>268.0</v>
      </c>
      <c r="AG253" s="14"/>
      <c r="AH253" s="14">
        <v>56.0</v>
      </c>
      <c r="AI253" s="14">
        <v>66.0</v>
      </c>
      <c r="AJ253" s="14">
        <v>245.0</v>
      </c>
      <c r="AK253" s="14">
        <v>54.0</v>
      </c>
      <c r="AL253" s="14">
        <v>105.0</v>
      </c>
      <c r="AM253" s="14">
        <v>57.0</v>
      </c>
      <c r="AN253" s="14">
        <v>247.0</v>
      </c>
      <c r="AO253" s="14">
        <v>54.0</v>
      </c>
      <c r="AP253" s="14">
        <v>56.0</v>
      </c>
      <c r="AQ253" s="14">
        <v>86.0</v>
      </c>
      <c r="AR253" s="14"/>
      <c r="AS253" s="14">
        <v>54.0</v>
      </c>
      <c r="AT253" s="14">
        <v>69.0</v>
      </c>
      <c r="AU253" s="14">
        <v>54.0</v>
      </c>
      <c r="AV253" s="14">
        <v>54.0</v>
      </c>
      <c r="AW253" s="14">
        <v>54.0</v>
      </c>
      <c r="AX253" s="14">
        <v>54.0</v>
      </c>
      <c r="AY253" s="14">
        <v>54.0</v>
      </c>
      <c r="AZ253" s="26"/>
      <c r="BA253" s="26"/>
      <c r="BB253" s="26"/>
      <c r="BC253" s="26"/>
    </row>
    <row r="254">
      <c r="A254" s="27">
        <f>HYPERLINK("https://arcprize.org/play?task=9edfc990", 243)</f>
        <v>243</v>
      </c>
      <c r="B254" s="14">
        <v>75.0</v>
      </c>
      <c r="C254" s="14">
        <v>169.0</v>
      </c>
      <c r="D254" s="14">
        <v>75.0</v>
      </c>
      <c r="E254" s="14">
        <v>169.0</v>
      </c>
      <c r="F254" s="22">
        <v>75.0</v>
      </c>
      <c r="G254" s="14">
        <v>90.0</v>
      </c>
      <c r="H254" s="14">
        <v>81.0</v>
      </c>
      <c r="I254" s="14">
        <v>88.0</v>
      </c>
      <c r="J254" s="23">
        <v>80.0</v>
      </c>
      <c r="K254" s="14">
        <v>84.0</v>
      </c>
      <c r="L254" s="14">
        <v>89.0</v>
      </c>
      <c r="M254" s="22">
        <v>79.0</v>
      </c>
      <c r="N254" s="14"/>
      <c r="O254" s="14"/>
      <c r="P254" s="14"/>
      <c r="Q254" s="14">
        <v>220.0</v>
      </c>
      <c r="R254" s="24">
        <v>88.0</v>
      </c>
      <c r="S254" s="14"/>
      <c r="T254" s="14">
        <v>152.0</v>
      </c>
      <c r="U254" s="14">
        <v>231.0</v>
      </c>
      <c r="V254" s="29">
        <v>90.0</v>
      </c>
      <c r="W254" s="14">
        <v>79.0</v>
      </c>
      <c r="X254" s="14"/>
      <c r="Y254" s="14">
        <v>227.0</v>
      </c>
      <c r="Z254" s="25">
        <v>79.0</v>
      </c>
      <c r="AA254" s="25"/>
      <c r="AB254" s="25">
        <v>219.0</v>
      </c>
      <c r="AC254" s="14">
        <v>194.0</v>
      </c>
      <c r="AD254" s="14"/>
      <c r="AE254" s="14">
        <v>194.0</v>
      </c>
      <c r="AF254" s="14">
        <v>221.0</v>
      </c>
      <c r="AG254" s="14"/>
      <c r="AH254" s="14">
        <v>146.0</v>
      </c>
      <c r="AI254" s="14">
        <v>80.0</v>
      </c>
      <c r="AJ254" s="14">
        <v>196.0</v>
      </c>
      <c r="AK254" s="14"/>
      <c r="AL254" s="14">
        <v>170.0</v>
      </c>
      <c r="AM254" s="14">
        <v>149.0</v>
      </c>
      <c r="AN254" s="14">
        <v>169.0</v>
      </c>
      <c r="AO254" s="14">
        <v>83.0</v>
      </c>
      <c r="AP254" s="14">
        <v>154.0</v>
      </c>
      <c r="AQ254" s="14">
        <v>110.0</v>
      </c>
      <c r="AR254" s="14"/>
      <c r="AS254" s="14">
        <v>80.0</v>
      </c>
      <c r="AT254" s="14">
        <v>169.0</v>
      </c>
      <c r="AU254" s="14">
        <v>79.0</v>
      </c>
      <c r="AV254" s="14">
        <v>80.0</v>
      </c>
      <c r="AW254" s="14">
        <v>75.0</v>
      </c>
      <c r="AX254" s="14">
        <v>80.0</v>
      </c>
      <c r="AY254" s="14">
        <v>75.0</v>
      </c>
      <c r="AZ254" s="26"/>
      <c r="BA254" s="26"/>
      <c r="BB254" s="26"/>
      <c r="BC254" s="26"/>
    </row>
    <row r="255">
      <c r="A255" s="27">
        <f>HYPERLINK("https://arcprize.org/play?task=9f236235", 244)</f>
        <v>244</v>
      </c>
      <c r="B255" s="14">
        <v>61.0</v>
      </c>
      <c r="C255" s="14">
        <v>199.0</v>
      </c>
      <c r="D255" s="14">
        <v>63.0</v>
      </c>
      <c r="E255" s="14">
        <v>199.0</v>
      </c>
      <c r="F255" s="22">
        <v>63.0</v>
      </c>
      <c r="G255" s="14">
        <v>212.0</v>
      </c>
      <c r="H255" s="14">
        <v>75.0</v>
      </c>
      <c r="I255" s="15"/>
      <c r="J255" s="23">
        <v>63.0</v>
      </c>
      <c r="K255" s="14">
        <v>65.0</v>
      </c>
      <c r="L255" s="14">
        <v>86.0</v>
      </c>
      <c r="M255" s="22">
        <v>65.0</v>
      </c>
      <c r="N255" s="15"/>
      <c r="O255" s="15"/>
      <c r="P255" s="15"/>
      <c r="Q255" s="15">
        <v>104.0</v>
      </c>
      <c r="R255" s="24">
        <v>69.0</v>
      </c>
      <c r="S255" s="15"/>
      <c r="T255" s="14">
        <v>79.0</v>
      </c>
      <c r="U255" s="14">
        <v>116.0</v>
      </c>
      <c r="V255" s="29">
        <v>92.0</v>
      </c>
      <c r="W255" s="15"/>
      <c r="X255" s="14">
        <v>235.0</v>
      </c>
      <c r="Y255" s="14">
        <v>231.0</v>
      </c>
      <c r="Z255" s="25">
        <v>65.0</v>
      </c>
      <c r="AA255" s="25"/>
      <c r="AB255" s="25">
        <v>191.0</v>
      </c>
      <c r="AC255" s="14">
        <v>207.0</v>
      </c>
      <c r="AD255" s="14"/>
      <c r="AE255" s="14">
        <v>207.0</v>
      </c>
      <c r="AF255" s="14">
        <v>233.0</v>
      </c>
      <c r="AG255" s="14"/>
      <c r="AH255" s="14">
        <v>65.0</v>
      </c>
      <c r="AI255" s="14">
        <v>91.0</v>
      </c>
      <c r="AJ255" s="14">
        <v>134.0</v>
      </c>
      <c r="AK255" s="14"/>
      <c r="AL255" s="14">
        <v>127.0</v>
      </c>
      <c r="AM255" s="14">
        <v>77.0</v>
      </c>
      <c r="AN255" s="14">
        <v>157.0</v>
      </c>
      <c r="AO255" s="14">
        <v>63.0</v>
      </c>
      <c r="AP255" s="14">
        <v>154.0</v>
      </c>
      <c r="AQ255" s="14">
        <v>86.0</v>
      </c>
      <c r="AR255" s="14"/>
      <c r="AS255" s="14">
        <v>71.0</v>
      </c>
      <c r="AT255" s="14">
        <v>207.0</v>
      </c>
      <c r="AU255" s="14">
        <v>63.0</v>
      </c>
      <c r="AV255" s="14">
        <v>65.0</v>
      </c>
      <c r="AW255" s="14">
        <v>63.0</v>
      </c>
      <c r="AX255" s="14">
        <v>65.0</v>
      </c>
      <c r="AY255" s="14">
        <v>61.0</v>
      </c>
      <c r="AZ255" s="26"/>
      <c r="BA255" s="26"/>
      <c r="BB255" s="26"/>
      <c r="BC255" s="26"/>
    </row>
    <row r="256">
      <c r="A256" s="27">
        <f>HYPERLINK("https://arcprize.org/play?task=a1570a43", 245)</f>
        <v>245</v>
      </c>
      <c r="B256" s="14">
        <v>99.0</v>
      </c>
      <c r="C256" s="14">
        <v>280.0</v>
      </c>
      <c r="D256" s="14">
        <v>98.0</v>
      </c>
      <c r="E256" s="14">
        <v>297.0</v>
      </c>
      <c r="F256" s="22">
        <v>98.0</v>
      </c>
      <c r="G256" s="14">
        <v>318.0</v>
      </c>
      <c r="H256" s="14"/>
      <c r="I256" s="14"/>
      <c r="J256" s="23">
        <v>116.0</v>
      </c>
      <c r="K256" s="14">
        <v>167.0</v>
      </c>
      <c r="L256" s="14">
        <v>139.0</v>
      </c>
      <c r="M256" s="22">
        <v>115.0</v>
      </c>
      <c r="N256" s="14"/>
      <c r="O256" s="14"/>
      <c r="P256" s="14"/>
      <c r="Q256" s="14">
        <v>229.0</v>
      </c>
      <c r="R256" s="24">
        <v>113.0</v>
      </c>
      <c r="S256" s="14"/>
      <c r="T256" s="14"/>
      <c r="U256" s="14"/>
      <c r="V256" s="33"/>
      <c r="W256" s="14">
        <v>123.0</v>
      </c>
      <c r="X256" s="14"/>
      <c r="Y256" s="14">
        <v>393.0</v>
      </c>
      <c r="Z256" s="25">
        <v>109.0</v>
      </c>
      <c r="AA256" s="25"/>
      <c r="AB256" s="25">
        <v>233.0</v>
      </c>
      <c r="AC256" s="14">
        <v>251.0</v>
      </c>
      <c r="AD256" s="14"/>
      <c r="AE256" s="14">
        <v>223.0</v>
      </c>
      <c r="AF256" s="14">
        <v>290.0</v>
      </c>
      <c r="AG256" s="14"/>
      <c r="AH256" s="14">
        <v>198.0</v>
      </c>
      <c r="AI256" s="14">
        <v>199.0</v>
      </c>
      <c r="AJ256" s="14">
        <v>217.0</v>
      </c>
      <c r="AK256" s="14"/>
      <c r="AL256" s="14">
        <v>212.0</v>
      </c>
      <c r="AM256" s="14">
        <v>179.0</v>
      </c>
      <c r="AN256" s="14">
        <v>259.0</v>
      </c>
      <c r="AO256" s="14">
        <v>124.0</v>
      </c>
      <c r="AP256" s="14">
        <v>253.0</v>
      </c>
      <c r="AQ256" s="14">
        <v>196.0</v>
      </c>
      <c r="AR256" s="14"/>
      <c r="AS256" s="14">
        <v>139.0</v>
      </c>
      <c r="AT256" s="14">
        <v>223.0</v>
      </c>
      <c r="AU256" s="14">
        <v>117.0</v>
      </c>
      <c r="AV256" s="14">
        <v>122.0</v>
      </c>
      <c r="AW256" s="14">
        <v>159.0</v>
      </c>
      <c r="AX256" s="14">
        <v>109.0</v>
      </c>
      <c r="AY256" s="14">
        <v>94.0</v>
      </c>
      <c r="AZ256" s="26"/>
      <c r="BA256" s="26"/>
      <c r="BB256" s="26"/>
      <c r="BC256" s="26"/>
    </row>
    <row r="257">
      <c r="A257" s="27">
        <f>HYPERLINK("https://arcprize.org/play?task=a2fd1cf0", 246)</f>
        <v>246</v>
      </c>
      <c r="B257" s="14">
        <v>104.0</v>
      </c>
      <c r="C257" s="14">
        <v>215.0</v>
      </c>
      <c r="D257" s="14">
        <v>105.0</v>
      </c>
      <c r="E257" s="14">
        <v>203.0</v>
      </c>
      <c r="F257" s="22">
        <v>105.0</v>
      </c>
      <c r="G257" s="14">
        <v>218.0</v>
      </c>
      <c r="H257" s="14"/>
      <c r="I257" s="14"/>
      <c r="J257" s="23">
        <v>114.0</v>
      </c>
      <c r="K257" s="14">
        <v>129.0</v>
      </c>
      <c r="L257" s="14">
        <v>156.0</v>
      </c>
      <c r="M257" s="22">
        <v>132.0</v>
      </c>
      <c r="N257" s="14"/>
      <c r="O257" s="14"/>
      <c r="P257" s="14"/>
      <c r="Q257" s="14">
        <v>228.0</v>
      </c>
      <c r="R257" s="24">
        <v>127.0</v>
      </c>
      <c r="S257" s="14">
        <v>223.0</v>
      </c>
      <c r="T257" s="14"/>
      <c r="U257" s="14">
        <v>244.0</v>
      </c>
      <c r="V257" s="33"/>
      <c r="W257" s="14">
        <v>144.0</v>
      </c>
      <c r="X257" s="14">
        <v>218.0</v>
      </c>
      <c r="Y257" s="14">
        <v>218.0</v>
      </c>
      <c r="Z257" s="25">
        <v>152.0</v>
      </c>
      <c r="AA257" s="25"/>
      <c r="AB257" s="25">
        <v>191.0</v>
      </c>
      <c r="AC257" s="14">
        <v>203.0</v>
      </c>
      <c r="AD257" s="14"/>
      <c r="AE257" s="14">
        <v>203.0</v>
      </c>
      <c r="AF257" s="14">
        <v>218.0</v>
      </c>
      <c r="AG257" s="14">
        <v>177.0</v>
      </c>
      <c r="AH257" s="14">
        <v>187.0</v>
      </c>
      <c r="AI257" s="14">
        <v>201.0</v>
      </c>
      <c r="AJ257" s="14">
        <v>211.0</v>
      </c>
      <c r="AK257" s="14"/>
      <c r="AL257" s="14">
        <v>203.0</v>
      </c>
      <c r="AM257" s="14">
        <v>153.0</v>
      </c>
      <c r="AN257" s="14">
        <v>203.0</v>
      </c>
      <c r="AO257" s="14">
        <v>120.0</v>
      </c>
      <c r="AP257" s="14">
        <v>159.0</v>
      </c>
      <c r="AQ257" s="14">
        <v>157.0</v>
      </c>
      <c r="AR257" s="14"/>
      <c r="AS257" s="14">
        <v>127.0</v>
      </c>
      <c r="AT257" s="14">
        <v>203.0</v>
      </c>
      <c r="AU257" s="14">
        <v>108.0</v>
      </c>
      <c r="AV257" s="14">
        <v>120.0</v>
      </c>
      <c r="AW257" s="14">
        <v>120.0</v>
      </c>
      <c r="AX257" s="14">
        <v>128.0</v>
      </c>
      <c r="AY257" s="14">
        <v>104.0</v>
      </c>
      <c r="AZ257" s="26"/>
      <c r="BA257" s="26"/>
      <c r="BB257" s="26"/>
      <c r="BC257" s="26"/>
    </row>
    <row r="258">
      <c r="A258" s="27">
        <f>HYPERLINK("https://arcprize.org/play?task=a3325580", 247)</f>
        <v>247</v>
      </c>
      <c r="B258" s="14">
        <v>95.0</v>
      </c>
      <c r="C258" s="14">
        <v>188.0</v>
      </c>
      <c r="D258" s="14">
        <v>92.0</v>
      </c>
      <c r="E258" s="14">
        <v>188.0</v>
      </c>
      <c r="F258" s="22">
        <v>95.0</v>
      </c>
      <c r="G258" s="14">
        <v>188.0</v>
      </c>
      <c r="H258" s="15"/>
      <c r="I258" s="15"/>
      <c r="J258" s="23">
        <v>103.0</v>
      </c>
      <c r="K258" s="14">
        <v>99.0</v>
      </c>
      <c r="L258" s="14">
        <v>99.0</v>
      </c>
      <c r="M258" s="22">
        <v>99.0</v>
      </c>
      <c r="N258" s="15"/>
      <c r="O258" s="15"/>
      <c r="P258" s="15"/>
      <c r="Q258" s="14">
        <v>191.0</v>
      </c>
      <c r="R258" s="24">
        <v>103.0</v>
      </c>
      <c r="S258" s="15"/>
      <c r="T258" s="15"/>
      <c r="U258" s="15"/>
      <c r="V258" s="29">
        <v>112.0</v>
      </c>
      <c r="W258" s="14">
        <v>96.0</v>
      </c>
      <c r="X258" s="14"/>
      <c r="Y258" s="14">
        <v>265.0</v>
      </c>
      <c r="Z258" s="25">
        <v>98.0</v>
      </c>
      <c r="AA258" s="25"/>
      <c r="AB258" s="25">
        <v>190.0</v>
      </c>
      <c r="AC258" s="14">
        <v>188.0</v>
      </c>
      <c r="AD258" s="14"/>
      <c r="AE258" s="14">
        <v>114.0</v>
      </c>
      <c r="AF258" s="14">
        <v>377.0</v>
      </c>
      <c r="AG258" s="14"/>
      <c r="AH258" s="14">
        <v>107.0</v>
      </c>
      <c r="AI258" s="14">
        <v>112.0</v>
      </c>
      <c r="AJ258" s="14">
        <v>180.0</v>
      </c>
      <c r="AK258" s="14"/>
      <c r="AL258" s="14">
        <v>150.0</v>
      </c>
      <c r="AM258" s="14">
        <v>106.0</v>
      </c>
      <c r="AN258" s="14">
        <v>188.0</v>
      </c>
      <c r="AO258" s="14">
        <v>95.0</v>
      </c>
      <c r="AP258" s="14">
        <v>106.0</v>
      </c>
      <c r="AQ258" s="14">
        <v>106.0</v>
      </c>
      <c r="AR258" s="14"/>
      <c r="AS258" s="14">
        <v>122.0</v>
      </c>
      <c r="AT258" s="14">
        <v>181.0</v>
      </c>
      <c r="AU258" s="14">
        <v>108.0</v>
      </c>
      <c r="AV258" s="14">
        <v>96.0</v>
      </c>
      <c r="AW258" s="14">
        <v>98.0</v>
      </c>
      <c r="AX258" s="14">
        <v>96.0</v>
      </c>
      <c r="AY258" s="14">
        <v>92.0</v>
      </c>
      <c r="AZ258" s="26"/>
      <c r="BA258" s="26"/>
      <c r="BB258" s="26"/>
      <c r="BC258" s="26"/>
    </row>
    <row r="259">
      <c r="A259" s="27">
        <f>HYPERLINK("https://arcprize.org/play?task=a3df8b1e", 248)</f>
        <v>248</v>
      </c>
      <c r="B259" s="14">
        <v>72.0</v>
      </c>
      <c r="C259" s="14">
        <v>145.0</v>
      </c>
      <c r="D259" s="14">
        <v>74.0</v>
      </c>
      <c r="E259" s="14">
        <v>145.0</v>
      </c>
      <c r="F259" s="22">
        <v>72.0</v>
      </c>
      <c r="G259" s="14">
        <v>145.0</v>
      </c>
      <c r="H259" s="14">
        <v>83.0</v>
      </c>
      <c r="I259" s="15"/>
      <c r="J259" s="23">
        <v>77.0</v>
      </c>
      <c r="K259" s="14">
        <v>72.0</v>
      </c>
      <c r="L259" s="14">
        <v>81.0</v>
      </c>
      <c r="M259" s="22">
        <v>77.0</v>
      </c>
      <c r="N259" s="15"/>
      <c r="O259" s="15"/>
      <c r="P259" s="15"/>
      <c r="Q259" s="14">
        <v>103.0</v>
      </c>
      <c r="R259" s="24">
        <v>78.0</v>
      </c>
      <c r="S259" s="15"/>
      <c r="T259" s="14">
        <v>143.0</v>
      </c>
      <c r="U259" s="14">
        <v>145.0</v>
      </c>
      <c r="V259" s="29">
        <v>93.0</v>
      </c>
      <c r="W259" s="14">
        <v>73.0</v>
      </c>
      <c r="X259" s="14">
        <v>145.0</v>
      </c>
      <c r="Y259" s="14">
        <v>145.0</v>
      </c>
      <c r="Z259" s="25">
        <v>74.0</v>
      </c>
      <c r="AA259" s="25"/>
      <c r="AB259" s="25">
        <v>115.0</v>
      </c>
      <c r="AC259" s="14">
        <v>145.0</v>
      </c>
      <c r="AD259" s="14"/>
      <c r="AE259" s="14">
        <v>145.0</v>
      </c>
      <c r="AF259" s="14">
        <v>145.0</v>
      </c>
      <c r="AG259" s="14">
        <v>145.0</v>
      </c>
      <c r="AH259" s="14">
        <v>82.0</v>
      </c>
      <c r="AI259" s="14">
        <v>91.0</v>
      </c>
      <c r="AJ259" s="14">
        <v>93.0</v>
      </c>
      <c r="AK259" s="14"/>
      <c r="AL259" s="14">
        <v>131.0</v>
      </c>
      <c r="AM259" s="14">
        <v>86.0</v>
      </c>
      <c r="AN259" s="14">
        <v>145.0</v>
      </c>
      <c r="AO259" s="14">
        <v>68.0</v>
      </c>
      <c r="AP259" s="14">
        <v>76.0</v>
      </c>
      <c r="AQ259" s="14">
        <v>91.0</v>
      </c>
      <c r="AR259" s="14"/>
      <c r="AS259" s="14">
        <v>93.0</v>
      </c>
      <c r="AT259" s="14">
        <v>129.0</v>
      </c>
      <c r="AU259" s="14">
        <v>78.0</v>
      </c>
      <c r="AV259" s="14">
        <v>67.0</v>
      </c>
      <c r="AW259" s="14">
        <v>78.0</v>
      </c>
      <c r="AX259" s="14">
        <v>73.0</v>
      </c>
      <c r="AY259" s="14">
        <v>67.0</v>
      </c>
      <c r="AZ259" s="26"/>
      <c r="BA259" s="26"/>
      <c r="BB259" s="26"/>
      <c r="BC259" s="26"/>
    </row>
    <row r="260">
      <c r="A260" s="27">
        <f>HYPERLINK("https://arcprize.org/play?task=a416b8f3", 249)</f>
        <v>249</v>
      </c>
      <c r="B260" s="14">
        <v>26.0</v>
      </c>
      <c r="C260" s="14">
        <v>26.0</v>
      </c>
      <c r="D260" s="14">
        <v>26.0</v>
      </c>
      <c r="E260" s="14">
        <v>26.0</v>
      </c>
      <c r="F260" s="22">
        <v>26.0</v>
      </c>
      <c r="G260" s="14">
        <v>26.0</v>
      </c>
      <c r="H260" s="14">
        <v>26.0</v>
      </c>
      <c r="I260" s="14">
        <v>26.0</v>
      </c>
      <c r="J260" s="23">
        <v>26.0</v>
      </c>
      <c r="K260" s="14">
        <v>26.0</v>
      </c>
      <c r="L260" s="14">
        <v>26.0</v>
      </c>
      <c r="M260" s="22">
        <v>26.0</v>
      </c>
      <c r="N260" s="14"/>
      <c r="O260" s="14"/>
      <c r="P260" s="14"/>
      <c r="Q260" s="14">
        <v>26.0</v>
      </c>
      <c r="R260" s="24">
        <v>26.0</v>
      </c>
      <c r="S260" s="14"/>
      <c r="T260" s="14">
        <v>26.0</v>
      </c>
      <c r="U260" s="14">
        <v>26.0</v>
      </c>
      <c r="V260" s="29">
        <v>26.0</v>
      </c>
      <c r="W260" s="14">
        <v>26.0</v>
      </c>
      <c r="X260" s="14">
        <v>26.0</v>
      </c>
      <c r="Y260" s="14">
        <v>26.0</v>
      </c>
      <c r="Z260" s="30">
        <v>26.0</v>
      </c>
      <c r="AA260" s="25"/>
      <c r="AB260" s="25">
        <v>26.0</v>
      </c>
      <c r="AC260" s="14">
        <v>26.0</v>
      </c>
      <c r="AD260" s="14">
        <v>26.0</v>
      </c>
      <c r="AE260" s="14">
        <v>26.0</v>
      </c>
      <c r="AF260" s="14">
        <v>26.0</v>
      </c>
      <c r="AG260" s="14">
        <v>26.0</v>
      </c>
      <c r="AH260" s="14">
        <v>26.0</v>
      </c>
      <c r="AI260" s="14">
        <v>26.0</v>
      </c>
      <c r="AJ260" s="14">
        <v>26.0</v>
      </c>
      <c r="AK260" s="14">
        <v>26.0</v>
      </c>
      <c r="AL260" s="14">
        <v>26.0</v>
      </c>
      <c r="AM260" s="14">
        <v>26.0</v>
      </c>
      <c r="AN260" s="14">
        <v>26.0</v>
      </c>
      <c r="AO260" s="14">
        <v>26.0</v>
      </c>
      <c r="AP260" s="14">
        <v>26.0</v>
      </c>
      <c r="AQ260" s="14">
        <v>26.0</v>
      </c>
      <c r="AR260" s="14"/>
      <c r="AS260" s="14">
        <v>26.0</v>
      </c>
      <c r="AT260" s="14">
        <v>26.0</v>
      </c>
      <c r="AU260" s="14">
        <v>26.0</v>
      </c>
      <c r="AV260" s="14">
        <v>26.0</v>
      </c>
      <c r="AW260" s="14">
        <v>26.0</v>
      </c>
      <c r="AX260" s="14">
        <v>26.0</v>
      </c>
      <c r="AY260" s="14">
        <v>26.0</v>
      </c>
      <c r="AZ260" s="26"/>
      <c r="BA260" s="26"/>
      <c r="BB260" s="26"/>
      <c r="BC260" s="26"/>
    </row>
    <row r="261">
      <c r="A261" s="27">
        <f>HYPERLINK("https://arcprize.org/play?task=a48eeaf7", 250)</f>
        <v>250</v>
      </c>
      <c r="B261" s="14">
        <v>101.0</v>
      </c>
      <c r="C261" s="14">
        <v>266.0</v>
      </c>
      <c r="D261" s="14">
        <v>95.0</v>
      </c>
      <c r="E261" s="14">
        <v>256.0</v>
      </c>
      <c r="F261" s="22">
        <v>97.0</v>
      </c>
      <c r="G261" s="14">
        <v>289.0</v>
      </c>
      <c r="H261" s="15"/>
      <c r="I261" s="15"/>
      <c r="J261" s="23">
        <v>116.0</v>
      </c>
      <c r="K261" s="14">
        <v>107.0</v>
      </c>
      <c r="L261" s="14">
        <v>202.0</v>
      </c>
      <c r="M261" s="22">
        <v>102.0</v>
      </c>
      <c r="N261" s="15"/>
      <c r="O261" s="15"/>
      <c r="P261" s="15"/>
      <c r="Q261" s="14">
        <v>302.0</v>
      </c>
      <c r="R261" s="24">
        <v>132.0</v>
      </c>
      <c r="S261" s="15"/>
      <c r="T261" s="15"/>
      <c r="U261" s="15"/>
      <c r="V261" s="31"/>
      <c r="W261" s="15"/>
      <c r="X261" s="14"/>
      <c r="Y261" s="14">
        <v>289.0</v>
      </c>
      <c r="Z261" s="25">
        <v>114.0</v>
      </c>
      <c r="AA261" s="25"/>
      <c r="AB261" s="25">
        <v>217.0</v>
      </c>
      <c r="AC261" s="14">
        <v>263.0</v>
      </c>
      <c r="AD261" s="14"/>
      <c r="AE261" s="14">
        <v>202.0</v>
      </c>
      <c r="AF261" s="14">
        <v>262.0</v>
      </c>
      <c r="AG261" s="14"/>
      <c r="AH261" s="14">
        <v>167.0</v>
      </c>
      <c r="AI261" s="14">
        <v>201.0</v>
      </c>
      <c r="AJ261" s="14">
        <v>208.0</v>
      </c>
      <c r="AK261" s="14"/>
      <c r="AL261" s="14">
        <v>243.0</v>
      </c>
      <c r="AM261" s="14">
        <v>161.0</v>
      </c>
      <c r="AN261" s="14">
        <v>263.0</v>
      </c>
      <c r="AO261" s="14">
        <v>130.0</v>
      </c>
      <c r="AP261" s="14">
        <v>211.0</v>
      </c>
      <c r="AQ261" s="14">
        <v>163.0</v>
      </c>
      <c r="AR261" s="14"/>
      <c r="AS261" s="14">
        <v>158.0</v>
      </c>
      <c r="AT261" s="14">
        <v>233.0</v>
      </c>
      <c r="AU261" s="14">
        <v>111.0</v>
      </c>
      <c r="AV261" s="14">
        <v>104.0</v>
      </c>
      <c r="AW261" s="14">
        <v>144.0</v>
      </c>
      <c r="AX261" s="14">
        <v>113.0</v>
      </c>
      <c r="AY261" s="14">
        <v>95.0</v>
      </c>
      <c r="AZ261" s="26"/>
      <c r="BA261" s="26"/>
      <c r="BB261" s="26"/>
      <c r="BC261" s="26"/>
    </row>
    <row r="262">
      <c r="A262" s="27">
        <f>HYPERLINK("https://arcprize.org/play?task=a5313dff", 251)</f>
        <v>251</v>
      </c>
      <c r="B262" s="14">
        <v>88.0</v>
      </c>
      <c r="C262" s="14">
        <v>330.0</v>
      </c>
      <c r="D262" s="14">
        <v>89.0</v>
      </c>
      <c r="E262" s="14">
        <v>295.0</v>
      </c>
      <c r="F262" s="22">
        <v>84.0</v>
      </c>
      <c r="G262" s="14">
        <v>326.0</v>
      </c>
      <c r="H262" s="14">
        <v>94.0</v>
      </c>
      <c r="I262" s="15"/>
      <c r="J262" s="23">
        <v>95.0</v>
      </c>
      <c r="K262" s="14">
        <v>97.0</v>
      </c>
      <c r="L262" s="14">
        <v>99.0</v>
      </c>
      <c r="M262" s="22">
        <v>88.0</v>
      </c>
      <c r="N262" s="15"/>
      <c r="O262" s="15"/>
      <c r="P262" s="15"/>
      <c r="Q262" s="14">
        <v>264.0</v>
      </c>
      <c r="R262" s="24">
        <v>98.0</v>
      </c>
      <c r="S262" s="15"/>
      <c r="T262" s="15"/>
      <c r="U262" s="14">
        <v>422.0</v>
      </c>
      <c r="V262" s="29">
        <v>100.0</v>
      </c>
      <c r="W262" s="15"/>
      <c r="X262" s="14">
        <v>329.0</v>
      </c>
      <c r="Y262" s="14">
        <v>319.0</v>
      </c>
      <c r="Z262" s="25">
        <v>101.0</v>
      </c>
      <c r="AA262" s="25"/>
      <c r="AB262" s="25">
        <v>234.0</v>
      </c>
      <c r="AC262" s="14">
        <v>295.0</v>
      </c>
      <c r="AD262" s="14"/>
      <c r="AE262" s="14">
        <v>295.0</v>
      </c>
      <c r="AF262" s="14">
        <v>329.0</v>
      </c>
      <c r="AG262" s="14"/>
      <c r="AH262" s="14">
        <v>200.0</v>
      </c>
      <c r="AI262" s="14">
        <v>134.0</v>
      </c>
      <c r="AJ262" s="14">
        <v>249.0</v>
      </c>
      <c r="AK262" s="14"/>
      <c r="AL262" s="14">
        <v>225.0</v>
      </c>
      <c r="AM262" s="14">
        <v>121.0</v>
      </c>
      <c r="AN262" s="14">
        <v>295.0</v>
      </c>
      <c r="AO262" s="14">
        <v>91.0</v>
      </c>
      <c r="AP262" s="14">
        <v>193.0</v>
      </c>
      <c r="AQ262" s="14">
        <v>112.0</v>
      </c>
      <c r="AR262" s="14"/>
      <c r="AS262" s="14">
        <v>98.0</v>
      </c>
      <c r="AT262" s="14">
        <v>254.0</v>
      </c>
      <c r="AU262" s="14">
        <v>107.0</v>
      </c>
      <c r="AV262" s="14">
        <v>97.0</v>
      </c>
      <c r="AW262" s="14">
        <v>91.0</v>
      </c>
      <c r="AX262" s="14">
        <v>106.0</v>
      </c>
      <c r="AY262" s="14">
        <v>84.0</v>
      </c>
      <c r="AZ262" s="26"/>
      <c r="BA262" s="26"/>
      <c r="BB262" s="26"/>
      <c r="BC262" s="26"/>
    </row>
    <row r="263">
      <c r="A263" s="27">
        <f>HYPERLINK("https://arcprize.org/play?task=a5f85a15", 252)</f>
        <v>252</v>
      </c>
      <c r="B263" s="14">
        <v>55.0</v>
      </c>
      <c r="C263" s="14">
        <v>140.0</v>
      </c>
      <c r="D263" s="14">
        <v>53.0</v>
      </c>
      <c r="E263" s="14">
        <v>140.0</v>
      </c>
      <c r="F263" s="22">
        <v>57.0</v>
      </c>
      <c r="G263" s="14">
        <v>140.0</v>
      </c>
      <c r="H263" s="14">
        <v>70.0</v>
      </c>
      <c r="I263" s="14"/>
      <c r="J263" s="23">
        <v>59.0</v>
      </c>
      <c r="K263" s="14">
        <v>62.0</v>
      </c>
      <c r="L263" s="14">
        <v>62.0</v>
      </c>
      <c r="M263" s="22">
        <v>59.0</v>
      </c>
      <c r="N263" s="14"/>
      <c r="O263" s="14"/>
      <c r="P263" s="14"/>
      <c r="Q263" s="14">
        <v>66.0</v>
      </c>
      <c r="R263" s="24">
        <v>62.0</v>
      </c>
      <c r="S263" s="14">
        <v>74.0</v>
      </c>
      <c r="T263" s="14">
        <v>63.0</v>
      </c>
      <c r="U263" s="14">
        <v>140.0</v>
      </c>
      <c r="V263" s="29">
        <v>64.0</v>
      </c>
      <c r="W263" s="14">
        <v>62.0</v>
      </c>
      <c r="X263" s="14">
        <v>140.0</v>
      </c>
      <c r="Y263" s="14">
        <v>140.0</v>
      </c>
      <c r="Z263" s="25">
        <v>62.0</v>
      </c>
      <c r="AA263" s="25"/>
      <c r="AB263" s="25">
        <v>63.0</v>
      </c>
      <c r="AC263" s="14">
        <v>140.0</v>
      </c>
      <c r="AD263" s="14"/>
      <c r="AE263" s="14">
        <v>140.0</v>
      </c>
      <c r="AF263" s="14">
        <v>140.0</v>
      </c>
      <c r="AG263" s="14">
        <v>140.0</v>
      </c>
      <c r="AH263" s="14">
        <v>62.0</v>
      </c>
      <c r="AI263" s="14">
        <v>66.0</v>
      </c>
      <c r="AJ263" s="14">
        <v>114.0</v>
      </c>
      <c r="AK263" s="14"/>
      <c r="AL263" s="14">
        <v>128.0</v>
      </c>
      <c r="AM263" s="14">
        <v>65.0</v>
      </c>
      <c r="AN263" s="14">
        <v>140.0</v>
      </c>
      <c r="AO263" s="14">
        <v>60.0</v>
      </c>
      <c r="AP263" s="14">
        <v>62.0</v>
      </c>
      <c r="AQ263" s="14">
        <v>62.0</v>
      </c>
      <c r="AR263" s="14"/>
      <c r="AS263" s="14">
        <v>62.0</v>
      </c>
      <c r="AT263" s="14">
        <v>140.0</v>
      </c>
      <c r="AU263" s="14">
        <v>64.0</v>
      </c>
      <c r="AV263" s="14">
        <v>60.0</v>
      </c>
      <c r="AW263" s="14">
        <v>59.0</v>
      </c>
      <c r="AX263" s="14">
        <v>62.0</v>
      </c>
      <c r="AY263" s="14">
        <v>53.0</v>
      </c>
      <c r="AZ263" s="26"/>
      <c r="BA263" s="26"/>
      <c r="BB263" s="26"/>
      <c r="BC263" s="26"/>
    </row>
    <row r="264">
      <c r="A264" s="27">
        <f>HYPERLINK("https://arcprize.org/play?task=a61ba2ce", 253)</f>
        <v>253</v>
      </c>
      <c r="B264" s="14">
        <v>120.0</v>
      </c>
      <c r="C264" s="14">
        <v>259.0</v>
      </c>
      <c r="D264" s="14">
        <v>114.0</v>
      </c>
      <c r="E264" s="14">
        <v>233.0</v>
      </c>
      <c r="F264" s="22">
        <v>121.0</v>
      </c>
      <c r="G264" s="14">
        <v>249.0</v>
      </c>
      <c r="H264" s="14"/>
      <c r="I264" s="15"/>
      <c r="J264" s="23">
        <v>140.0</v>
      </c>
      <c r="K264" s="14">
        <v>152.0</v>
      </c>
      <c r="L264" s="14">
        <v>172.0</v>
      </c>
      <c r="M264" s="22">
        <v>172.0</v>
      </c>
      <c r="N264" s="15"/>
      <c r="O264" s="15"/>
      <c r="P264" s="15"/>
      <c r="Q264" s="14">
        <v>257.0</v>
      </c>
      <c r="R264" s="24">
        <v>177.0</v>
      </c>
      <c r="S264" s="15"/>
      <c r="T264" s="15"/>
      <c r="U264" s="14">
        <v>374.0</v>
      </c>
      <c r="V264" s="31"/>
      <c r="W264" s="15"/>
      <c r="X264" s="14">
        <v>253.0</v>
      </c>
      <c r="Y264" s="14">
        <v>259.0</v>
      </c>
      <c r="Z264" s="25">
        <v>162.0</v>
      </c>
      <c r="AA264" s="25"/>
      <c r="AB264" s="25">
        <v>243.0</v>
      </c>
      <c r="AC264" s="14">
        <v>233.0</v>
      </c>
      <c r="AD264" s="14"/>
      <c r="AE264" s="14">
        <v>233.0</v>
      </c>
      <c r="AF264" s="14">
        <v>253.0</v>
      </c>
      <c r="AG264" s="14">
        <v>313.0</v>
      </c>
      <c r="AH264" s="14">
        <v>163.0</v>
      </c>
      <c r="AI264" s="14">
        <v>208.0</v>
      </c>
      <c r="AJ264" s="14">
        <v>235.0</v>
      </c>
      <c r="AK264" s="14"/>
      <c r="AL264" s="14">
        <v>233.0</v>
      </c>
      <c r="AM264" s="14">
        <v>181.0</v>
      </c>
      <c r="AN264" s="14">
        <v>233.0</v>
      </c>
      <c r="AO264" s="14">
        <v>158.0</v>
      </c>
      <c r="AP264" s="14">
        <v>182.0</v>
      </c>
      <c r="AQ264" s="14">
        <v>184.0</v>
      </c>
      <c r="AR264" s="14"/>
      <c r="AS264" s="14">
        <v>162.0</v>
      </c>
      <c r="AT264" s="14">
        <v>233.0</v>
      </c>
      <c r="AU264" s="14">
        <v>162.0</v>
      </c>
      <c r="AV264" s="14">
        <v>132.0</v>
      </c>
      <c r="AW264" s="14">
        <v>141.0</v>
      </c>
      <c r="AX264" s="14">
        <v>152.0</v>
      </c>
      <c r="AY264" s="14">
        <v>114.0</v>
      </c>
      <c r="AZ264" s="26"/>
      <c r="BA264" s="26"/>
      <c r="BB264" s="26"/>
      <c r="BC264" s="26"/>
    </row>
    <row r="265">
      <c r="A265" s="27">
        <f>HYPERLINK("https://arcprize.org/play?task=a61f2674", 254)</f>
        <v>254</v>
      </c>
      <c r="B265" s="14">
        <v>81.0</v>
      </c>
      <c r="C265" s="14">
        <v>225.0</v>
      </c>
      <c r="D265" s="14">
        <v>91.0</v>
      </c>
      <c r="E265" s="14">
        <v>217.0</v>
      </c>
      <c r="F265" s="22">
        <v>84.0</v>
      </c>
      <c r="G265" s="14">
        <v>234.0</v>
      </c>
      <c r="H265" s="14"/>
      <c r="I265" s="15"/>
      <c r="J265" s="23">
        <v>87.0</v>
      </c>
      <c r="K265" s="14">
        <v>97.0</v>
      </c>
      <c r="L265" s="14">
        <v>116.0</v>
      </c>
      <c r="M265" s="22">
        <v>94.0</v>
      </c>
      <c r="N265" s="15"/>
      <c r="O265" s="15"/>
      <c r="P265" s="15"/>
      <c r="Q265" s="14">
        <v>233.0</v>
      </c>
      <c r="R265" s="24">
        <v>108.0</v>
      </c>
      <c r="S265" s="14">
        <v>154.0</v>
      </c>
      <c r="T265" s="15"/>
      <c r="U265" s="14">
        <v>267.0</v>
      </c>
      <c r="V265" s="31"/>
      <c r="W265" s="14">
        <v>102.0</v>
      </c>
      <c r="X265" s="14">
        <v>234.0</v>
      </c>
      <c r="Y265" s="14">
        <v>226.0</v>
      </c>
      <c r="Z265" s="25">
        <v>97.0</v>
      </c>
      <c r="AA265" s="25"/>
      <c r="AB265" s="25">
        <v>190.0</v>
      </c>
      <c r="AC265" s="14">
        <v>217.0</v>
      </c>
      <c r="AD265" s="14"/>
      <c r="AE265" s="14">
        <v>220.0</v>
      </c>
      <c r="AF265" s="14">
        <v>234.0</v>
      </c>
      <c r="AG265" s="14">
        <v>201.0</v>
      </c>
      <c r="AH265" s="14">
        <v>117.0</v>
      </c>
      <c r="AI265" s="14">
        <v>122.0</v>
      </c>
      <c r="AJ265" s="14">
        <v>184.0</v>
      </c>
      <c r="AK265" s="14"/>
      <c r="AL265" s="14">
        <v>201.0</v>
      </c>
      <c r="AM265" s="14">
        <v>113.0</v>
      </c>
      <c r="AN265" s="14">
        <v>220.0</v>
      </c>
      <c r="AO265" s="14">
        <v>94.0</v>
      </c>
      <c r="AP265" s="14">
        <v>150.0</v>
      </c>
      <c r="AQ265" s="14">
        <v>103.0</v>
      </c>
      <c r="AR265" s="14"/>
      <c r="AS265" s="14">
        <v>126.0</v>
      </c>
      <c r="AT265" s="14">
        <v>177.0</v>
      </c>
      <c r="AU265" s="14">
        <v>99.0</v>
      </c>
      <c r="AV265" s="14">
        <v>93.0</v>
      </c>
      <c r="AW265" s="14">
        <v>97.0</v>
      </c>
      <c r="AX265" s="14">
        <v>107.0</v>
      </c>
      <c r="AY265" s="14">
        <v>81.0</v>
      </c>
      <c r="AZ265" s="26"/>
      <c r="BA265" s="26"/>
      <c r="BB265" s="26"/>
      <c r="BC265" s="26"/>
    </row>
    <row r="266">
      <c r="A266" s="27">
        <f>HYPERLINK("https://arcprize.org/play?task=a64e4611", 255)</f>
        <v>255</v>
      </c>
      <c r="B266" s="14">
        <v>222.0</v>
      </c>
      <c r="C266" s="14">
        <v>675.0</v>
      </c>
      <c r="D266" s="14">
        <v>212.0</v>
      </c>
      <c r="E266" s="14">
        <v>668.0</v>
      </c>
      <c r="F266" s="22">
        <v>233.0</v>
      </c>
      <c r="G266" s="14">
        <v>779.0</v>
      </c>
      <c r="H266" s="15"/>
      <c r="I266" s="14">
        <v>309.0</v>
      </c>
      <c r="J266" s="23">
        <v>281.0</v>
      </c>
      <c r="K266" s="14">
        <v>430.0</v>
      </c>
      <c r="L266" s="14">
        <v>330.0</v>
      </c>
      <c r="M266" s="22">
        <v>239.0</v>
      </c>
      <c r="N266" s="15"/>
      <c r="O266" s="15"/>
      <c r="P266" s="15"/>
      <c r="Q266" s="15"/>
      <c r="R266" s="24">
        <v>298.0</v>
      </c>
      <c r="S266" s="15"/>
      <c r="T266" s="15"/>
      <c r="U266" s="15"/>
      <c r="V266" s="31"/>
      <c r="W266" s="15"/>
      <c r="X266" s="14"/>
      <c r="Y266" s="14">
        <v>682.0</v>
      </c>
      <c r="Z266" s="25">
        <v>265.0</v>
      </c>
      <c r="AA266" s="25"/>
      <c r="AB266" s="25">
        <v>619.0</v>
      </c>
      <c r="AC266" s="14">
        <v>728.0</v>
      </c>
      <c r="AD266" s="14"/>
      <c r="AE266" s="14">
        <v>419.0</v>
      </c>
      <c r="AF266" s="14"/>
      <c r="AG266" s="14"/>
      <c r="AH266" s="14">
        <v>564.0</v>
      </c>
      <c r="AI266" s="14">
        <v>349.0</v>
      </c>
      <c r="AJ266" s="14">
        <v>359.0</v>
      </c>
      <c r="AK266" s="14"/>
      <c r="AL266" s="14">
        <v>373.0</v>
      </c>
      <c r="AM266" s="14">
        <v>357.0</v>
      </c>
      <c r="AN266" s="14">
        <v>728.0</v>
      </c>
      <c r="AO266" s="14">
        <v>267.0</v>
      </c>
      <c r="AP266" s="14">
        <v>559.0</v>
      </c>
      <c r="AQ266" s="14">
        <v>398.0</v>
      </c>
      <c r="AR266" s="14"/>
      <c r="AS266" s="14">
        <v>330.0</v>
      </c>
      <c r="AT266" s="14">
        <v>668.0</v>
      </c>
      <c r="AU266" s="14">
        <v>278.0</v>
      </c>
      <c r="AV266" s="14">
        <v>246.0</v>
      </c>
      <c r="AW266" s="14">
        <v>257.0</v>
      </c>
      <c r="AX266" s="14">
        <v>314.0</v>
      </c>
      <c r="AY266" s="14">
        <v>194.0</v>
      </c>
      <c r="AZ266" s="26"/>
      <c r="BA266" s="26"/>
      <c r="BB266" s="26"/>
      <c r="BC266" s="26"/>
    </row>
    <row r="267">
      <c r="A267" s="27">
        <f>HYPERLINK("https://arcprize.org/play?task=a65b410d", 256)</f>
        <v>256</v>
      </c>
      <c r="B267" s="14">
        <v>97.0</v>
      </c>
      <c r="C267" s="14">
        <v>175.0</v>
      </c>
      <c r="D267" s="14">
        <v>96.0</v>
      </c>
      <c r="E267" s="14">
        <v>177.0</v>
      </c>
      <c r="F267" s="22">
        <v>95.0</v>
      </c>
      <c r="G267" s="14">
        <v>177.0</v>
      </c>
      <c r="H267" s="14"/>
      <c r="I267" s="14"/>
      <c r="J267" s="23">
        <v>105.0</v>
      </c>
      <c r="K267" s="14">
        <v>100.0</v>
      </c>
      <c r="L267" s="14">
        <v>123.0</v>
      </c>
      <c r="M267" s="22">
        <v>106.0</v>
      </c>
      <c r="N267" s="14"/>
      <c r="O267" s="14"/>
      <c r="P267" s="14"/>
      <c r="Q267" s="14">
        <v>185.0</v>
      </c>
      <c r="R267" s="24">
        <v>118.0</v>
      </c>
      <c r="S267" s="14">
        <v>126.0</v>
      </c>
      <c r="T267" s="14"/>
      <c r="U267" s="14">
        <v>177.0</v>
      </c>
      <c r="V267" s="29">
        <v>131.0</v>
      </c>
      <c r="W267" s="14">
        <v>100.0</v>
      </c>
      <c r="X267" s="14">
        <v>177.0</v>
      </c>
      <c r="Y267" s="14">
        <v>177.0</v>
      </c>
      <c r="Z267" s="25">
        <v>113.0</v>
      </c>
      <c r="AA267" s="25"/>
      <c r="AB267" s="25">
        <v>160.0</v>
      </c>
      <c r="AC267" s="14">
        <v>177.0</v>
      </c>
      <c r="AD267" s="14"/>
      <c r="AE267" s="14">
        <v>177.0</v>
      </c>
      <c r="AF267" s="14">
        <v>177.0</v>
      </c>
      <c r="AG267" s="14">
        <v>177.0</v>
      </c>
      <c r="AH267" s="14">
        <v>117.0</v>
      </c>
      <c r="AI267" s="14">
        <v>120.0</v>
      </c>
      <c r="AJ267" s="14">
        <v>163.0</v>
      </c>
      <c r="AK267" s="14"/>
      <c r="AL267" s="14">
        <v>149.0</v>
      </c>
      <c r="AM267" s="14">
        <v>113.0</v>
      </c>
      <c r="AN267" s="14">
        <v>177.0</v>
      </c>
      <c r="AO267" s="14">
        <v>93.0</v>
      </c>
      <c r="AP267" s="14">
        <v>136.0</v>
      </c>
      <c r="AQ267" s="14">
        <v>112.0</v>
      </c>
      <c r="AR267" s="14"/>
      <c r="AS267" s="14">
        <v>117.0</v>
      </c>
      <c r="AT267" s="14">
        <v>177.0</v>
      </c>
      <c r="AU267" s="14">
        <v>107.0</v>
      </c>
      <c r="AV267" s="14">
        <v>98.0</v>
      </c>
      <c r="AW267" s="14">
        <v>97.0</v>
      </c>
      <c r="AX267" s="14">
        <v>103.0</v>
      </c>
      <c r="AY267" s="14">
        <v>93.0</v>
      </c>
      <c r="AZ267" s="26"/>
      <c r="BA267" s="26"/>
      <c r="BB267" s="26"/>
      <c r="BC267" s="26"/>
    </row>
    <row r="268">
      <c r="A268" s="27">
        <f>HYPERLINK("https://arcprize.org/play?task=a68b268e", 257)</f>
        <v>257</v>
      </c>
      <c r="B268" s="14">
        <v>71.0</v>
      </c>
      <c r="C268" s="14">
        <v>169.0</v>
      </c>
      <c r="D268" s="14">
        <v>68.0</v>
      </c>
      <c r="E268" s="14">
        <v>165.0</v>
      </c>
      <c r="F268" s="22">
        <v>71.0</v>
      </c>
      <c r="G268" s="14">
        <v>114.0</v>
      </c>
      <c r="H268" s="14"/>
      <c r="I268" s="14">
        <v>90.0</v>
      </c>
      <c r="J268" s="23">
        <v>82.0</v>
      </c>
      <c r="K268" s="14">
        <v>74.0</v>
      </c>
      <c r="L268" s="14">
        <v>90.0</v>
      </c>
      <c r="M268" s="22">
        <v>82.0</v>
      </c>
      <c r="N268" s="14"/>
      <c r="O268" s="14"/>
      <c r="P268" s="14"/>
      <c r="Q268" s="14">
        <v>91.0</v>
      </c>
      <c r="R268" s="24">
        <v>84.0</v>
      </c>
      <c r="S268" s="14">
        <v>91.0</v>
      </c>
      <c r="T268" s="14"/>
      <c r="U268" s="14">
        <v>131.0</v>
      </c>
      <c r="V268" s="29">
        <v>83.0</v>
      </c>
      <c r="W268" s="14">
        <v>82.0</v>
      </c>
      <c r="X268" s="14"/>
      <c r="Y268" s="14">
        <v>203.0</v>
      </c>
      <c r="Z268" s="25">
        <v>84.0</v>
      </c>
      <c r="AA268" s="25"/>
      <c r="AB268" s="25">
        <v>132.0</v>
      </c>
      <c r="AC268" s="14">
        <v>155.0</v>
      </c>
      <c r="AD268" s="14"/>
      <c r="AE268" s="14">
        <v>187.0</v>
      </c>
      <c r="AF268" s="14">
        <v>204.0</v>
      </c>
      <c r="AG268" s="14"/>
      <c r="AH268" s="14">
        <v>84.0</v>
      </c>
      <c r="AI268" s="14">
        <v>91.0</v>
      </c>
      <c r="AJ268" s="14">
        <v>158.0</v>
      </c>
      <c r="AK268" s="14"/>
      <c r="AL268" s="14">
        <v>95.0</v>
      </c>
      <c r="AM268" s="14">
        <v>82.0</v>
      </c>
      <c r="AN268" s="14">
        <v>187.0</v>
      </c>
      <c r="AO268" s="14">
        <v>81.0</v>
      </c>
      <c r="AP268" s="14">
        <v>90.0</v>
      </c>
      <c r="AQ268" s="14">
        <v>85.0</v>
      </c>
      <c r="AR268" s="14"/>
      <c r="AS268" s="14">
        <v>84.0</v>
      </c>
      <c r="AT268" s="14">
        <v>159.0</v>
      </c>
      <c r="AU268" s="14">
        <v>81.0</v>
      </c>
      <c r="AV268" s="14">
        <v>82.0</v>
      </c>
      <c r="AW268" s="14">
        <v>80.0</v>
      </c>
      <c r="AX268" s="14">
        <v>82.0</v>
      </c>
      <c r="AY268" s="14">
        <v>68.0</v>
      </c>
      <c r="AZ268" s="26"/>
      <c r="BA268" s="26"/>
      <c r="BB268" s="26"/>
      <c r="BC268" s="26"/>
    </row>
    <row r="269">
      <c r="A269" s="27">
        <f>HYPERLINK("https://arcprize.org/play?task=a699fb00", 258)</f>
        <v>258</v>
      </c>
      <c r="B269" s="14">
        <v>61.0</v>
      </c>
      <c r="C269" s="14">
        <v>87.0</v>
      </c>
      <c r="D269" s="14">
        <v>61.0</v>
      </c>
      <c r="E269" s="14">
        <v>87.0</v>
      </c>
      <c r="F269" s="22">
        <v>61.0</v>
      </c>
      <c r="G269" s="14">
        <v>87.0</v>
      </c>
      <c r="H269" s="14">
        <v>67.0</v>
      </c>
      <c r="I269" s="14">
        <v>70.0</v>
      </c>
      <c r="J269" s="23">
        <v>61.0</v>
      </c>
      <c r="K269" s="14">
        <v>61.0</v>
      </c>
      <c r="L269" s="14">
        <v>61.0</v>
      </c>
      <c r="M269" s="22">
        <v>61.0</v>
      </c>
      <c r="N269" s="14"/>
      <c r="O269" s="14"/>
      <c r="P269" s="14"/>
      <c r="Q269" s="14">
        <v>76.0</v>
      </c>
      <c r="R269" s="24">
        <v>67.0</v>
      </c>
      <c r="S269" s="14">
        <v>64.0</v>
      </c>
      <c r="T269" s="14">
        <v>83.0</v>
      </c>
      <c r="U269" s="14">
        <v>87.0</v>
      </c>
      <c r="V269" s="29">
        <v>69.0</v>
      </c>
      <c r="W269" s="14">
        <v>61.0</v>
      </c>
      <c r="X269" s="14">
        <v>87.0</v>
      </c>
      <c r="Y269" s="14">
        <v>87.0</v>
      </c>
      <c r="Z269" s="25">
        <v>61.0</v>
      </c>
      <c r="AA269" s="25"/>
      <c r="AB269" s="25">
        <v>78.0</v>
      </c>
      <c r="AC269" s="14">
        <v>87.0</v>
      </c>
      <c r="AD269" s="14">
        <v>69.0</v>
      </c>
      <c r="AE269" s="14">
        <v>87.0</v>
      </c>
      <c r="AF269" s="14">
        <v>87.0</v>
      </c>
      <c r="AG269" s="14">
        <v>87.0</v>
      </c>
      <c r="AH269" s="14">
        <v>61.0</v>
      </c>
      <c r="AI269" s="14">
        <v>67.0</v>
      </c>
      <c r="AJ269" s="14">
        <v>87.0</v>
      </c>
      <c r="AK269" s="14"/>
      <c r="AL269" s="14">
        <v>87.0</v>
      </c>
      <c r="AM269" s="14">
        <v>62.0</v>
      </c>
      <c r="AN269" s="14">
        <v>87.0</v>
      </c>
      <c r="AO269" s="14">
        <v>61.0</v>
      </c>
      <c r="AP269" s="14">
        <v>62.0</v>
      </c>
      <c r="AQ269" s="14">
        <v>61.0</v>
      </c>
      <c r="AR269" s="14"/>
      <c r="AS269" s="14">
        <v>61.0</v>
      </c>
      <c r="AT269" s="14">
        <v>87.0</v>
      </c>
      <c r="AU269" s="14">
        <v>61.0</v>
      </c>
      <c r="AV269" s="14">
        <v>61.0</v>
      </c>
      <c r="AW269" s="14">
        <v>61.0</v>
      </c>
      <c r="AX269" s="14">
        <v>61.0</v>
      </c>
      <c r="AY269" s="14">
        <v>61.0</v>
      </c>
      <c r="AZ269" s="26"/>
      <c r="BA269" s="26"/>
      <c r="BB269" s="26"/>
      <c r="BC269" s="26"/>
    </row>
    <row r="270">
      <c r="A270" s="27">
        <f>HYPERLINK("https://arcprize.org/play?task=a740d043", 259)</f>
        <v>259</v>
      </c>
      <c r="B270" s="14">
        <v>83.0</v>
      </c>
      <c r="C270" s="14">
        <v>215.0</v>
      </c>
      <c r="D270" s="14">
        <v>85.0</v>
      </c>
      <c r="E270" s="14">
        <v>204.0</v>
      </c>
      <c r="F270" s="22">
        <v>83.0</v>
      </c>
      <c r="G270" s="14">
        <v>215.0</v>
      </c>
      <c r="H270" s="14"/>
      <c r="I270" s="15"/>
      <c r="J270" s="23">
        <v>86.0</v>
      </c>
      <c r="K270" s="14">
        <v>87.0</v>
      </c>
      <c r="L270" s="14">
        <v>129.0</v>
      </c>
      <c r="M270" s="22">
        <v>85.0</v>
      </c>
      <c r="N270" s="15"/>
      <c r="O270" s="15"/>
      <c r="P270" s="15"/>
      <c r="Q270" s="14">
        <v>225.0</v>
      </c>
      <c r="R270" s="24">
        <v>106.0</v>
      </c>
      <c r="S270" s="14">
        <v>198.0</v>
      </c>
      <c r="T270" s="15"/>
      <c r="U270" s="14">
        <v>219.0</v>
      </c>
      <c r="V270" s="29">
        <v>140.0</v>
      </c>
      <c r="W270" s="14">
        <v>85.0</v>
      </c>
      <c r="X270" s="14">
        <v>219.0</v>
      </c>
      <c r="Y270" s="14">
        <v>215.0</v>
      </c>
      <c r="Z270" s="25">
        <v>99.0</v>
      </c>
      <c r="AA270" s="25"/>
      <c r="AB270" s="25">
        <v>165.0</v>
      </c>
      <c r="AC270" s="14">
        <v>204.0</v>
      </c>
      <c r="AD270" s="14"/>
      <c r="AE270" s="14">
        <v>204.0</v>
      </c>
      <c r="AF270" s="14">
        <v>219.0</v>
      </c>
      <c r="AG270" s="14">
        <v>219.0</v>
      </c>
      <c r="AH270" s="14">
        <v>135.0</v>
      </c>
      <c r="AI270" s="14">
        <v>103.0</v>
      </c>
      <c r="AJ270" s="14">
        <v>204.0</v>
      </c>
      <c r="AK270" s="14"/>
      <c r="AL270" s="14">
        <v>168.0</v>
      </c>
      <c r="AM270" s="14">
        <v>143.0</v>
      </c>
      <c r="AN270" s="14">
        <v>204.0</v>
      </c>
      <c r="AO270" s="14">
        <v>85.0</v>
      </c>
      <c r="AP270" s="14">
        <v>148.0</v>
      </c>
      <c r="AQ270" s="14">
        <v>146.0</v>
      </c>
      <c r="AR270" s="14"/>
      <c r="AS270" s="14">
        <v>101.0</v>
      </c>
      <c r="AT270" s="14">
        <v>149.0</v>
      </c>
      <c r="AU270" s="14">
        <v>86.0</v>
      </c>
      <c r="AV270" s="14">
        <v>86.0</v>
      </c>
      <c r="AW270" s="14">
        <v>85.0</v>
      </c>
      <c r="AX270" s="14">
        <v>98.0</v>
      </c>
      <c r="AY270" s="14">
        <v>83.0</v>
      </c>
      <c r="AZ270" s="26"/>
      <c r="BA270" s="26"/>
      <c r="BB270" s="26"/>
      <c r="BC270" s="26"/>
    </row>
    <row r="271">
      <c r="A271" s="27">
        <f>HYPERLINK("https://arcprize.org/play?task=a78176bb", 260)</f>
        <v>260</v>
      </c>
      <c r="B271" s="14">
        <v>132.0</v>
      </c>
      <c r="C271" s="14">
        <v>341.0</v>
      </c>
      <c r="D271" s="14">
        <v>130.0</v>
      </c>
      <c r="E271" s="14">
        <v>327.0</v>
      </c>
      <c r="F271" s="22">
        <v>134.0</v>
      </c>
      <c r="G271" s="14">
        <v>352.0</v>
      </c>
      <c r="H271" s="15"/>
      <c r="I271" s="15"/>
      <c r="J271" s="23">
        <v>140.0</v>
      </c>
      <c r="K271" s="14">
        <v>174.0</v>
      </c>
      <c r="L271" s="14">
        <v>234.0</v>
      </c>
      <c r="M271" s="22">
        <v>161.0</v>
      </c>
      <c r="N271" s="15"/>
      <c r="O271" s="15"/>
      <c r="P271" s="15"/>
      <c r="Q271" s="14">
        <v>367.0</v>
      </c>
      <c r="R271" s="24">
        <v>143.0</v>
      </c>
      <c r="S271" s="15"/>
      <c r="T271" s="15"/>
      <c r="U271" s="15"/>
      <c r="V271" s="31"/>
      <c r="W271" s="15"/>
      <c r="X271" s="14"/>
      <c r="Y271" s="14">
        <v>555.0</v>
      </c>
      <c r="Z271" s="25">
        <v>179.0</v>
      </c>
      <c r="AA271" s="25"/>
      <c r="AB271" s="25">
        <v>264.0</v>
      </c>
      <c r="AC271" s="14">
        <v>327.0</v>
      </c>
      <c r="AD271" s="14"/>
      <c r="AE271" s="14">
        <v>234.0</v>
      </c>
      <c r="AF271" s="14">
        <v>471.0</v>
      </c>
      <c r="AG271" s="14"/>
      <c r="AH271" s="14">
        <v>211.0</v>
      </c>
      <c r="AI271" s="14">
        <v>209.0</v>
      </c>
      <c r="AJ271" s="14">
        <v>274.0</v>
      </c>
      <c r="AK271" s="14"/>
      <c r="AL271" s="14">
        <v>268.0</v>
      </c>
      <c r="AM271" s="14">
        <v>187.0</v>
      </c>
      <c r="AN271" s="14">
        <v>330.0</v>
      </c>
      <c r="AO271" s="14">
        <v>151.0</v>
      </c>
      <c r="AP271" s="14">
        <v>209.0</v>
      </c>
      <c r="AQ271" s="14">
        <v>214.0</v>
      </c>
      <c r="AR271" s="14"/>
      <c r="AS271" s="14">
        <v>166.0</v>
      </c>
      <c r="AT271" s="14">
        <v>244.0</v>
      </c>
      <c r="AU271" s="14">
        <v>168.0</v>
      </c>
      <c r="AV271" s="14">
        <v>142.0</v>
      </c>
      <c r="AW271" s="14">
        <v>172.0</v>
      </c>
      <c r="AX271" s="14">
        <v>163.0</v>
      </c>
      <c r="AY271" s="14">
        <v>130.0</v>
      </c>
      <c r="AZ271" s="26"/>
      <c r="BA271" s="26"/>
      <c r="BB271" s="26"/>
      <c r="BC271" s="26"/>
    </row>
    <row r="272">
      <c r="A272" s="27">
        <f>HYPERLINK("https://arcprize.org/play?task=a79310a0", 261)</f>
        <v>261</v>
      </c>
      <c r="B272" s="14">
        <v>47.0</v>
      </c>
      <c r="C272" s="14">
        <v>62.0</v>
      </c>
      <c r="D272" s="14">
        <v>47.0</v>
      </c>
      <c r="E272" s="14">
        <v>82.0</v>
      </c>
      <c r="F272" s="22">
        <v>47.0</v>
      </c>
      <c r="G272" s="14">
        <v>47.0</v>
      </c>
      <c r="H272" s="14">
        <v>47.0</v>
      </c>
      <c r="I272" s="14">
        <v>48.0</v>
      </c>
      <c r="J272" s="23">
        <v>47.0</v>
      </c>
      <c r="K272" s="14">
        <v>47.0</v>
      </c>
      <c r="L272" s="14">
        <v>50.0</v>
      </c>
      <c r="M272" s="22">
        <v>47.0</v>
      </c>
      <c r="N272" s="15"/>
      <c r="O272" s="15"/>
      <c r="P272" s="15"/>
      <c r="Q272" s="14">
        <v>57.0</v>
      </c>
      <c r="R272" s="24">
        <v>51.0</v>
      </c>
      <c r="S272" s="14">
        <v>56.0</v>
      </c>
      <c r="T272" s="14">
        <v>51.0</v>
      </c>
      <c r="U272" s="14">
        <v>84.0</v>
      </c>
      <c r="V272" s="29">
        <v>50.0</v>
      </c>
      <c r="W272" s="14">
        <v>48.0</v>
      </c>
      <c r="X272" s="14">
        <v>84.0</v>
      </c>
      <c r="Y272" s="14">
        <v>73.0</v>
      </c>
      <c r="Z272" s="25">
        <v>47.0</v>
      </c>
      <c r="AA272" s="25"/>
      <c r="AB272" s="25">
        <v>59.0</v>
      </c>
      <c r="AC272" s="14">
        <v>82.0</v>
      </c>
      <c r="AD272" s="14">
        <v>50.0</v>
      </c>
      <c r="AE272" s="14">
        <v>82.0</v>
      </c>
      <c r="AF272" s="14">
        <v>84.0</v>
      </c>
      <c r="AG272" s="14">
        <v>84.0</v>
      </c>
      <c r="AH272" s="14">
        <v>47.0</v>
      </c>
      <c r="AI272" s="14">
        <v>50.0</v>
      </c>
      <c r="AJ272" s="14">
        <v>75.0</v>
      </c>
      <c r="AK272" s="14">
        <v>50.0</v>
      </c>
      <c r="AL272" s="14">
        <v>58.0</v>
      </c>
      <c r="AM272" s="14">
        <v>50.0</v>
      </c>
      <c r="AN272" s="14">
        <v>72.0</v>
      </c>
      <c r="AO272" s="14">
        <v>47.0</v>
      </c>
      <c r="AP272" s="14">
        <v>47.0</v>
      </c>
      <c r="AQ272" s="14">
        <v>56.0</v>
      </c>
      <c r="AR272" s="14"/>
      <c r="AS272" s="14">
        <v>50.0</v>
      </c>
      <c r="AT272" s="14">
        <v>76.0</v>
      </c>
      <c r="AU272" s="14">
        <v>47.0</v>
      </c>
      <c r="AV272" s="14">
        <v>47.0</v>
      </c>
      <c r="AW272" s="14">
        <v>47.0</v>
      </c>
      <c r="AX272" s="14">
        <v>47.0</v>
      </c>
      <c r="AY272" s="14">
        <v>47.0</v>
      </c>
      <c r="AZ272" s="26"/>
      <c r="BA272" s="26"/>
      <c r="BB272" s="26"/>
      <c r="BC272" s="26"/>
    </row>
    <row r="273">
      <c r="A273" s="27">
        <f>HYPERLINK("https://arcprize.org/play?task=a85d4709", 262)</f>
        <v>262</v>
      </c>
      <c r="B273" s="14">
        <v>39.0</v>
      </c>
      <c r="C273" s="14">
        <v>42.0</v>
      </c>
      <c r="D273" s="14">
        <v>39.0</v>
      </c>
      <c r="E273" s="14">
        <v>46.0</v>
      </c>
      <c r="F273" s="22">
        <v>39.0</v>
      </c>
      <c r="G273" s="14">
        <v>46.0</v>
      </c>
      <c r="H273" s="14">
        <v>42.0</v>
      </c>
      <c r="I273" s="14">
        <v>42.0</v>
      </c>
      <c r="J273" s="23">
        <v>39.0</v>
      </c>
      <c r="K273" s="14">
        <v>40.0</v>
      </c>
      <c r="L273" s="14">
        <v>42.0</v>
      </c>
      <c r="M273" s="22">
        <v>39.0</v>
      </c>
      <c r="N273" s="14"/>
      <c r="O273" s="14"/>
      <c r="P273" s="14"/>
      <c r="Q273" s="14">
        <v>46.0</v>
      </c>
      <c r="R273" s="24">
        <v>43.0</v>
      </c>
      <c r="S273" s="14">
        <v>44.0</v>
      </c>
      <c r="T273" s="14">
        <v>42.0</v>
      </c>
      <c r="U273" s="14">
        <v>46.0</v>
      </c>
      <c r="V273" s="29">
        <v>42.0</v>
      </c>
      <c r="W273" s="14">
        <v>40.0</v>
      </c>
      <c r="X273" s="14">
        <v>46.0</v>
      </c>
      <c r="Y273" s="14">
        <v>46.0</v>
      </c>
      <c r="Z273" s="25">
        <v>39.0</v>
      </c>
      <c r="AA273" s="25"/>
      <c r="AB273" s="25">
        <v>46.0</v>
      </c>
      <c r="AC273" s="14">
        <v>46.0</v>
      </c>
      <c r="AD273" s="14"/>
      <c r="AE273" s="14">
        <v>46.0</v>
      </c>
      <c r="AF273" s="14">
        <v>46.0</v>
      </c>
      <c r="AG273" s="14">
        <v>46.0</v>
      </c>
      <c r="AH273" s="14">
        <v>43.0</v>
      </c>
      <c r="AI273" s="14">
        <v>43.0</v>
      </c>
      <c r="AJ273" s="14">
        <v>43.0</v>
      </c>
      <c r="AK273" s="14">
        <v>39.0</v>
      </c>
      <c r="AL273" s="14">
        <v>46.0</v>
      </c>
      <c r="AM273" s="14">
        <v>42.0</v>
      </c>
      <c r="AN273" s="14">
        <v>46.0</v>
      </c>
      <c r="AO273" s="14">
        <v>39.0</v>
      </c>
      <c r="AP273" s="14">
        <v>40.0</v>
      </c>
      <c r="AQ273" s="14">
        <v>41.0</v>
      </c>
      <c r="AR273" s="14"/>
      <c r="AS273" s="14">
        <v>46.0</v>
      </c>
      <c r="AT273" s="14">
        <v>46.0</v>
      </c>
      <c r="AU273" s="14">
        <v>39.0</v>
      </c>
      <c r="AV273" s="14">
        <v>40.0</v>
      </c>
      <c r="AW273" s="14">
        <v>39.0</v>
      </c>
      <c r="AX273" s="14">
        <v>39.0</v>
      </c>
      <c r="AY273" s="14">
        <v>39.0</v>
      </c>
      <c r="AZ273" s="26"/>
      <c r="BA273" s="26"/>
      <c r="BB273" s="26"/>
      <c r="BC273" s="26"/>
    </row>
    <row r="274">
      <c r="A274" s="27">
        <f>HYPERLINK("https://arcprize.org/play?task=a87f7484", 263)</f>
        <v>263</v>
      </c>
      <c r="B274" s="14">
        <v>106.0</v>
      </c>
      <c r="C274" s="14">
        <v>212.0</v>
      </c>
      <c r="D274" s="14">
        <v>117.0</v>
      </c>
      <c r="E274" s="14">
        <v>199.0</v>
      </c>
      <c r="F274" s="22">
        <v>112.0</v>
      </c>
      <c r="G274" s="14">
        <v>208.0</v>
      </c>
      <c r="H274" s="14"/>
      <c r="I274" s="15"/>
      <c r="J274" s="23">
        <v>138.0</v>
      </c>
      <c r="K274" s="14">
        <v>124.0</v>
      </c>
      <c r="L274" s="14">
        <v>132.0</v>
      </c>
      <c r="M274" s="22">
        <v>141.0</v>
      </c>
      <c r="N274" s="15"/>
      <c r="O274" s="15"/>
      <c r="P274" s="15"/>
      <c r="Q274" s="14">
        <v>215.0</v>
      </c>
      <c r="R274" s="24">
        <v>124.0</v>
      </c>
      <c r="S274" s="15"/>
      <c r="T274" s="15"/>
      <c r="U274" s="14">
        <v>265.0</v>
      </c>
      <c r="V274" s="31"/>
      <c r="W274" s="14">
        <v>112.0</v>
      </c>
      <c r="X274" s="14">
        <v>218.0</v>
      </c>
      <c r="Y274" s="14">
        <v>214.0</v>
      </c>
      <c r="Z274" s="25">
        <v>146.0</v>
      </c>
      <c r="AA274" s="25"/>
      <c r="AB274" s="25">
        <v>218.0</v>
      </c>
      <c r="AC274" s="14">
        <v>199.0</v>
      </c>
      <c r="AD274" s="14"/>
      <c r="AE274" s="14">
        <v>199.0</v>
      </c>
      <c r="AF274" s="14">
        <v>218.0</v>
      </c>
      <c r="AG274" s="14">
        <v>214.0</v>
      </c>
      <c r="AH274" s="14">
        <v>167.0</v>
      </c>
      <c r="AI274" s="14">
        <v>199.0</v>
      </c>
      <c r="AJ274" s="14">
        <v>201.0</v>
      </c>
      <c r="AK274" s="14"/>
      <c r="AL274" s="14">
        <v>199.0</v>
      </c>
      <c r="AM274" s="14">
        <v>166.0</v>
      </c>
      <c r="AN274" s="14">
        <v>199.0</v>
      </c>
      <c r="AO274" s="14">
        <v>124.0</v>
      </c>
      <c r="AP274" s="14">
        <v>171.0</v>
      </c>
      <c r="AQ274" s="14">
        <v>162.0</v>
      </c>
      <c r="AR274" s="14"/>
      <c r="AS274" s="14">
        <v>161.0</v>
      </c>
      <c r="AT274" s="14">
        <v>199.0</v>
      </c>
      <c r="AU274" s="14">
        <v>115.0</v>
      </c>
      <c r="AV274" s="14">
        <v>119.0</v>
      </c>
      <c r="AW274" s="14">
        <v>119.0</v>
      </c>
      <c r="AX274" s="14">
        <v>125.0</v>
      </c>
      <c r="AY274" s="14">
        <v>106.0</v>
      </c>
      <c r="AZ274" s="26"/>
      <c r="BA274" s="26"/>
      <c r="BB274" s="26"/>
      <c r="BC274" s="26"/>
    </row>
    <row r="275">
      <c r="A275" s="27">
        <f>HYPERLINK("https://arcprize.org/play?task=a8c38be5", 264)</f>
        <v>264</v>
      </c>
      <c r="B275" s="14">
        <v>178.0</v>
      </c>
      <c r="C275" s="14">
        <v>331.0</v>
      </c>
      <c r="D275" s="14">
        <v>190.0</v>
      </c>
      <c r="E275" s="14">
        <v>325.0</v>
      </c>
      <c r="F275" s="22">
        <v>189.0</v>
      </c>
      <c r="G275" s="14">
        <v>346.0</v>
      </c>
      <c r="H275" s="15"/>
      <c r="I275" s="15"/>
      <c r="J275" s="23">
        <v>201.0</v>
      </c>
      <c r="K275" s="14">
        <v>196.0</v>
      </c>
      <c r="L275" s="14">
        <v>249.0</v>
      </c>
      <c r="M275" s="22">
        <v>246.0</v>
      </c>
      <c r="N275" s="15"/>
      <c r="O275" s="15"/>
      <c r="P275" s="15"/>
      <c r="Q275" s="14">
        <v>325.0</v>
      </c>
      <c r="R275" s="24">
        <v>236.0</v>
      </c>
      <c r="S275" s="15"/>
      <c r="T275" s="15"/>
      <c r="U275" s="15"/>
      <c r="V275" s="31"/>
      <c r="W275" s="15"/>
      <c r="X275" s="14"/>
      <c r="Y275" s="14">
        <v>489.0</v>
      </c>
      <c r="Z275" s="25">
        <v>212.0</v>
      </c>
      <c r="AA275" s="25"/>
      <c r="AB275" s="25">
        <v>314.0</v>
      </c>
      <c r="AC275" s="14">
        <v>325.0</v>
      </c>
      <c r="AD275" s="14"/>
      <c r="AE275" s="14">
        <v>271.0</v>
      </c>
      <c r="AF275" s="14">
        <v>347.0</v>
      </c>
      <c r="AG275" s="14"/>
      <c r="AH275" s="14">
        <v>218.0</v>
      </c>
      <c r="AI275" s="14">
        <v>282.0</v>
      </c>
      <c r="AJ275" s="14">
        <v>326.0</v>
      </c>
      <c r="AK275" s="14"/>
      <c r="AL275" s="14">
        <v>324.0</v>
      </c>
      <c r="AM275" s="14">
        <v>257.0</v>
      </c>
      <c r="AN275" s="14">
        <v>325.0</v>
      </c>
      <c r="AO275" s="14">
        <v>182.0</v>
      </c>
      <c r="AP275" s="14">
        <v>267.0</v>
      </c>
      <c r="AQ275" s="14">
        <v>238.0</v>
      </c>
      <c r="AR275" s="14"/>
      <c r="AS275" s="14">
        <v>253.0</v>
      </c>
      <c r="AT275" s="14">
        <v>323.0</v>
      </c>
      <c r="AU275" s="14">
        <v>200.0</v>
      </c>
      <c r="AV275" s="14">
        <v>200.0</v>
      </c>
      <c r="AW275" s="14">
        <v>234.0</v>
      </c>
      <c r="AX275" s="14">
        <v>213.0</v>
      </c>
      <c r="AY275" s="14">
        <v>177.0</v>
      </c>
      <c r="AZ275" s="26"/>
      <c r="BA275" s="26"/>
      <c r="BB275" s="26"/>
      <c r="BC275" s="26"/>
    </row>
    <row r="276">
      <c r="A276" s="27">
        <f>HYPERLINK("https://arcprize.org/play?task=a8d7556c", 265)</f>
        <v>265</v>
      </c>
      <c r="B276" s="14">
        <v>104.0</v>
      </c>
      <c r="C276" s="14">
        <v>249.0</v>
      </c>
      <c r="D276" s="14">
        <v>118.0</v>
      </c>
      <c r="E276" s="14">
        <v>238.0</v>
      </c>
      <c r="F276" s="22">
        <v>107.0</v>
      </c>
      <c r="G276" s="14">
        <v>260.0</v>
      </c>
      <c r="H276" s="15"/>
      <c r="I276" s="15"/>
      <c r="J276" s="23">
        <v>132.0</v>
      </c>
      <c r="K276" s="14">
        <v>170.0</v>
      </c>
      <c r="L276" s="14">
        <v>177.0</v>
      </c>
      <c r="M276" s="22">
        <v>142.0</v>
      </c>
      <c r="N276" s="15"/>
      <c r="O276" s="15"/>
      <c r="P276" s="15"/>
      <c r="Q276" s="15"/>
      <c r="R276" s="24">
        <v>152.0</v>
      </c>
      <c r="S276" s="15"/>
      <c r="T276" s="14">
        <v>225.0</v>
      </c>
      <c r="U276" s="15"/>
      <c r="V276" s="31"/>
      <c r="W276" s="15"/>
      <c r="X276" s="14"/>
      <c r="Y276" s="14">
        <v>268.0</v>
      </c>
      <c r="Z276" s="25">
        <v>116.0</v>
      </c>
      <c r="AA276" s="25"/>
      <c r="AB276" s="25">
        <v>244.0</v>
      </c>
      <c r="AC276" s="14">
        <v>244.0</v>
      </c>
      <c r="AD276" s="14"/>
      <c r="AE276" s="14">
        <v>200.0</v>
      </c>
      <c r="AF276" s="14">
        <v>425.0</v>
      </c>
      <c r="AG276" s="14"/>
      <c r="AH276" s="14">
        <v>204.0</v>
      </c>
      <c r="AI276" s="14">
        <v>201.0</v>
      </c>
      <c r="AJ276" s="14">
        <v>254.0</v>
      </c>
      <c r="AK276" s="14"/>
      <c r="AL276" s="14">
        <v>219.0</v>
      </c>
      <c r="AM276" s="14">
        <v>171.0</v>
      </c>
      <c r="AN276" s="14">
        <v>244.0</v>
      </c>
      <c r="AO276" s="14">
        <v>132.0</v>
      </c>
      <c r="AP276" s="14">
        <v>213.0</v>
      </c>
      <c r="AQ276" s="14">
        <v>212.0</v>
      </c>
      <c r="AR276" s="14"/>
      <c r="AS276" s="14">
        <v>148.0</v>
      </c>
      <c r="AT276" s="14">
        <v>241.0</v>
      </c>
      <c r="AU276" s="14">
        <v>137.0</v>
      </c>
      <c r="AV276" s="14">
        <v>115.0</v>
      </c>
      <c r="AW276" s="14">
        <v>157.0</v>
      </c>
      <c r="AX276" s="14">
        <v>162.0</v>
      </c>
      <c r="AY276" s="14">
        <v>104.0</v>
      </c>
      <c r="AZ276" s="26"/>
      <c r="BA276" s="26"/>
      <c r="BB276" s="26"/>
      <c r="BC276" s="26"/>
    </row>
    <row r="277">
      <c r="A277" s="27">
        <f>HYPERLINK("https://arcprize.org/play?task=a9f96cdd", 266)</f>
        <v>266</v>
      </c>
      <c r="B277" s="14">
        <v>88.0</v>
      </c>
      <c r="C277" s="14">
        <v>168.0</v>
      </c>
      <c r="D277" s="14">
        <v>99.0</v>
      </c>
      <c r="E277" s="14">
        <v>172.0</v>
      </c>
      <c r="F277" s="22">
        <v>98.0</v>
      </c>
      <c r="G277" s="14">
        <v>172.0</v>
      </c>
      <c r="H277" s="14"/>
      <c r="I277" s="14"/>
      <c r="J277" s="23">
        <v>109.0</v>
      </c>
      <c r="K277" s="14">
        <v>113.0</v>
      </c>
      <c r="L277" s="14">
        <v>127.0</v>
      </c>
      <c r="M277" s="22">
        <v>117.0</v>
      </c>
      <c r="N277" s="14"/>
      <c r="O277" s="14"/>
      <c r="P277" s="14"/>
      <c r="Q277" s="14">
        <v>178.0</v>
      </c>
      <c r="R277" s="24">
        <v>125.0</v>
      </c>
      <c r="S277" s="14"/>
      <c r="T277" s="14"/>
      <c r="U277" s="14">
        <v>172.0</v>
      </c>
      <c r="V277" s="29">
        <v>150.0</v>
      </c>
      <c r="W277" s="14">
        <v>100.0</v>
      </c>
      <c r="X277" s="14">
        <v>172.0</v>
      </c>
      <c r="Y277" s="14">
        <v>172.0</v>
      </c>
      <c r="Z277" s="25">
        <v>114.0</v>
      </c>
      <c r="AA277" s="25"/>
      <c r="AB277" s="25">
        <v>154.0</v>
      </c>
      <c r="AC277" s="14">
        <v>172.0</v>
      </c>
      <c r="AD277" s="14"/>
      <c r="AE277" s="14">
        <v>172.0</v>
      </c>
      <c r="AF277" s="14">
        <v>172.0</v>
      </c>
      <c r="AG277" s="14">
        <v>172.0</v>
      </c>
      <c r="AH277" s="14">
        <v>130.0</v>
      </c>
      <c r="AI277" s="14">
        <v>146.0</v>
      </c>
      <c r="AJ277" s="14">
        <v>172.0</v>
      </c>
      <c r="AK277" s="14"/>
      <c r="AL277" s="14">
        <v>157.0</v>
      </c>
      <c r="AM277" s="14">
        <v>123.0</v>
      </c>
      <c r="AN277" s="14">
        <v>172.0</v>
      </c>
      <c r="AO277" s="14">
        <v>99.0</v>
      </c>
      <c r="AP277" s="14">
        <v>152.0</v>
      </c>
      <c r="AQ277" s="14">
        <v>133.0</v>
      </c>
      <c r="AR277" s="14"/>
      <c r="AS277" s="14">
        <v>102.0</v>
      </c>
      <c r="AT277" s="14">
        <v>172.0</v>
      </c>
      <c r="AU277" s="14">
        <v>98.0</v>
      </c>
      <c r="AV277" s="14">
        <v>102.0</v>
      </c>
      <c r="AW277" s="14">
        <v>114.0</v>
      </c>
      <c r="AX277" s="14">
        <v>103.0</v>
      </c>
      <c r="AY277" s="14">
        <v>88.0</v>
      </c>
      <c r="AZ277" s="26"/>
      <c r="BA277" s="26"/>
      <c r="BB277" s="26"/>
      <c r="BC277" s="26"/>
    </row>
    <row r="278">
      <c r="A278" s="27">
        <f>HYPERLINK("https://arcprize.org/play?task=aabf363d", 267)</f>
        <v>267</v>
      </c>
      <c r="B278" s="14">
        <v>46.0</v>
      </c>
      <c r="C278" s="14">
        <v>72.0</v>
      </c>
      <c r="D278" s="14">
        <v>46.0</v>
      </c>
      <c r="E278" s="14">
        <v>72.0</v>
      </c>
      <c r="F278" s="22">
        <v>46.0</v>
      </c>
      <c r="G278" s="14">
        <v>72.0</v>
      </c>
      <c r="H278" s="14">
        <v>57.0</v>
      </c>
      <c r="I278" s="14">
        <v>58.0</v>
      </c>
      <c r="J278" s="23">
        <v>56.0</v>
      </c>
      <c r="K278" s="14">
        <v>46.0</v>
      </c>
      <c r="L278" s="14">
        <v>56.0</v>
      </c>
      <c r="M278" s="22">
        <v>50.0</v>
      </c>
      <c r="N278" s="14"/>
      <c r="O278" s="14"/>
      <c r="P278" s="14"/>
      <c r="Q278" s="14">
        <v>58.0</v>
      </c>
      <c r="R278" s="24">
        <v>51.0</v>
      </c>
      <c r="S278" s="14"/>
      <c r="T278" s="14">
        <v>59.0</v>
      </c>
      <c r="U278" s="14">
        <v>72.0</v>
      </c>
      <c r="V278" s="29">
        <v>58.0</v>
      </c>
      <c r="W278" s="14">
        <v>56.0</v>
      </c>
      <c r="X278" s="14">
        <v>72.0</v>
      </c>
      <c r="Y278" s="14">
        <v>72.0</v>
      </c>
      <c r="Z278" s="25">
        <v>46.0</v>
      </c>
      <c r="AA278" s="25"/>
      <c r="AB278" s="25">
        <v>71.0</v>
      </c>
      <c r="AC278" s="14">
        <v>72.0</v>
      </c>
      <c r="AD278" s="14">
        <v>56.0</v>
      </c>
      <c r="AE278" s="14">
        <v>72.0</v>
      </c>
      <c r="AF278" s="14">
        <v>72.0</v>
      </c>
      <c r="AG278" s="14">
        <v>72.0</v>
      </c>
      <c r="AH278" s="14">
        <v>59.0</v>
      </c>
      <c r="AI278" s="14">
        <v>56.0</v>
      </c>
      <c r="AJ278" s="14">
        <v>72.0</v>
      </c>
      <c r="AK278" s="14">
        <v>54.0</v>
      </c>
      <c r="AL278" s="14">
        <v>72.0</v>
      </c>
      <c r="AM278" s="14">
        <v>59.0</v>
      </c>
      <c r="AN278" s="14">
        <v>72.0</v>
      </c>
      <c r="AO278" s="14">
        <v>46.0</v>
      </c>
      <c r="AP278" s="14">
        <v>67.0</v>
      </c>
      <c r="AQ278" s="14">
        <v>59.0</v>
      </c>
      <c r="AR278" s="14"/>
      <c r="AS278" s="14">
        <v>56.0</v>
      </c>
      <c r="AT278" s="14">
        <v>72.0</v>
      </c>
      <c r="AU278" s="14">
        <v>54.0</v>
      </c>
      <c r="AV278" s="14">
        <v>46.0</v>
      </c>
      <c r="AW278" s="14">
        <v>46.0</v>
      </c>
      <c r="AX278" s="14">
        <v>48.0</v>
      </c>
      <c r="AY278" s="14">
        <v>46.0</v>
      </c>
      <c r="AZ278" s="26"/>
      <c r="BA278" s="26"/>
      <c r="BB278" s="26"/>
      <c r="BC278" s="26"/>
    </row>
    <row r="279">
      <c r="A279" s="27">
        <f>HYPERLINK("https://arcprize.org/play?task=aba27056", 268)</f>
        <v>268</v>
      </c>
      <c r="B279" s="14">
        <v>215.0</v>
      </c>
      <c r="C279" s="14">
        <v>357.0</v>
      </c>
      <c r="D279" s="14">
        <v>222.0</v>
      </c>
      <c r="E279" s="14">
        <v>322.0</v>
      </c>
      <c r="F279" s="22">
        <v>190.0</v>
      </c>
      <c r="G279" s="14">
        <v>352.0</v>
      </c>
      <c r="H279" s="15"/>
      <c r="I279" s="15"/>
      <c r="J279" s="23">
        <v>236.0</v>
      </c>
      <c r="K279" s="14">
        <v>218.0</v>
      </c>
      <c r="L279" s="14">
        <v>306.0</v>
      </c>
      <c r="M279" s="22">
        <v>306.0</v>
      </c>
      <c r="N279" s="15"/>
      <c r="O279" s="15"/>
      <c r="P279" s="15"/>
      <c r="Q279" s="15"/>
      <c r="R279" s="24">
        <v>270.0</v>
      </c>
      <c r="S279" s="15"/>
      <c r="T279" s="15"/>
      <c r="U279" s="15"/>
      <c r="V279" s="31"/>
      <c r="W279" s="15"/>
      <c r="X279" s="14"/>
      <c r="Y279" s="14">
        <v>404.0</v>
      </c>
      <c r="Z279" s="25">
        <v>258.0</v>
      </c>
      <c r="AA279" s="25"/>
      <c r="AB279" s="25">
        <v>390.0</v>
      </c>
      <c r="AC279" s="14">
        <v>322.0</v>
      </c>
      <c r="AD279" s="14"/>
      <c r="AE279" s="14">
        <v>322.0</v>
      </c>
      <c r="AF279" s="14">
        <v>503.0</v>
      </c>
      <c r="AG279" s="14"/>
      <c r="AH279" s="14">
        <v>352.0</v>
      </c>
      <c r="AI279" s="14">
        <v>308.0</v>
      </c>
      <c r="AJ279" s="14">
        <v>340.0</v>
      </c>
      <c r="AK279" s="14">
        <v>290.0</v>
      </c>
      <c r="AL279" s="14">
        <v>322.0</v>
      </c>
      <c r="AM279" s="14">
        <v>245.0</v>
      </c>
      <c r="AN279" s="14">
        <v>322.0</v>
      </c>
      <c r="AO279" s="14">
        <v>216.0</v>
      </c>
      <c r="AP279" s="14">
        <v>317.0</v>
      </c>
      <c r="AQ279" s="14">
        <v>314.0</v>
      </c>
      <c r="AR279" s="14"/>
      <c r="AS279" s="14">
        <v>261.0</v>
      </c>
      <c r="AT279" s="14">
        <v>322.0</v>
      </c>
      <c r="AU279" s="14">
        <v>219.0</v>
      </c>
      <c r="AV279" s="14">
        <v>222.0</v>
      </c>
      <c r="AW279" s="14">
        <v>217.0</v>
      </c>
      <c r="AX279" s="14">
        <v>235.0</v>
      </c>
      <c r="AY279" s="14">
        <v>190.0</v>
      </c>
      <c r="AZ279" s="26"/>
      <c r="BA279" s="26"/>
      <c r="BB279" s="26"/>
      <c r="BC279" s="26"/>
    </row>
    <row r="280">
      <c r="A280" s="27">
        <f>HYPERLINK("https://arcprize.org/play?task=ac0a08a4", 269)</f>
        <v>269</v>
      </c>
      <c r="B280" s="14">
        <v>63.0</v>
      </c>
      <c r="C280" s="14">
        <v>92.0</v>
      </c>
      <c r="D280" s="14">
        <v>63.0</v>
      </c>
      <c r="E280" s="14">
        <v>105.0</v>
      </c>
      <c r="F280" s="22">
        <v>63.0</v>
      </c>
      <c r="G280" s="14">
        <v>105.0</v>
      </c>
      <c r="H280" s="14">
        <v>83.0</v>
      </c>
      <c r="I280" s="14"/>
      <c r="J280" s="23">
        <v>72.0</v>
      </c>
      <c r="K280" s="14">
        <v>75.0</v>
      </c>
      <c r="L280" s="14">
        <v>80.0</v>
      </c>
      <c r="M280" s="22">
        <v>64.0</v>
      </c>
      <c r="N280" s="14"/>
      <c r="O280" s="14"/>
      <c r="P280" s="14"/>
      <c r="Q280" s="14">
        <v>98.0</v>
      </c>
      <c r="R280" s="24">
        <v>82.0</v>
      </c>
      <c r="S280" s="14">
        <v>90.0</v>
      </c>
      <c r="T280" s="14">
        <v>102.0</v>
      </c>
      <c r="U280" s="14">
        <v>105.0</v>
      </c>
      <c r="V280" s="29">
        <v>88.0</v>
      </c>
      <c r="W280" s="14">
        <v>63.0</v>
      </c>
      <c r="X280" s="14">
        <v>105.0</v>
      </c>
      <c r="Y280" s="14">
        <v>105.0</v>
      </c>
      <c r="Z280" s="25">
        <v>77.0</v>
      </c>
      <c r="AA280" s="25"/>
      <c r="AB280" s="25">
        <v>102.0</v>
      </c>
      <c r="AC280" s="14">
        <v>105.0</v>
      </c>
      <c r="AD280" s="14"/>
      <c r="AE280" s="14">
        <v>105.0</v>
      </c>
      <c r="AF280" s="14">
        <v>105.0</v>
      </c>
      <c r="AG280" s="14">
        <v>105.0</v>
      </c>
      <c r="AH280" s="14">
        <v>83.0</v>
      </c>
      <c r="AI280" s="14">
        <v>87.0</v>
      </c>
      <c r="AJ280" s="14">
        <v>98.0</v>
      </c>
      <c r="AK280" s="14"/>
      <c r="AL280" s="14">
        <v>97.0</v>
      </c>
      <c r="AM280" s="14">
        <v>82.0</v>
      </c>
      <c r="AN280" s="14">
        <v>105.0</v>
      </c>
      <c r="AO280" s="14">
        <v>74.0</v>
      </c>
      <c r="AP280" s="14">
        <v>95.0</v>
      </c>
      <c r="AQ280" s="14">
        <v>82.0</v>
      </c>
      <c r="AR280" s="14"/>
      <c r="AS280" s="14">
        <v>74.0</v>
      </c>
      <c r="AT280" s="14">
        <v>105.0</v>
      </c>
      <c r="AU280" s="14">
        <v>74.0</v>
      </c>
      <c r="AV280" s="14">
        <v>74.0</v>
      </c>
      <c r="AW280" s="14">
        <v>64.0</v>
      </c>
      <c r="AX280" s="14">
        <v>75.0</v>
      </c>
      <c r="AY280" s="14">
        <v>63.0</v>
      </c>
      <c r="AZ280" s="26"/>
      <c r="BA280" s="26"/>
      <c r="BB280" s="26"/>
      <c r="BC280" s="26"/>
    </row>
    <row r="281">
      <c r="A281" s="27">
        <f>HYPERLINK("https://arcprize.org/play?task=ae3edfdc", 270)</f>
        <v>270</v>
      </c>
      <c r="B281" s="14">
        <v>115.0</v>
      </c>
      <c r="C281" s="14">
        <v>240.0</v>
      </c>
      <c r="D281" s="14">
        <v>117.0</v>
      </c>
      <c r="E281" s="14">
        <v>223.0</v>
      </c>
      <c r="F281" s="22">
        <v>115.0</v>
      </c>
      <c r="G281" s="14">
        <v>231.0</v>
      </c>
      <c r="H281" s="15"/>
      <c r="I281" s="15"/>
      <c r="J281" s="23">
        <v>119.0</v>
      </c>
      <c r="K281" s="14">
        <v>144.0</v>
      </c>
      <c r="L281" s="14">
        <v>135.0</v>
      </c>
      <c r="M281" s="22">
        <v>120.0</v>
      </c>
      <c r="N281" s="15"/>
      <c r="O281" s="15"/>
      <c r="P281" s="15"/>
      <c r="Q281" s="14">
        <v>252.0</v>
      </c>
      <c r="R281" s="24">
        <v>131.0</v>
      </c>
      <c r="S281" s="15"/>
      <c r="T281" s="15"/>
      <c r="U281" s="15"/>
      <c r="V281" s="31"/>
      <c r="W281" s="14">
        <v>125.0</v>
      </c>
      <c r="X281" s="14"/>
      <c r="Y281" s="14">
        <v>263.0</v>
      </c>
      <c r="Z281" s="25">
        <v>125.0</v>
      </c>
      <c r="AA281" s="25"/>
      <c r="AB281" s="25">
        <v>244.0</v>
      </c>
      <c r="AC281" s="14">
        <v>223.0</v>
      </c>
      <c r="AD281" s="14"/>
      <c r="AE281" s="14">
        <v>223.0</v>
      </c>
      <c r="AF281" s="14">
        <v>440.0</v>
      </c>
      <c r="AG281" s="14"/>
      <c r="AH281" s="14">
        <v>201.0</v>
      </c>
      <c r="AI281" s="14">
        <v>215.0</v>
      </c>
      <c r="AJ281" s="14">
        <v>230.0</v>
      </c>
      <c r="AK281" s="14"/>
      <c r="AL281" s="14">
        <v>223.0</v>
      </c>
      <c r="AM281" s="14">
        <v>158.0</v>
      </c>
      <c r="AN281" s="14">
        <v>223.0</v>
      </c>
      <c r="AO281" s="14">
        <v>116.0</v>
      </c>
      <c r="AP281" s="14">
        <v>184.0</v>
      </c>
      <c r="AQ281" s="14">
        <v>196.0</v>
      </c>
      <c r="AR281" s="14"/>
      <c r="AS281" s="14">
        <v>176.0</v>
      </c>
      <c r="AT281" s="14">
        <v>223.0</v>
      </c>
      <c r="AU281" s="14">
        <v>117.0</v>
      </c>
      <c r="AV281" s="14">
        <v>124.0</v>
      </c>
      <c r="AW281" s="14">
        <v>122.0</v>
      </c>
      <c r="AX281" s="14">
        <v>120.0</v>
      </c>
      <c r="AY281" s="14">
        <v>114.0</v>
      </c>
      <c r="AZ281" s="26"/>
      <c r="BA281" s="26"/>
      <c r="BB281" s="26"/>
      <c r="BC281" s="26"/>
    </row>
    <row r="282">
      <c r="A282" s="27">
        <f>HYPERLINK("https://arcprize.org/play?task=ae4f1146", 271)</f>
        <v>271</v>
      </c>
      <c r="B282" s="14">
        <v>86.0</v>
      </c>
      <c r="C282" s="14">
        <v>208.0</v>
      </c>
      <c r="D282" s="14">
        <v>86.0</v>
      </c>
      <c r="E282" s="14">
        <v>208.0</v>
      </c>
      <c r="F282" s="22">
        <v>90.0</v>
      </c>
      <c r="G282" s="14">
        <v>208.0</v>
      </c>
      <c r="H282" s="14"/>
      <c r="I282" s="14">
        <v>119.0</v>
      </c>
      <c r="J282" s="23">
        <v>94.0</v>
      </c>
      <c r="K282" s="14">
        <v>94.0</v>
      </c>
      <c r="L282" s="14">
        <v>105.0</v>
      </c>
      <c r="M282" s="22">
        <v>105.0</v>
      </c>
      <c r="N282" s="15"/>
      <c r="O282" s="15"/>
      <c r="P282" s="15"/>
      <c r="Q282" s="14">
        <v>115.0</v>
      </c>
      <c r="R282" s="24">
        <v>102.0</v>
      </c>
      <c r="S282" s="15"/>
      <c r="T282" s="15"/>
      <c r="U282" s="14">
        <v>354.0</v>
      </c>
      <c r="V282" s="29">
        <v>105.0</v>
      </c>
      <c r="W282" s="14">
        <v>93.0</v>
      </c>
      <c r="X282" s="14"/>
      <c r="Y282" s="14">
        <v>208.0</v>
      </c>
      <c r="Z282" s="25">
        <v>101.0</v>
      </c>
      <c r="AA282" s="25"/>
      <c r="AB282" s="25">
        <v>152.0</v>
      </c>
      <c r="AC282" s="14">
        <v>208.0</v>
      </c>
      <c r="AD282" s="14"/>
      <c r="AE282" s="14">
        <v>208.0</v>
      </c>
      <c r="AF282" s="14">
        <v>215.0</v>
      </c>
      <c r="AG282" s="14">
        <v>215.0</v>
      </c>
      <c r="AH282" s="14">
        <v>97.0</v>
      </c>
      <c r="AI282" s="14">
        <v>115.0</v>
      </c>
      <c r="AJ282" s="14">
        <v>134.0</v>
      </c>
      <c r="AK282" s="14"/>
      <c r="AL282" s="14">
        <v>156.0</v>
      </c>
      <c r="AM282" s="14">
        <v>112.0</v>
      </c>
      <c r="AN282" s="14">
        <v>208.0</v>
      </c>
      <c r="AO282" s="14">
        <v>94.0</v>
      </c>
      <c r="AP282" s="14">
        <v>137.0</v>
      </c>
      <c r="AQ282" s="14">
        <v>136.0</v>
      </c>
      <c r="AR282" s="14"/>
      <c r="AS282" s="14">
        <v>104.0</v>
      </c>
      <c r="AT282" s="14">
        <v>149.0</v>
      </c>
      <c r="AU282" s="14">
        <v>101.0</v>
      </c>
      <c r="AV282" s="14">
        <v>94.0</v>
      </c>
      <c r="AW282" s="14">
        <v>94.0</v>
      </c>
      <c r="AX282" s="14">
        <v>94.0</v>
      </c>
      <c r="AY282" s="14">
        <v>86.0</v>
      </c>
      <c r="AZ282" s="26"/>
      <c r="BA282" s="26"/>
      <c r="BB282" s="26"/>
      <c r="BC282" s="26"/>
    </row>
    <row r="283">
      <c r="A283" s="27">
        <f>HYPERLINK("https://arcprize.org/play?task=aedd82e4", 272)</f>
        <v>272</v>
      </c>
      <c r="B283" s="14">
        <v>88.0</v>
      </c>
      <c r="C283" s="14">
        <v>168.0</v>
      </c>
      <c r="D283" s="14">
        <v>71.0</v>
      </c>
      <c r="E283" s="14">
        <v>168.0</v>
      </c>
      <c r="F283" s="22">
        <v>87.0</v>
      </c>
      <c r="G283" s="14">
        <v>181.0</v>
      </c>
      <c r="H283" s="14"/>
      <c r="I283" s="15"/>
      <c r="J283" s="23">
        <v>102.0</v>
      </c>
      <c r="K283" s="14">
        <v>98.0</v>
      </c>
      <c r="L283" s="14">
        <v>116.0</v>
      </c>
      <c r="M283" s="22">
        <v>93.0</v>
      </c>
      <c r="N283" s="15"/>
      <c r="O283" s="15"/>
      <c r="P283" s="15"/>
      <c r="Q283" s="14">
        <v>181.0</v>
      </c>
      <c r="R283" s="24">
        <v>117.0</v>
      </c>
      <c r="S283" s="14">
        <v>172.0</v>
      </c>
      <c r="T283" s="15"/>
      <c r="U283" s="14">
        <v>181.0</v>
      </c>
      <c r="V283" s="29">
        <v>117.0</v>
      </c>
      <c r="W283" s="14">
        <v>99.0</v>
      </c>
      <c r="X283" s="14">
        <v>181.0</v>
      </c>
      <c r="Y283" s="14">
        <v>180.0</v>
      </c>
      <c r="Z283" s="25">
        <v>98.0</v>
      </c>
      <c r="AA283" s="25"/>
      <c r="AB283" s="25">
        <v>160.0</v>
      </c>
      <c r="AC283" s="14">
        <v>181.0</v>
      </c>
      <c r="AD283" s="14"/>
      <c r="AE283" s="14">
        <v>181.0</v>
      </c>
      <c r="AF283" s="14">
        <v>181.0</v>
      </c>
      <c r="AG283" s="14">
        <v>181.0</v>
      </c>
      <c r="AH283" s="14">
        <v>112.0</v>
      </c>
      <c r="AI283" s="14">
        <v>164.0</v>
      </c>
      <c r="AJ283" s="14">
        <v>171.0</v>
      </c>
      <c r="AK283" s="14"/>
      <c r="AL283" s="14">
        <v>168.0</v>
      </c>
      <c r="AM283" s="14">
        <v>118.0</v>
      </c>
      <c r="AN283" s="14">
        <v>181.0</v>
      </c>
      <c r="AO283" s="14">
        <v>100.0</v>
      </c>
      <c r="AP283" s="14">
        <v>133.0</v>
      </c>
      <c r="AQ283" s="14">
        <v>152.0</v>
      </c>
      <c r="AR283" s="14"/>
      <c r="AS283" s="14">
        <v>125.0</v>
      </c>
      <c r="AT283" s="14">
        <v>153.0</v>
      </c>
      <c r="AU283" s="14">
        <v>99.0</v>
      </c>
      <c r="AV283" s="14">
        <v>100.0</v>
      </c>
      <c r="AW283" s="14">
        <v>100.0</v>
      </c>
      <c r="AX283" s="14">
        <v>115.0</v>
      </c>
      <c r="AY283" s="14">
        <v>71.0</v>
      </c>
      <c r="AZ283" s="26"/>
      <c r="BA283" s="26"/>
      <c r="BB283" s="26"/>
      <c r="BC283" s="26"/>
    </row>
    <row r="284">
      <c r="A284" s="27">
        <f>HYPERLINK("https://arcprize.org/play?task=af902bf9", 273)</f>
        <v>273</v>
      </c>
      <c r="B284" s="14">
        <v>75.0</v>
      </c>
      <c r="C284" s="14">
        <v>158.0</v>
      </c>
      <c r="D284" s="14">
        <v>81.0</v>
      </c>
      <c r="E284" s="14">
        <v>157.0</v>
      </c>
      <c r="F284" s="22">
        <v>88.0</v>
      </c>
      <c r="G284" s="14">
        <v>244.0</v>
      </c>
      <c r="H284" s="15"/>
      <c r="I284" s="15"/>
      <c r="J284" s="23">
        <v>100.0</v>
      </c>
      <c r="K284" s="14">
        <v>100.0</v>
      </c>
      <c r="L284" s="14">
        <v>138.0</v>
      </c>
      <c r="M284" s="22">
        <v>132.0</v>
      </c>
      <c r="N284" s="15"/>
      <c r="O284" s="15"/>
      <c r="P284" s="15"/>
      <c r="Q284" s="14">
        <v>241.0</v>
      </c>
      <c r="R284" s="24">
        <v>148.0</v>
      </c>
      <c r="S284" s="15"/>
      <c r="T284" s="15"/>
      <c r="U284" s="14">
        <v>214.0</v>
      </c>
      <c r="V284" s="31"/>
      <c r="W284" s="14">
        <v>85.0</v>
      </c>
      <c r="X284" s="14"/>
      <c r="Y284" s="14">
        <v>312.0</v>
      </c>
      <c r="Z284" s="25">
        <v>88.0</v>
      </c>
      <c r="AA284" s="25"/>
      <c r="AB284" s="25">
        <v>205.0</v>
      </c>
      <c r="AC284" s="14">
        <v>224.0</v>
      </c>
      <c r="AD284" s="14"/>
      <c r="AE284" s="14">
        <v>171.0</v>
      </c>
      <c r="AF284" s="14">
        <v>275.0</v>
      </c>
      <c r="AG284" s="14"/>
      <c r="AH284" s="14">
        <v>155.0</v>
      </c>
      <c r="AI284" s="14">
        <v>158.0</v>
      </c>
      <c r="AJ284" s="14">
        <v>218.0</v>
      </c>
      <c r="AK284" s="14"/>
      <c r="AL284" s="14">
        <v>224.0</v>
      </c>
      <c r="AM284" s="14">
        <v>124.0</v>
      </c>
      <c r="AN284" s="14">
        <v>224.0</v>
      </c>
      <c r="AO284" s="14">
        <v>99.0</v>
      </c>
      <c r="AP284" s="14">
        <v>124.0</v>
      </c>
      <c r="AQ284" s="14">
        <v>109.0</v>
      </c>
      <c r="AR284" s="14"/>
      <c r="AS284" s="14">
        <v>142.0</v>
      </c>
      <c r="AT284" s="14">
        <v>158.0</v>
      </c>
      <c r="AU284" s="14">
        <v>105.0</v>
      </c>
      <c r="AV284" s="14">
        <v>99.0</v>
      </c>
      <c r="AW284" s="14">
        <v>99.0</v>
      </c>
      <c r="AX284" s="14">
        <v>144.0</v>
      </c>
      <c r="AY284" s="14">
        <v>75.0</v>
      </c>
      <c r="AZ284" s="26"/>
      <c r="BA284" s="26"/>
      <c r="BB284" s="26"/>
      <c r="BC284" s="26"/>
    </row>
    <row r="285">
      <c r="A285" s="27">
        <f>HYPERLINK("https://arcprize.org/play?task=b0c4d837", 274)</f>
        <v>274</v>
      </c>
      <c r="B285" s="14">
        <v>70.0</v>
      </c>
      <c r="C285" s="14">
        <v>163.0</v>
      </c>
      <c r="D285" s="14">
        <v>71.0</v>
      </c>
      <c r="E285" s="14">
        <v>165.0</v>
      </c>
      <c r="F285" s="22">
        <v>70.0</v>
      </c>
      <c r="G285" s="14">
        <v>165.0</v>
      </c>
      <c r="H285" s="14">
        <v>75.0</v>
      </c>
      <c r="I285" s="15"/>
      <c r="J285" s="23">
        <v>71.0</v>
      </c>
      <c r="K285" s="14">
        <v>71.0</v>
      </c>
      <c r="L285" s="14">
        <v>74.0</v>
      </c>
      <c r="M285" s="22">
        <v>74.0</v>
      </c>
      <c r="N285" s="15"/>
      <c r="O285" s="15"/>
      <c r="P285" s="15"/>
      <c r="Q285" s="14">
        <v>123.0</v>
      </c>
      <c r="R285" s="24">
        <v>84.0</v>
      </c>
      <c r="S285" s="15"/>
      <c r="T285" s="14">
        <v>105.0</v>
      </c>
      <c r="U285" s="14">
        <v>165.0</v>
      </c>
      <c r="V285" s="29">
        <v>77.0</v>
      </c>
      <c r="W285" s="14">
        <v>71.0</v>
      </c>
      <c r="X285" s="14">
        <v>165.0</v>
      </c>
      <c r="Y285" s="14">
        <v>165.0</v>
      </c>
      <c r="Z285" s="25">
        <v>71.0</v>
      </c>
      <c r="AA285" s="25"/>
      <c r="AB285" s="25">
        <v>165.0</v>
      </c>
      <c r="AC285" s="14">
        <v>165.0</v>
      </c>
      <c r="AD285" s="14"/>
      <c r="AE285" s="14">
        <v>165.0</v>
      </c>
      <c r="AF285" s="14">
        <v>165.0</v>
      </c>
      <c r="AG285" s="14">
        <v>165.0</v>
      </c>
      <c r="AH285" s="14">
        <v>77.0</v>
      </c>
      <c r="AI285" s="14">
        <v>99.0</v>
      </c>
      <c r="AJ285" s="14">
        <v>100.0</v>
      </c>
      <c r="AK285" s="14"/>
      <c r="AL285" s="14">
        <v>139.0</v>
      </c>
      <c r="AM285" s="14">
        <v>74.0</v>
      </c>
      <c r="AN285" s="14">
        <v>165.0</v>
      </c>
      <c r="AO285" s="14">
        <v>67.0</v>
      </c>
      <c r="AP285" s="14">
        <v>122.0</v>
      </c>
      <c r="AQ285" s="14">
        <v>78.0</v>
      </c>
      <c r="AR285" s="14"/>
      <c r="AS285" s="14">
        <v>82.0</v>
      </c>
      <c r="AT285" s="14">
        <v>165.0</v>
      </c>
      <c r="AU285" s="14">
        <v>71.0</v>
      </c>
      <c r="AV285" s="14">
        <v>70.0</v>
      </c>
      <c r="AW285" s="14">
        <v>65.0</v>
      </c>
      <c r="AX285" s="14">
        <v>71.0</v>
      </c>
      <c r="AY285" s="14">
        <v>65.0</v>
      </c>
      <c r="AZ285" s="26"/>
      <c r="BA285" s="26"/>
      <c r="BB285" s="26"/>
      <c r="BC285" s="26"/>
    </row>
    <row r="286">
      <c r="A286" s="27">
        <f>HYPERLINK("https://arcprize.org/play?task=b190f7f5", 275)</f>
        <v>275</v>
      </c>
      <c r="B286" s="14">
        <v>135.0</v>
      </c>
      <c r="C286" s="14">
        <v>199.0</v>
      </c>
      <c r="D286" s="14">
        <v>130.0</v>
      </c>
      <c r="E286" s="14">
        <v>197.0</v>
      </c>
      <c r="F286" s="22">
        <v>134.0</v>
      </c>
      <c r="G286" s="14">
        <v>201.0</v>
      </c>
      <c r="H286" s="15"/>
      <c r="I286" s="15"/>
      <c r="J286" s="23">
        <v>146.0</v>
      </c>
      <c r="K286" s="14">
        <v>131.0</v>
      </c>
      <c r="L286" s="14">
        <v>182.0</v>
      </c>
      <c r="M286" s="22">
        <v>168.0</v>
      </c>
      <c r="N286" s="15"/>
      <c r="O286" s="15"/>
      <c r="P286" s="15"/>
      <c r="Q286" s="14">
        <v>204.0</v>
      </c>
      <c r="R286" s="24">
        <v>160.0</v>
      </c>
      <c r="S286" s="15"/>
      <c r="T286" s="15"/>
      <c r="U286" s="14">
        <v>201.0</v>
      </c>
      <c r="V286" s="31"/>
      <c r="W286" s="14">
        <v>144.0</v>
      </c>
      <c r="X286" s="14">
        <v>201.0</v>
      </c>
      <c r="Y286" s="14">
        <v>199.0</v>
      </c>
      <c r="Z286" s="25">
        <v>161.0</v>
      </c>
      <c r="AA286" s="25"/>
      <c r="AB286" s="25">
        <v>201.0</v>
      </c>
      <c r="AC286" s="14">
        <v>197.0</v>
      </c>
      <c r="AD286" s="14"/>
      <c r="AE286" s="14">
        <v>197.0</v>
      </c>
      <c r="AF286" s="14">
        <v>201.0</v>
      </c>
      <c r="AG286" s="14">
        <v>201.0</v>
      </c>
      <c r="AH286" s="14">
        <v>181.0</v>
      </c>
      <c r="AI286" s="14">
        <v>182.0</v>
      </c>
      <c r="AJ286" s="14">
        <v>186.0</v>
      </c>
      <c r="AK286" s="14"/>
      <c r="AL286" s="14">
        <v>197.0</v>
      </c>
      <c r="AM286" s="14">
        <v>152.0</v>
      </c>
      <c r="AN286" s="14">
        <v>197.0</v>
      </c>
      <c r="AO286" s="14">
        <v>142.0</v>
      </c>
      <c r="AP286" s="14">
        <v>156.0</v>
      </c>
      <c r="AQ286" s="14">
        <v>149.0</v>
      </c>
      <c r="AR286" s="14"/>
      <c r="AS286" s="14">
        <v>165.0</v>
      </c>
      <c r="AT286" s="14">
        <v>197.0</v>
      </c>
      <c r="AU286" s="14">
        <v>150.0</v>
      </c>
      <c r="AV286" s="14">
        <v>136.0</v>
      </c>
      <c r="AW286" s="14">
        <v>126.0</v>
      </c>
      <c r="AX286" s="14">
        <v>145.0</v>
      </c>
      <c r="AY286" s="14">
        <v>126.0</v>
      </c>
      <c r="AZ286" s="26"/>
      <c r="BA286" s="26"/>
      <c r="BB286" s="26"/>
      <c r="BC286" s="26"/>
    </row>
    <row r="287">
      <c r="A287" s="27">
        <f>HYPERLINK("https://arcprize.org/play?task=b1948b0a", 276)</f>
        <v>276</v>
      </c>
      <c r="B287" s="14">
        <v>37.0</v>
      </c>
      <c r="C287" s="14">
        <v>43.0</v>
      </c>
      <c r="D287" s="14">
        <v>38.0</v>
      </c>
      <c r="E287" s="14">
        <v>48.0</v>
      </c>
      <c r="F287" s="22">
        <v>38.0</v>
      </c>
      <c r="G287" s="14">
        <v>38.0</v>
      </c>
      <c r="H287" s="14">
        <v>38.0</v>
      </c>
      <c r="I287" s="14">
        <v>38.0</v>
      </c>
      <c r="J287" s="23">
        <v>38.0</v>
      </c>
      <c r="K287" s="14">
        <v>38.0</v>
      </c>
      <c r="L287" s="14">
        <v>38.0</v>
      </c>
      <c r="M287" s="22">
        <v>38.0</v>
      </c>
      <c r="N287" s="14"/>
      <c r="O287" s="14"/>
      <c r="P287" s="14"/>
      <c r="Q287" s="14">
        <v>45.0</v>
      </c>
      <c r="R287" s="24">
        <v>38.0</v>
      </c>
      <c r="S287" s="14">
        <v>38.0</v>
      </c>
      <c r="T287" s="14">
        <v>41.0</v>
      </c>
      <c r="U287" s="14">
        <v>57.0</v>
      </c>
      <c r="V287" s="29">
        <v>38.0</v>
      </c>
      <c r="W287" s="14">
        <v>38.0</v>
      </c>
      <c r="X287" s="14">
        <v>57.0</v>
      </c>
      <c r="Y287" s="14">
        <v>53.0</v>
      </c>
      <c r="Z287" s="30">
        <v>38.0</v>
      </c>
      <c r="AA287" s="25"/>
      <c r="AB287" s="25">
        <v>43.0</v>
      </c>
      <c r="AC287" s="14">
        <v>48.0</v>
      </c>
      <c r="AD287" s="14">
        <v>38.0</v>
      </c>
      <c r="AE287" s="14">
        <v>48.0</v>
      </c>
      <c r="AF287" s="14">
        <v>55.0</v>
      </c>
      <c r="AG287" s="14">
        <v>56.0</v>
      </c>
      <c r="AH287" s="14">
        <v>38.0</v>
      </c>
      <c r="AI287" s="14">
        <v>38.0</v>
      </c>
      <c r="AJ287" s="14">
        <v>42.0</v>
      </c>
      <c r="AK287" s="14">
        <v>38.0</v>
      </c>
      <c r="AL287" s="14">
        <v>45.0</v>
      </c>
      <c r="AM287" s="14">
        <v>38.0</v>
      </c>
      <c r="AN287" s="14">
        <v>45.0</v>
      </c>
      <c r="AO287" s="14">
        <v>38.0</v>
      </c>
      <c r="AP287" s="14">
        <v>38.0</v>
      </c>
      <c r="AQ287" s="14">
        <v>38.0</v>
      </c>
      <c r="AR287" s="14"/>
      <c r="AS287" s="14">
        <v>38.0</v>
      </c>
      <c r="AT287" s="14">
        <v>48.0</v>
      </c>
      <c r="AU287" s="14">
        <v>38.0</v>
      </c>
      <c r="AV287" s="14">
        <v>38.0</v>
      </c>
      <c r="AW287" s="14">
        <v>38.0</v>
      </c>
      <c r="AX287" s="14">
        <v>38.0</v>
      </c>
      <c r="AY287" s="14">
        <v>37.0</v>
      </c>
      <c r="AZ287" s="26"/>
      <c r="BA287" s="26"/>
      <c r="BB287" s="26"/>
      <c r="BC287" s="26"/>
    </row>
    <row r="288">
      <c r="A288" s="27">
        <f>HYPERLINK("https://arcprize.org/play?task=b230c067", 277)</f>
        <v>277</v>
      </c>
      <c r="B288" s="14">
        <v>159.0</v>
      </c>
      <c r="C288" s="14">
        <v>572.0</v>
      </c>
      <c r="D288" s="14">
        <v>155.0</v>
      </c>
      <c r="E288" s="14">
        <v>453.0</v>
      </c>
      <c r="F288" s="22">
        <v>157.0</v>
      </c>
      <c r="G288" s="14">
        <v>468.0</v>
      </c>
      <c r="H288" s="15"/>
      <c r="I288" s="15"/>
      <c r="J288" s="23">
        <v>184.0</v>
      </c>
      <c r="K288" s="14">
        <v>226.0</v>
      </c>
      <c r="L288" s="14">
        <v>196.0</v>
      </c>
      <c r="M288" s="22">
        <v>189.0</v>
      </c>
      <c r="N288" s="15"/>
      <c r="O288" s="15"/>
      <c r="P288" s="15"/>
      <c r="Q288" s="14">
        <v>304.0</v>
      </c>
      <c r="R288" s="24">
        <v>206.0</v>
      </c>
      <c r="S288" s="15"/>
      <c r="T288" s="15"/>
      <c r="U288" s="15"/>
      <c r="V288" s="31"/>
      <c r="W288" s="15"/>
      <c r="X288" s="14"/>
      <c r="Y288" s="14">
        <v>407.0</v>
      </c>
      <c r="Z288" s="25">
        <v>219.0</v>
      </c>
      <c r="AA288" s="25"/>
      <c r="AB288" s="25">
        <v>455.0</v>
      </c>
      <c r="AC288" s="14">
        <v>394.0</v>
      </c>
      <c r="AD288" s="14"/>
      <c r="AE288" s="14">
        <v>244.0</v>
      </c>
      <c r="AF288" s="14">
        <v>555.0</v>
      </c>
      <c r="AG288" s="14"/>
      <c r="AH288" s="14">
        <v>243.0</v>
      </c>
      <c r="AI288" s="14">
        <v>245.0</v>
      </c>
      <c r="AJ288" s="14">
        <v>270.0</v>
      </c>
      <c r="AK288" s="14"/>
      <c r="AL288" s="14">
        <v>341.0</v>
      </c>
      <c r="AM288" s="14">
        <v>243.0</v>
      </c>
      <c r="AN288" s="14">
        <v>453.0</v>
      </c>
      <c r="AO288" s="14">
        <v>188.0</v>
      </c>
      <c r="AP288" s="14">
        <v>253.0</v>
      </c>
      <c r="AQ288" s="14">
        <v>252.0</v>
      </c>
      <c r="AR288" s="14"/>
      <c r="AS288" s="14">
        <v>241.0</v>
      </c>
      <c r="AT288" s="14">
        <v>447.0</v>
      </c>
      <c r="AU288" s="14">
        <v>178.0</v>
      </c>
      <c r="AV288" s="14">
        <v>168.0</v>
      </c>
      <c r="AW288" s="14">
        <v>172.0</v>
      </c>
      <c r="AX288" s="14">
        <v>200.0</v>
      </c>
      <c r="AY288" s="14">
        <v>109.0</v>
      </c>
      <c r="AZ288" s="26"/>
      <c r="BA288" s="26"/>
      <c r="BB288" s="26"/>
      <c r="BC288" s="26"/>
    </row>
    <row r="289">
      <c r="A289" s="27">
        <f>HYPERLINK("https://arcprize.org/play?task=b27ca6d3", 278)</f>
        <v>278</v>
      </c>
      <c r="B289" s="14">
        <v>110.0</v>
      </c>
      <c r="C289" s="14">
        <v>250.0</v>
      </c>
      <c r="D289" s="14">
        <v>116.0</v>
      </c>
      <c r="E289" s="14">
        <v>236.0</v>
      </c>
      <c r="F289" s="22">
        <v>112.0</v>
      </c>
      <c r="G289" s="14">
        <v>250.0</v>
      </c>
      <c r="H289" s="15"/>
      <c r="I289" s="15"/>
      <c r="J289" s="23">
        <v>118.0</v>
      </c>
      <c r="K289" s="14">
        <v>148.0</v>
      </c>
      <c r="L289" s="14">
        <v>204.0</v>
      </c>
      <c r="M289" s="22">
        <v>104.0</v>
      </c>
      <c r="N289" s="15"/>
      <c r="O289" s="15"/>
      <c r="P289" s="15"/>
      <c r="Q289" s="14">
        <v>259.0</v>
      </c>
      <c r="R289" s="24">
        <v>125.0</v>
      </c>
      <c r="S289" s="15"/>
      <c r="T289" s="15"/>
      <c r="U289" s="14">
        <v>353.0</v>
      </c>
      <c r="V289" s="31"/>
      <c r="W289" s="14">
        <v>135.0</v>
      </c>
      <c r="X289" s="14">
        <v>250.0</v>
      </c>
      <c r="Y289" s="14">
        <v>248.0</v>
      </c>
      <c r="Z289" s="25">
        <v>129.0</v>
      </c>
      <c r="AA289" s="25"/>
      <c r="AB289" s="25">
        <v>250.0</v>
      </c>
      <c r="AC289" s="14">
        <v>236.0</v>
      </c>
      <c r="AD289" s="14"/>
      <c r="AE289" s="14">
        <v>239.0</v>
      </c>
      <c r="AF289" s="14">
        <v>250.0</v>
      </c>
      <c r="AG289" s="14">
        <v>289.0</v>
      </c>
      <c r="AH289" s="14">
        <v>223.0</v>
      </c>
      <c r="AI289" s="14">
        <v>228.0</v>
      </c>
      <c r="AJ289" s="14">
        <v>240.0</v>
      </c>
      <c r="AK289" s="14"/>
      <c r="AL289" s="14">
        <v>236.0</v>
      </c>
      <c r="AM289" s="14">
        <v>195.0</v>
      </c>
      <c r="AN289" s="14">
        <v>239.0</v>
      </c>
      <c r="AO289" s="14">
        <v>118.0</v>
      </c>
      <c r="AP289" s="14">
        <v>218.0</v>
      </c>
      <c r="AQ289" s="14">
        <v>206.0</v>
      </c>
      <c r="AR289" s="14"/>
      <c r="AS289" s="14">
        <v>147.0</v>
      </c>
      <c r="AT289" s="14">
        <v>236.0</v>
      </c>
      <c r="AU289" s="14">
        <v>133.0</v>
      </c>
      <c r="AV289" s="14">
        <v>146.0</v>
      </c>
      <c r="AW289" s="14">
        <v>120.0</v>
      </c>
      <c r="AX289" s="14">
        <v>118.0</v>
      </c>
      <c r="AY289" s="14">
        <v>104.0</v>
      </c>
      <c r="AZ289" s="26"/>
      <c r="BA289" s="26"/>
      <c r="BB289" s="26"/>
      <c r="BC289" s="26"/>
    </row>
    <row r="290">
      <c r="A290" s="27">
        <f>HYPERLINK("https://arcprize.org/play?task=b2862040", 279)</f>
        <v>279</v>
      </c>
      <c r="B290" s="14">
        <v>109.0</v>
      </c>
      <c r="C290" s="14">
        <v>501.0</v>
      </c>
      <c r="D290" s="14">
        <v>107.0</v>
      </c>
      <c r="E290" s="14">
        <v>470.0</v>
      </c>
      <c r="F290" s="22">
        <v>106.0</v>
      </c>
      <c r="G290" s="14">
        <v>507.0</v>
      </c>
      <c r="H290" s="15"/>
      <c r="I290" s="15"/>
      <c r="J290" s="23">
        <v>120.0</v>
      </c>
      <c r="K290" s="14">
        <v>129.0</v>
      </c>
      <c r="L290" s="14">
        <v>159.0</v>
      </c>
      <c r="M290" s="22">
        <v>106.0</v>
      </c>
      <c r="N290" s="15"/>
      <c r="O290" s="15"/>
      <c r="P290" s="15"/>
      <c r="Q290" s="15"/>
      <c r="R290" s="24">
        <v>128.0</v>
      </c>
      <c r="S290" s="15"/>
      <c r="T290" s="15"/>
      <c r="U290" s="15"/>
      <c r="V290" s="31"/>
      <c r="W290" s="14">
        <v>112.0</v>
      </c>
      <c r="X290" s="14"/>
      <c r="Y290" s="14">
        <v>411.0</v>
      </c>
      <c r="Z290" s="25">
        <v>130.0</v>
      </c>
      <c r="AA290" s="25"/>
      <c r="AB290" s="25">
        <v>427.0</v>
      </c>
      <c r="AC290" s="14">
        <v>425.0</v>
      </c>
      <c r="AD290" s="14"/>
      <c r="AE290" s="14">
        <v>240.0</v>
      </c>
      <c r="AF290" s="14">
        <v>348.0</v>
      </c>
      <c r="AG290" s="14"/>
      <c r="AH290" s="14">
        <v>288.0</v>
      </c>
      <c r="AI290" s="14">
        <v>160.0</v>
      </c>
      <c r="AJ290" s="14">
        <v>318.0</v>
      </c>
      <c r="AK290" s="14"/>
      <c r="AL290" s="14">
        <v>286.0</v>
      </c>
      <c r="AM290" s="14">
        <v>243.0</v>
      </c>
      <c r="AN290" s="14">
        <v>472.0</v>
      </c>
      <c r="AO290" s="14">
        <v>128.0</v>
      </c>
      <c r="AP290" s="14">
        <v>263.0</v>
      </c>
      <c r="AQ290" s="14">
        <v>147.0</v>
      </c>
      <c r="AR290" s="14"/>
      <c r="AS290" s="14">
        <v>129.0</v>
      </c>
      <c r="AT290" s="14">
        <v>470.0</v>
      </c>
      <c r="AU290" s="14">
        <v>128.0</v>
      </c>
      <c r="AV290" s="14">
        <v>118.0</v>
      </c>
      <c r="AW290" s="14">
        <v>131.0</v>
      </c>
      <c r="AX290" s="14">
        <v>114.0</v>
      </c>
      <c r="AY290" s="14">
        <v>106.0</v>
      </c>
      <c r="AZ290" s="26"/>
      <c r="BA290" s="26"/>
      <c r="BB290" s="26"/>
      <c r="BC290" s="26"/>
    </row>
    <row r="291">
      <c r="A291" s="27">
        <f>HYPERLINK("https://arcprize.org/play?task=b527c5c6", 280)</f>
        <v>280</v>
      </c>
      <c r="B291" s="14">
        <v>145.0</v>
      </c>
      <c r="C291" s="14">
        <v>514.0</v>
      </c>
      <c r="D291" s="14">
        <v>168.0</v>
      </c>
      <c r="E291" s="14">
        <v>899.0</v>
      </c>
      <c r="F291" s="22">
        <v>163.0</v>
      </c>
      <c r="G291" s="14">
        <v>965.0</v>
      </c>
      <c r="H291" s="15"/>
      <c r="I291" s="15"/>
      <c r="J291" s="23">
        <v>199.0</v>
      </c>
      <c r="K291" s="14">
        <v>195.0</v>
      </c>
      <c r="L291" s="14">
        <v>212.0</v>
      </c>
      <c r="M291" s="22">
        <v>207.0</v>
      </c>
      <c r="N291" s="15"/>
      <c r="O291" s="15"/>
      <c r="P291" s="15"/>
      <c r="Q291" s="14">
        <v>266.0</v>
      </c>
      <c r="R291" s="24">
        <v>208.0</v>
      </c>
      <c r="S291" s="15"/>
      <c r="T291" s="15"/>
      <c r="U291" s="15"/>
      <c r="V291" s="31"/>
      <c r="W291" s="14">
        <v>182.0</v>
      </c>
      <c r="X291" s="14"/>
      <c r="Y291" s="14">
        <v>278.0</v>
      </c>
      <c r="Z291" s="25">
        <v>171.0</v>
      </c>
      <c r="AA291" s="25"/>
      <c r="AB291" s="25">
        <v>487.0</v>
      </c>
      <c r="AC291" s="14">
        <v>622.0</v>
      </c>
      <c r="AD291" s="14"/>
      <c r="AE291" s="14">
        <v>314.0</v>
      </c>
      <c r="AF291" s="14">
        <v>390.0</v>
      </c>
      <c r="AG291" s="14"/>
      <c r="AH291" s="14">
        <v>336.0</v>
      </c>
      <c r="AI291" s="14">
        <v>244.0</v>
      </c>
      <c r="AJ291" s="14">
        <v>266.0</v>
      </c>
      <c r="AK291" s="14">
        <v>225.0</v>
      </c>
      <c r="AL291" s="14">
        <v>320.0</v>
      </c>
      <c r="AM291" s="14">
        <v>287.0</v>
      </c>
      <c r="AN291" s="14">
        <v>601.0</v>
      </c>
      <c r="AO291" s="14">
        <v>170.0</v>
      </c>
      <c r="AP291" s="14">
        <v>327.0</v>
      </c>
      <c r="AQ291" s="14">
        <v>271.0</v>
      </c>
      <c r="AR291" s="14"/>
      <c r="AS291" s="14">
        <v>222.0</v>
      </c>
      <c r="AT291" s="14">
        <v>292.0</v>
      </c>
      <c r="AU291" s="14">
        <v>175.0</v>
      </c>
      <c r="AV291" s="14">
        <v>176.0</v>
      </c>
      <c r="AW291" s="14">
        <v>196.0</v>
      </c>
      <c r="AX291" s="14">
        <v>184.0</v>
      </c>
      <c r="AY291" s="14">
        <v>145.0</v>
      </c>
      <c r="AZ291" s="26"/>
      <c r="BA291" s="26"/>
      <c r="BB291" s="26"/>
      <c r="BC291" s="26"/>
    </row>
    <row r="292">
      <c r="A292" s="27">
        <f>HYPERLINK("https://arcprize.org/play?task=b548a754", 281)</f>
        <v>281</v>
      </c>
      <c r="B292" s="14">
        <v>123.0</v>
      </c>
      <c r="C292" s="14">
        <v>261.0</v>
      </c>
      <c r="D292" s="14">
        <v>103.0</v>
      </c>
      <c r="E292" s="14">
        <v>253.0</v>
      </c>
      <c r="F292" s="22">
        <v>124.0</v>
      </c>
      <c r="G292" s="14">
        <v>261.0</v>
      </c>
      <c r="H292" s="15"/>
      <c r="I292" s="15"/>
      <c r="J292" s="23">
        <v>138.0</v>
      </c>
      <c r="K292" s="14">
        <v>155.0</v>
      </c>
      <c r="L292" s="14">
        <v>210.0</v>
      </c>
      <c r="M292" s="22">
        <v>164.0</v>
      </c>
      <c r="N292" s="15"/>
      <c r="O292" s="15"/>
      <c r="P292" s="15"/>
      <c r="Q292" s="14">
        <v>234.0</v>
      </c>
      <c r="R292" s="24">
        <v>168.0</v>
      </c>
      <c r="S292" s="15"/>
      <c r="T292" s="15"/>
      <c r="U292" s="15"/>
      <c r="V292" s="31"/>
      <c r="W292" s="14">
        <v>154.0</v>
      </c>
      <c r="X292" s="14"/>
      <c r="Y292" s="14">
        <v>373.0</v>
      </c>
      <c r="Z292" s="25">
        <v>184.0</v>
      </c>
      <c r="AA292" s="25"/>
      <c r="AB292" s="25">
        <v>319.0</v>
      </c>
      <c r="AC292" s="14">
        <v>253.0</v>
      </c>
      <c r="AD292" s="14"/>
      <c r="AE292" s="14">
        <v>253.0</v>
      </c>
      <c r="AF292" s="14">
        <v>373.0</v>
      </c>
      <c r="AG292" s="14"/>
      <c r="AH292" s="14">
        <v>233.0</v>
      </c>
      <c r="AI292" s="14">
        <v>202.0</v>
      </c>
      <c r="AJ292" s="14">
        <v>240.0</v>
      </c>
      <c r="AK292" s="14"/>
      <c r="AL292" s="14">
        <v>253.0</v>
      </c>
      <c r="AM292" s="14">
        <v>225.0</v>
      </c>
      <c r="AN292" s="14">
        <v>253.0</v>
      </c>
      <c r="AO292" s="14">
        <v>167.0</v>
      </c>
      <c r="AP292" s="14">
        <v>249.0</v>
      </c>
      <c r="AQ292" s="14">
        <v>237.0</v>
      </c>
      <c r="AR292" s="14"/>
      <c r="AS292" s="14">
        <v>150.0</v>
      </c>
      <c r="AT292" s="14">
        <v>250.0</v>
      </c>
      <c r="AU292" s="14">
        <v>152.0</v>
      </c>
      <c r="AV292" s="14">
        <v>149.0</v>
      </c>
      <c r="AW292" s="14">
        <v>127.0</v>
      </c>
      <c r="AX292" s="14">
        <v>168.0</v>
      </c>
      <c r="AY292" s="14">
        <v>103.0</v>
      </c>
      <c r="AZ292" s="26"/>
      <c r="BA292" s="26"/>
      <c r="BB292" s="26"/>
      <c r="BC292" s="26"/>
    </row>
    <row r="293">
      <c r="A293" s="27">
        <f>HYPERLINK("https://arcprize.org/play?task=b60334d2", 282)</f>
        <v>282</v>
      </c>
      <c r="B293" s="14">
        <v>74.0</v>
      </c>
      <c r="C293" s="14">
        <v>156.0</v>
      </c>
      <c r="D293" s="14">
        <v>76.0</v>
      </c>
      <c r="E293" s="14">
        <v>156.0</v>
      </c>
      <c r="F293" s="22">
        <v>83.0</v>
      </c>
      <c r="G293" s="14">
        <v>156.0</v>
      </c>
      <c r="H293" s="14"/>
      <c r="I293" s="14"/>
      <c r="J293" s="23">
        <v>99.0</v>
      </c>
      <c r="K293" s="14">
        <v>106.0</v>
      </c>
      <c r="L293" s="14">
        <v>106.0</v>
      </c>
      <c r="M293" s="22">
        <v>89.0</v>
      </c>
      <c r="N293" s="14"/>
      <c r="O293" s="14"/>
      <c r="P293" s="14"/>
      <c r="Q293" s="14">
        <v>156.0</v>
      </c>
      <c r="R293" s="24">
        <v>115.0</v>
      </c>
      <c r="S293" s="14"/>
      <c r="T293" s="14">
        <v>117.0</v>
      </c>
      <c r="U293" s="14">
        <v>156.0</v>
      </c>
      <c r="V293" s="29">
        <v>110.0</v>
      </c>
      <c r="W293" s="14">
        <v>100.0</v>
      </c>
      <c r="X293" s="14">
        <v>156.0</v>
      </c>
      <c r="Y293" s="14">
        <v>156.0</v>
      </c>
      <c r="Z293" s="25">
        <v>112.0</v>
      </c>
      <c r="AA293" s="25"/>
      <c r="AB293" s="25">
        <v>148.0</v>
      </c>
      <c r="AC293" s="14">
        <v>156.0</v>
      </c>
      <c r="AD293" s="14"/>
      <c r="AE293" s="14">
        <v>156.0</v>
      </c>
      <c r="AF293" s="14">
        <v>156.0</v>
      </c>
      <c r="AG293" s="14">
        <v>156.0</v>
      </c>
      <c r="AH293" s="14">
        <v>119.0</v>
      </c>
      <c r="AI293" s="14">
        <v>156.0</v>
      </c>
      <c r="AJ293" s="14">
        <v>156.0</v>
      </c>
      <c r="AK293" s="14"/>
      <c r="AL293" s="14">
        <v>156.0</v>
      </c>
      <c r="AM293" s="14">
        <v>122.0</v>
      </c>
      <c r="AN293" s="14">
        <v>156.0</v>
      </c>
      <c r="AO293" s="14">
        <v>104.0</v>
      </c>
      <c r="AP293" s="14">
        <v>121.0</v>
      </c>
      <c r="AQ293" s="14">
        <v>140.0</v>
      </c>
      <c r="AR293" s="14"/>
      <c r="AS293" s="14">
        <v>119.0</v>
      </c>
      <c r="AT293" s="14">
        <v>156.0</v>
      </c>
      <c r="AU293" s="14">
        <v>97.0</v>
      </c>
      <c r="AV293" s="14">
        <v>101.0</v>
      </c>
      <c r="AW293" s="14">
        <v>100.0</v>
      </c>
      <c r="AX293" s="14">
        <v>117.0</v>
      </c>
      <c r="AY293" s="14">
        <v>74.0</v>
      </c>
      <c r="AZ293" s="26"/>
      <c r="BA293" s="26"/>
      <c r="BB293" s="26"/>
      <c r="BC293" s="26"/>
    </row>
    <row r="294">
      <c r="A294" s="27">
        <f>HYPERLINK("https://arcprize.org/play?task=b6afb2da", 283)</f>
        <v>283</v>
      </c>
      <c r="B294" s="14">
        <v>82.0</v>
      </c>
      <c r="C294" s="14">
        <v>292.0</v>
      </c>
      <c r="D294" s="14">
        <v>72.0</v>
      </c>
      <c r="E294" s="14">
        <v>266.0</v>
      </c>
      <c r="F294" s="22">
        <v>79.0</v>
      </c>
      <c r="G294" s="14">
        <v>208.0</v>
      </c>
      <c r="H294" s="15"/>
      <c r="I294" s="15"/>
      <c r="J294" s="23">
        <v>105.0</v>
      </c>
      <c r="K294" s="14">
        <v>113.0</v>
      </c>
      <c r="L294" s="14">
        <v>109.0</v>
      </c>
      <c r="M294" s="22">
        <v>86.0</v>
      </c>
      <c r="N294" s="15"/>
      <c r="O294" s="15"/>
      <c r="P294" s="15"/>
      <c r="Q294" s="14">
        <v>211.0</v>
      </c>
      <c r="R294" s="24">
        <v>112.0</v>
      </c>
      <c r="S294" s="15"/>
      <c r="T294" s="15"/>
      <c r="U294" s="14">
        <v>361.0</v>
      </c>
      <c r="V294" s="31"/>
      <c r="W294" s="14">
        <v>94.0</v>
      </c>
      <c r="X294" s="14">
        <v>292.0</v>
      </c>
      <c r="Y294" s="14">
        <v>285.0</v>
      </c>
      <c r="Z294" s="25">
        <v>111.0</v>
      </c>
      <c r="AA294" s="25"/>
      <c r="AB294" s="25">
        <v>187.0</v>
      </c>
      <c r="AC294" s="14">
        <v>266.0</v>
      </c>
      <c r="AD294" s="14"/>
      <c r="AE294" s="14">
        <v>266.0</v>
      </c>
      <c r="AF294" s="14">
        <v>292.0</v>
      </c>
      <c r="AG294" s="14">
        <v>312.0</v>
      </c>
      <c r="AH294" s="14">
        <v>145.0</v>
      </c>
      <c r="AI294" s="14">
        <v>142.0</v>
      </c>
      <c r="AJ294" s="14">
        <v>276.0</v>
      </c>
      <c r="AK294" s="14"/>
      <c r="AL294" s="14">
        <v>182.0</v>
      </c>
      <c r="AM294" s="14">
        <v>111.0</v>
      </c>
      <c r="AN294" s="14">
        <v>266.0</v>
      </c>
      <c r="AO294" s="14">
        <v>104.0</v>
      </c>
      <c r="AP294" s="14">
        <v>178.0</v>
      </c>
      <c r="AQ294" s="14">
        <v>152.0</v>
      </c>
      <c r="AR294" s="14"/>
      <c r="AS294" s="14">
        <v>129.0</v>
      </c>
      <c r="AT294" s="14">
        <v>251.0</v>
      </c>
      <c r="AU294" s="14">
        <v>107.0</v>
      </c>
      <c r="AV294" s="14">
        <v>96.0</v>
      </c>
      <c r="AW294" s="14">
        <v>104.0</v>
      </c>
      <c r="AX294" s="14">
        <v>107.0</v>
      </c>
      <c r="AY294" s="14">
        <v>72.0</v>
      </c>
      <c r="AZ294" s="26"/>
      <c r="BA294" s="26"/>
      <c r="BB294" s="26"/>
      <c r="BC294" s="26"/>
    </row>
    <row r="295">
      <c r="A295" s="27">
        <f>HYPERLINK("https://arcprize.org/play?task=b7249182", 284)</f>
        <v>284</v>
      </c>
      <c r="B295" s="14">
        <v>205.0</v>
      </c>
      <c r="C295" s="14">
        <v>421.0</v>
      </c>
      <c r="D295" s="14">
        <v>204.0</v>
      </c>
      <c r="E295" s="14">
        <v>921.0</v>
      </c>
      <c r="F295" s="22">
        <v>195.0</v>
      </c>
      <c r="G295" s="14">
        <v>1111.0</v>
      </c>
      <c r="H295" s="14"/>
      <c r="I295" s="14"/>
      <c r="J295" s="23">
        <v>218.0</v>
      </c>
      <c r="K295" s="14">
        <v>217.0</v>
      </c>
      <c r="L295" s="14">
        <v>271.0</v>
      </c>
      <c r="M295" s="22">
        <v>249.0</v>
      </c>
      <c r="N295" s="14"/>
      <c r="O295" s="14"/>
      <c r="P295" s="14"/>
      <c r="Q295" s="14">
        <v>299.0</v>
      </c>
      <c r="R295" s="24">
        <v>262.0</v>
      </c>
      <c r="S295" s="14"/>
      <c r="T295" s="14"/>
      <c r="U295" s="14"/>
      <c r="V295" s="33"/>
      <c r="W295" s="14">
        <v>248.0</v>
      </c>
      <c r="X295" s="14"/>
      <c r="Y295" s="14">
        <v>300.0</v>
      </c>
      <c r="Z295" s="25">
        <v>244.0</v>
      </c>
      <c r="AA295" s="25"/>
      <c r="AB295" s="25">
        <v>377.0</v>
      </c>
      <c r="AC295" s="14">
        <v>345.0</v>
      </c>
      <c r="AD295" s="14"/>
      <c r="AE295" s="14">
        <v>271.0</v>
      </c>
      <c r="AF295" s="14">
        <v>318.0</v>
      </c>
      <c r="AG295" s="14"/>
      <c r="AH295" s="14">
        <v>277.0</v>
      </c>
      <c r="AI295" s="14">
        <v>284.0</v>
      </c>
      <c r="AJ295" s="14">
        <v>295.0</v>
      </c>
      <c r="AK295" s="14"/>
      <c r="AL295" s="14">
        <v>305.0</v>
      </c>
      <c r="AM295" s="14">
        <v>259.0</v>
      </c>
      <c r="AN295" s="14">
        <v>386.0</v>
      </c>
      <c r="AO295" s="14">
        <v>232.0</v>
      </c>
      <c r="AP295" s="14">
        <v>306.0</v>
      </c>
      <c r="AQ295" s="14">
        <v>273.0</v>
      </c>
      <c r="AR295" s="14"/>
      <c r="AS295" s="14">
        <v>261.0</v>
      </c>
      <c r="AT295" s="14">
        <v>267.0</v>
      </c>
      <c r="AU295" s="14">
        <v>218.0</v>
      </c>
      <c r="AV295" s="14">
        <v>224.0</v>
      </c>
      <c r="AW295" s="14">
        <v>235.0</v>
      </c>
      <c r="AX295" s="14">
        <v>251.0</v>
      </c>
      <c r="AY295" s="14">
        <v>195.0</v>
      </c>
      <c r="AZ295" s="26"/>
      <c r="BA295" s="26"/>
      <c r="BB295" s="26"/>
      <c r="BC295" s="26"/>
    </row>
    <row r="296">
      <c r="A296" s="27">
        <f>HYPERLINK("https://arcprize.org/play?task=b775ac94", 285)</f>
        <v>285</v>
      </c>
      <c r="B296" s="14">
        <v>226.0</v>
      </c>
      <c r="C296" s="14">
        <v>408.0</v>
      </c>
      <c r="D296" s="14">
        <v>272.0</v>
      </c>
      <c r="E296" s="14">
        <v>407.0</v>
      </c>
      <c r="F296" s="22">
        <v>248.0</v>
      </c>
      <c r="G296" s="14">
        <v>1262.0</v>
      </c>
      <c r="H296" s="14"/>
      <c r="I296" s="14"/>
      <c r="J296" s="23">
        <v>296.0</v>
      </c>
      <c r="K296" s="14">
        <v>298.0</v>
      </c>
      <c r="L296" s="14">
        <v>357.0</v>
      </c>
      <c r="M296" s="22">
        <v>311.0</v>
      </c>
      <c r="N296" s="14"/>
      <c r="O296" s="14"/>
      <c r="P296" s="14"/>
      <c r="Q296" s="14"/>
      <c r="R296" s="24">
        <v>308.0</v>
      </c>
      <c r="S296" s="14"/>
      <c r="T296" s="14"/>
      <c r="U296" s="14"/>
      <c r="V296" s="33"/>
      <c r="W296" s="14"/>
      <c r="X296" s="14"/>
      <c r="Y296" s="14">
        <v>858.0</v>
      </c>
      <c r="Z296" s="25">
        <v>294.0</v>
      </c>
      <c r="AA296" s="25"/>
      <c r="AB296" s="25">
        <v>513.0</v>
      </c>
      <c r="AC296" s="14">
        <v>566.0</v>
      </c>
      <c r="AD296" s="14"/>
      <c r="AE296" s="14">
        <v>406.0</v>
      </c>
      <c r="AF296" s="14">
        <v>669.0</v>
      </c>
      <c r="AG296" s="14"/>
      <c r="AH296" s="14">
        <v>370.0</v>
      </c>
      <c r="AI296" s="14">
        <v>362.0</v>
      </c>
      <c r="AJ296" s="14">
        <v>385.0</v>
      </c>
      <c r="AK296" s="14"/>
      <c r="AL296" s="14">
        <v>407.0</v>
      </c>
      <c r="AM296" s="14">
        <v>364.0</v>
      </c>
      <c r="AN296" s="14">
        <v>406.0</v>
      </c>
      <c r="AO296" s="14">
        <v>264.0</v>
      </c>
      <c r="AP296" s="14">
        <v>351.0</v>
      </c>
      <c r="AQ296" s="14">
        <v>294.0</v>
      </c>
      <c r="AR296" s="14"/>
      <c r="AS296" s="14">
        <v>283.0</v>
      </c>
      <c r="AT296" s="14">
        <v>326.0</v>
      </c>
      <c r="AU296" s="14">
        <v>259.0</v>
      </c>
      <c r="AV296" s="14">
        <v>234.0</v>
      </c>
      <c r="AW296" s="14">
        <v>271.0</v>
      </c>
      <c r="AX296" s="14">
        <v>322.0</v>
      </c>
      <c r="AY296" s="14">
        <v>222.0</v>
      </c>
      <c r="AZ296" s="26"/>
      <c r="BA296" s="26"/>
      <c r="BB296" s="26"/>
      <c r="BC296" s="26"/>
    </row>
    <row r="297">
      <c r="A297" s="27">
        <f>HYPERLINK("https://arcprize.org/play?task=b782dc8a", 286)</f>
        <v>286</v>
      </c>
      <c r="B297" s="14">
        <v>105.0</v>
      </c>
      <c r="C297" s="14">
        <v>299.0</v>
      </c>
      <c r="D297" s="14">
        <v>104.0</v>
      </c>
      <c r="E297" s="14">
        <v>267.0</v>
      </c>
      <c r="F297" s="22">
        <v>106.0</v>
      </c>
      <c r="G297" s="14">
        <v>290.0</v>
      </c>
      <c r="H297" s="14"/>
      <c r="I297" s="14"/>
      <c r="J297" s="23">
        <v>113.0</v>
      </c>
      <c r="K297" s="14">
        <v>124.0</v>
      </c>
      <c r="L297" s="14">
        <v>114.0</v>
      </c>
      <c r="M297" s="22">
        <v>107.0</v>
      </c>
      <c r="N297" s="14"/>
      <c r="O297" s="14"/>
      <c r="P297" s="14"/>
      <c r="Q297" s="14">
        <v>301.0</v>
      </c>
      <c r="R297" s="24">
        <v>116.0</v>
      </c>
      <c r="S297" s="14"/>
      <c r="T297" s="14"/>
      <c r="U297" s="14">
        <v>401.0</v>
      </c>
      <c r="V297" s="33"/>
      <c r="W297" s="14">
        <v>109.0</v>
      </c>
      <c r="X297" s="14"/>
      <c r="Y297" s="14">
        <v>287.0</v>
      </c>
      <c r="Z297" s="25">
        <v>115.0</v>
      </c>
      <c r="AA297" s="25"/>
      <c r="AB297" s="25">
        <v>244.0</v>
      </c>
      <c r="AC297" s="14">
        <v>267.0</v>
      </c>
      <c r="AD297" s="14"/>
      <c r="AE297" s="14">
        <v>267.0</v>
      </c>
      <c r="AF297" s="14">
        <v>252.0</v>
      </c>
      <c r="AG297" s="14"/>
      <c r="AH297" s="14">
        <v>236.0</v>
      </c>
      <c r="AI297" s="14">
        <v>140.0</v>
      </c>
      <c r="AJ297" s="14">
        <v>281.0</v>
      </c>
      <c r="AK297" s="14"/>
      <c r="AL297" s="14">
        <v>267.0</v>
      </c>
      <c r="AM297" s="14">
        <v>130.0</v>
      </c>
      <c r="AN297" s="14">
        <v>267.0</v>
      </c>
      <c r="AO297" s="14">
        <v>112.0</v>
      </c>
      <c r="AP297" s="14">
        <v>246.0</v>
      </c>
      <c r="AQ297" s="14">
        <v>133.0</v>
      </c>
      <c r="AR297" s="14"/>
      <c r="AS297" s="14">
        <v>130.0</v>
      </c>
      <c r="AT297" s="14">
        <v>267.0</v>
      </c>
      <c r="AU297" s="14">
        <v>111.0</v>
      </c>
      <c r="AV297" s="14">
        <v>110.0</v>
      </c>
      <c r="AW297" s="14">
        <v>125.0</v>
      </c>
      <c r="AX297" s="14">
        <v>117.0</v>
      </c>
      <c r="AY297" s="14">
        <v>104.0</v>
      </c>
      <c r="AZ297" s="26"/>
      <c r="BA297" s="26"/>
      <c r="BB297" s="26"/>
      <c r="BC297" s="26"/>
    </row>
    <row r="298">
      <c r="A298" s="27">
        <f>HYPERLINK("https://arcprize.org/play?task=b8825c91", 287)</f>
        <v>287</v>
      </c>
      <c r="B298" s="14">
        <v>53.0</v>
      </c>
      <c r="C298" s="14">
        <v>149.0</v>
      </c>
      <c r="D298" s="14">
        <v>55.0</v>
      </c>
      <c r="E298" s="14">
        <v>149.0</v>
      </c>
      <c r="F298" s="22">
        <v>56.0</v>
      </c>
      <c r="G298" s="14">
        <v>85.0</v>
      </c>
      <c r="H298" s="14"/>
      <c r="I298" s="14"/>
      <c r="J298" s="23">
        <v>69.0</v>
      </c>
      <c r="K298" s="14">
        <v>73.0</v>
      </c>
      <c r="L298" s="14">
        <v>73.0</v>
      </c>
      <c r="M298" s="22">
        <v>69.0</v>
      </c>
      <c r="N298" s="14"/>
      <c r="O298" s="14"/>
      <c r="P298" s="14"/>
      <c r="Q298" s="14">
        <v>78.0</v>
      </c>
      <c r="R298" s="24">
        <v>76.0</v>
      </c>
      <c r="S298" s="14">
        <v>78.0</v>
      </c>
      <c r="T298" s="14">
        <v>76.0</v>
      </c>
      <c r="U298" s="14">
        <v>289.0</v>
      </c>
      <c r="V298" s="29">
        <v>76.0</v>
      </c>
      <c r="W298" s="14">
        <v>60.0</v>
      </c>
      <c r="X298" s="14">
        <v>214.0</v>
      </c>
      <c r="Y298" s="14">
        <v>215.0</v>
      </c>
      <c r="Z298" s="25">
        <v>72.0</v>
      </c>
      <c r="AA298" s="25"/>
      <c r="AB298" s="25">
        <v>113.0</v>
      </c>
      <c r="AC298" s="14">
        <v>149.0</v>
      </c>
      <c r="AD298" s="14"/>
      <c r="AE298" s="14">
        <v>149.0</v>
      </c>
      <c r="AF298" s="14">
        <v>205.0</v>
      </c>
      <c r="AG298" s="14"/>
      <c r="AH298" s="14">
        <v>76.0</v>
      </c>
      <c r="AI298" s="14">
        <v>75.0</v>
      </c>
      <c r="AJ298" s="14">
        <v>149.0</v>
      </c>
      <c r="AK298" s="14"/>
      <c r="AL298" s="14">
        <v>115.0</v>
      </c>
      <c r="AM298" s="14">
        <v>84.0</v>
      </c>
      <c r="AN298" s="14">
        <v>149.0</v>
      </c>
      <c r="AO298" s="14">
        <v>66.0</v>
      </c>
      <c r="AP298" s="14">
        <v>76.0</v>
      </c>
      <c r="AQ298" s="14">
        <v>76.0</v>
      </c>
      <c r="AR298" s="14"/>
      <c r="AS298" s="14">
        <v>75.0</v>
      </c>
      <c r="AT298" s="14">
        <v>149.0</v>
      </c>
      <c r="AU298" s="14">
        <v>56.0</v>
      </c>
      <c r="AV298" s="14">
        <v>66.0</v>
      </c>
      <c r="AW298" s="14">
        <v>58.0</v>
      </c>
      <c r="AX298" s="14">
        <v>66.0</v>
      </c>
      <c r="AY298" s="14">
        <v>53.0</v>
      </c>
      <c r="AZ298" s="26"/>
      <c r="BA298" s="26"/>
      <c r="BB298" s="26"/>
      <c r="BC298" s="26"/>
    </row>
    <row r="299">
      <c r="A299" s="27">
        <f>HYPERLINK("https://arcprize.org/play?task=b8cdaf2b", 288)</f>
        <v>288</v>
      </c>
      <c r="B299" s="14">
        <v>86.0</v>
      </c>
      <c r="C299" s="14">
        <v>119.0</v>
      </c>
      <c r="D299" s="14">
        <v>91.0</v>
      </c>
      <c r="E299" s="14">
        <v>119.0</v>
      </c>
      <c r="F299" s="22">
        <v>87.0</v>
      </c>
      <c r="G299" s="14">
        <v>119.0</v>
      </c>
      <c r="H299" s="14"/>
      <c r="I299" s="14"/>
      <c r="J299" s="23">
        <v>88.0</v>
      </c>
      <c r="K299" s="14">
        <v>86.0</v>
      </c>
      <c r="L299" s="14">
        <v>111.0</v>
      </c>
      <c r="M299" s="22">
        <v>111.0</v>
      </c>
      <c r="N299" s="14"/>
      <c r="O299" s="14"/>
      <c r="P299" s="14"/>
      <c r="Q299" s="14">
        <v>156.0</v>
      </c>
      <c r="R299" s="24">
        <v>94.0</v>
      </c>
      <c r="S299" s="14"/>
      <c r="T299" s="14"/>
      <c r="U299" s="14"/>
      <c r="V299" s="33"/>
      <c r="W299" s="14">
        <v>88.0</v>
      </c>
      <c r="X299" s="14"/>
      <c r="Y299" s="14">
        <v>217.0</v>
      </c>
      <c r="Z299" s="25">
        <v>94.0</v>
      </c>
      <c r="AA299" s="25"/>
      <c r="AB299" s="25">
        <v>162.0</v>
      </c>
      <c r="AC299" s="14">
        <v>119.0</v>
      </c>
      <c r="AD299" s="14"/>
      <c r="AE299" s="14">
        <v>111.0</v>
      </c>
      <c r="AF299" s="14">
        <v>97.0</v>
      </c>
      <c r="AG299" s="14"/>
      <c r="AH299" s="14">
        <v>93.0</v>
      </c>
      <c r="AI299" s="14">
        <v>94.0</v>
      </c>
      <c r="AJ299" s="14">
        <v>116.0</v>
      </c>
      <c r="AK299" s="14"/>
      <c r="AL299" s="14">
        <v>118.0</v>
      </c>
      <c r="AM299" s="14">
        <v>105.0</v>
      </c>
      <c r="AN299" s="14">
        <v>119.0</v>
      </c>
      <c r="AO299" s="14">
        <v>86.0</v>
      </c>
      <c r="AP299" s="14">
        <v>119.0</v>
      </c>
      <c r="AQ299" s="14">
        <v>88.0</v>
      </c>
      <c r="AR299" s="14"/>
      <c r="AS299" s="14">
        <v>96.0</v>
      </c>
      <c r="AT299" s="14">
        <v>119.0</v>
      </c>
      <c r="AU299" s="14">
        <v>109.0</v>
      </c>
      <c r="AV299" s="14">
        <v>86.0</v>
      </c>
      <c r="AW299" s="14">
        <v>88.0</v>
      </c>
      <c r="AX299" s="14">
        <v>87.0</v>
      </c>
      <c r="AY299" s="14">
        <v>85.0</v>
      </c>
      <c r="AZ299" s="26"/>
      <c r="BA299" s="26"/>
      <c r="BB299" s="26"/>
      <c r="BC299" s="26"/>
    </row>
    <row r="300">
      <c r="A300" s="27">
        <f>HYPERLINK("https://arcprize.org/play?task=b91ae062", 289)</f>
        <v>289</v>
      </c>
      <c r="B300" s="14">
        <v>63.0</v>
      </c>
      <c r="C300" s="14">
        <v>92.0</v>
      </c>
      <c r="D300" s="14">
        <v>63.0</v>
      </c>
      <c r="E300" s="14">
        <v>92.0</v>
      </c>
      <c r="F300" s="22">
        <v>63.0</v>
      </c>
      <c r="G300" s="14">
        <v>92.0</v>
      </c>
      <c r="H300" s="14">
        <v>83.0</v>
      </c>
      <c r="I300" s="14"/>
      <c r="J300" s="23">
        <v>72.0</v>
      </c>
      <c r="K300" s="14">
        <v>75.0</v>
      </c>
      <c r="L300" s="14">
        <v>80.0</v>
      </c>
      <c r="M300" s="22">
        <v>64.0</v>
      </c>
      <c r="N300" s="14"/>
      <c r="O300" s="14"/>
      <c r="P300" s="14"/>
      <c r="Q300" s="14">
        <v>98.0</v>
      </c>
      <c r="R300" s="24">
        <v>82.0</v>
      </c>
      <c r="S300" s="14"/>
      <c r="T300" s="14">
        <v>92.0</v>
      </c>
      <c r="U300" s="14">
        <v>105.0</v>
      </c>
      <c r="V300" s="33"/>
      <c r="W300" s="14">
        <v>63.0</v>
      </c>
      <c r="X300" s="14">
        <v>105.0</v>
      </c>
      <c r="Y300" s="14">
        <v>105.0</v>
      </c>
      <c r="Z300" s="25">
        <v>77.0</v>
      </c>
      <c r="AA300" s="25"/>
      <c r="AB300" s="25">
        <v>105.0</v>
      </c>
      <c r="AC300" s="14">
        <v>92.0</v>
      </c>
      <c r="AD300" s="14"/>
      <c r="AE300" s="14">
        <v>92.0</v>
      </c>
      <c r="AF300" s="14">
        <v>92.0</v>
      </c>
      <c r="AG300" s="14">
        <v>105.0</v>
      </c>
      <c r="AH300" s="14">
        <v>83.0</v>
      </c>
      <c r="AI300" s="14">
        <v>87.0</v>
      </c>
      <c r="AJ300" s="14">
        <v>92.0</v>
      </c>
      <c r="AK300" s="14"/>
      <c r="AL300" s="14">
        <v>92.0</v>
      </c>
      <c r="AM300" s="14">
        <v>79.0</v>
      </c>
      <c r="AN300" s="14">
        <v>92.0</v>
      </c>
      <c r="AO300" s="14">
        <v>74.0</v>
      </c>
      <c r="AP300" s="14">
        <v>92.0</v>
      </c>
      <c r="AQ300" s="14">
        <v>83.0</v>
      </c>
      <c r="AR300" s="14"/>
      <c r="AS300" s="14">
        <v>74.0</v>
      </c>
      <c r="AT300" s="14">
        <v>92.0</v>
      </c>
      <c r="AU300" s="14">
        <v>74.0</v>
      </c>
      <c r="AV300" s="14">
        <v>74.0</v>
      </c>
      <c r="AW300" s="14">
        <v>67.0</v>
      </c>
      <c r="AX300" s="14">
        <v>81.0</v>
      </c>
      <c r="AY300" s="14">
        <v>63.0</v>
      </c>
      <c r="AZ300" s="26"/>
      <c r="BA300" s="26"/>
      <c r="BB300" s="26"/>
      <c r="BC300" s="26"/>
    </row>
    <row r="301">
      <c r="A301" s="27">
        <f>HYPERLINK("https://arcprize.org/play?task=b94a9452", 290)</f>
        <v>290</v>
      </c>
      <c r="B301" s="14">
        <v>65.0</v>
      </c>
      <c r="C301" s="14">
        <v>111.0</v>
      </c>
      <c r="D301" s="14">
        <v>68.0</v>
      </c>
      <c r="E301" s="14">
        <v>111.0</v>
      </c>
      <c r="F301" s="22">
        <v>67.0</v>
      </c>
      <c r="G301" s="14">
        <v>111.0</v>
      </c>
      <c r="H301" s="14">
        <v>72.0</v>
      </c>
      <c r="I301" s="14"/>
      <c r="J301" s="23">
        <v>69.0</v>
      </c>
      <c r="K301" s="14">
        <v>70.0</v>
      </c>
      <c r="L301" s="14">
        <v>70.0</v>
      </c>
      <c r="M301" s="22">
        <v>69.0</v>
      </c>
      <c r="N301" s="14"/>
      <c r="O301" s="14"/>
      <c r="P301" s="14"/>
      <c r="Q301" s="14">
        <v>245.0</v>
      </c>
      <c r="R301" s="24">
        <v>70.0</v>
      </c>
      <c r="S301" s="14">
        <v>128.0</v>
      </c>
      <c r="T301" s="14">
        <v>99.0</v>
      </c>
      <c r="U301" s="14">
        <v>241.0</v>
      </c>
      <c r="V301" s="29">
        <v>70.0</v>
      </c>
      <c r="W301" s="14">
        <v>69.0</v>
      </c>
      <c r="X301" s="14">
        <v>240.0</v>
      </c>
      <c r="Y301" s="14">
        <v>241.0</v>
      </c>
      <c r="Z301" s="25">
        <v>70.0</v>
      </c>
      <c r="AA301" s="25"/>
      <c r="AB301" s="25">
        <v>194.0</v>
      </c>
      <c r="AC301" s="14">
        <v>111.0</v>
      </c>
      <c r="AD301" s="14"/>
      <c r="AE301" s="14">
        <v>111.0</v>
      </c>
      <c r="AF301" s="14">
        <v>134.0</v>
      </c>
      <c r="AG301" s="14">
        <v>249.0</v>
      </c>
      <c r="AH301" s="14">
        <v>82.0</v>
      </c>
      <c r="AI301" s="14">
        <v>70.0</v>
      </c>
      <c r="AJ301" s="14">
        <v>111.0</v>
      </c>
      <c r="AK301" s="14"/>
      <c r="AL301" s="14">
        <v>109.0</v>
      </c>
      <c r="AM301" s="14">
        <v>70.0</v>
      </c>
      <c r="AN301" s="14">
        <v>111.0</v>
      </c>
      <c r="AO301" s="14">
        <v>70.0</v>
      </c>
      <c r="AP301" s="14">
        <v>70.0</v>
      </c>
      <c r="AQ301" s="14">
        <v>70.0</v>
      </c>
      <c r="AR301" s="14"/>
      <c r="AS301" s="14">
        <v>70.0</v>
      </c>
      <c r="AT301" s="14">
        <v>111.0</v>
      </c>
      <c r="AU301" s="14">
        <v>69.0</v>
      </c>
      <c r="AV301" s="14">
        <v>70.0</v>
      </c>
      <c r="AW301" s="14">
        <v>70.0</v>
      </c>
      <c r="AX301" s="14">
        <v>70.0</v>
      </c>
      <c r="AY301" s="14">
        <v>65.0</v>
      </c>
      <c r="AZ301" s="26"/>
      <c r="BA301" s="26"/>
      <c r="BB301" s="26"/>
      <c r="BC301" s="26"/>
    </row>
    <row r="302">
      <c r="A302" s="27">
        <f>HYPERLINK("https://arcprize.org/play?task=b9b7f026", 291)</f>
        <v>291</v>
      </c>
      <c r="B302" s="14">
        <v>61.0</v>
      </c>
      <c r="C302" s="14">
        <v>106.0</v>
      </c>
      <c r="D302" s="14">
        <v>59.0</v>
      </c>
      <c r="E302" s="14">
        <v>110.0</v>
      </c>
      <c r="F302" s="22">
        <v>61.0</v>
      </c>
      <c r="G302" s="14">
        <v>111.0</v>
      </c>
      <c r="H302" s="14">
        <v>84.0</v>
      </c>
      <c r="I302" s="14">
        <v>62.0</v>
      </c>
      <c r="J302" s="23">
        <v>70.0</v>
      </c>
      <c r="K302" s="14">
        <v>69.0</v>
      </c>
      <c r="L302" s="14">
        <v>81.0</v>
      </c>
      <c r="M302" s="22">
        <v>70.0</v>
      </c>
      <c r="N302" s="14"/>
      <c r="O302" s="14"/>
      <c r="P302" s="14"/>
      <c r="Q302" s="14">
        <v>93.0</v>
      </c>
      <c r="R302" s="24">
        <v>70.0</v>
      </c>
      <c r="S302" s="14">
        <v>69.0</v>
      </c>
      <c r="T302" s="14">
        <v>105.0</v>
      </c>
      <c r="U302" s="14">
        <v>242.0</v>
      </c>
      <c r="V302" s="29">
        <v>81.0</v>
      </c>
      <c r="W302" s="14">
        <v>71.0</v>
      </c>
      <c r="X302" s="14"/>
      <c r="Y302" s="14">
        <v>171.0</v>
      </c>
      <c r="Z302" s="25">
        <v>75.0</v>
      </c>
      <c r="AA302" s="25"/>
      <c r="AB302" s="25">
        <v>194.0</v>
      </c>
      <c r="AC302" s="14">
        <v>110.0</v>
      </c>
      <c r="AD302" s="14"/>
      <c r="AE302" s="14">
        <v>110.0</v>
      </c>
      <c r="AF302" s="14">
        <v>105.0</v>
      </c>
      <c r="AG302" s="14">
        <v>194.0</v>
      </c>
      <c r="AH302" s="14">
        <v>107.0</v>
      </c>
      <c r="AI302" s="14">
        <v>81.0</v>
      </c>
      <c r="AJ302" s="14">
        <v>110.0</v>
      </c>
      <c r="AK302" s="14"/>
      <c r="AL302" s="14">
        <v>107.0</v>
      </c>
      <c r="AM302" s="14">
        <v>71.0</v>
      </c>
      <c r="AN302" s="14">
        <v>110.0</v>
      </c>
      <c r="AO302" s="14">
        <v>62.0</v>
      </c>
      <c r="AP302" s="14">
        <v>84.0</v>
      </c>
      <c r="AQ302" s="14">
        <v>107.0</v>
      </c>
      <c r="AR302" s="14"/>
      <c r="AS302" s="14">
        <v>89.0</v>
      </c>
      <c r="AT302" s="14">
        <v>110.0</v>
      </c>
      <c r="AU302" s="14">
        <v>62.0</v>
      </c>
      <c r="AV302" s="14">
        <v>62.0</v>
      </c>
      <c r="AW302" s="14">
        <v>63.0</v>
      </c>
      <c r="AX302" s="14">
        <v>72.0</v>
      </c>
      <c r="AY302" s="14">
        <v>59.0</v>
      </c>
      <c r="AZ302" s="26"/>
      <c r="BA302" s="26"/>
      <c r="BB302" s="26"/>
      <c r="BC302" s="26"/>
    </row>
    <row r="303">
      <c r="A303" s="27">
        <f>HYPERLINK("https://arcprize.org/play?task=ba26e723", 292)</f>
        <v>292</v>
      </c>
      <c r="B303" s="14">
        <v>52.0</v>
      </c>
      <c r="C303" s="14">
        <v>66.0</v>
      </c>
      <c r="D303" s="14">
        <v>51.0</v>
      </c>
      <c r="E303" s="14">
        <v>69.0</v>
      </c>
      <c r="F303" s="22">
        <v>52.0</v>
      </c>
      <c r="G303" s="14">
        <v>70.0</v>
      </c>
      <c r="H303" s="14"/>
      <c r="I303" s="14">
        <v>61.0</v>
      </c>
      <c r="J303" s="23">
        <v>56.0</v>
      </c>
      <c r="K303" s="14">
        <v>59.0</v>
      </c>
      <c r="L303" s="14">
        <v>63.0</v>
      </c>
      <c r="M303" s="22">
        <v>56.0</v>
      </c>
      <c r="N303" s="14"/>
      <c r="O303" s="14"/>
      <c r="P303" s="14"/>
      <c r="Q303" s="14">
        <v>66.0</v>
      </c>
      <c r="R303" s="24">
        <v>61.0</v>
      </c>
      <c r="S303" s="14">
        <v>64.0</v>
      </c>
      <c r="T303" s="14">
        <v>63.0</v>
      </c>
      <c r="U303" s="14">
        <v>73.0</v>
      </c>
      <c r="V303" s="29">
        <v>64.0</v>
      </c>
      <c r="W303" s="14">
        <v>56.0</v>
      </c>
      <c r="X303" s="14">
        <v>73.0</v>
      </c>
      <c r="Y303" s="14">
        <v>73.0</v>
      </c>
      <c r="Z303" s="25">
        <v>61.0</v>
      </c>
      <c r="AA303" s="25"/>
      <c r="AB303" s="25">
        <v>67.0</v>
      </c>
      <c r="AC303" s="14">
        <v>69.0</v>
      </c>
      <c r="AD303" s="14"/>
      <c r="AE303" s="14">
        <v>69.0</v>
      </c>
      <c r="AF303" s="14">
        <v>66.0</v>
      </c>
      <c r="AG303" s="14">
        <v>73.0</v>
      </c>
      <c r="AH303" s="14">
        <v>59.0</v>
      </c>
      <c r="AI303" s="14">
        <v>61.0</v>
      </c>
      <c r="AJ303" s="14">
        <v>69.0</v>
      </c>
      <c r="AK303" s="14">
        <v>58.0</v>
      </c>
      <c r="AL303" s="14">
        <v>66.0</v>
      </c>
      <c r="AM303" s="14">
        <v>64.0</v>
      </c>
      <c r="AN303" s="14">
        <v>69.0</v>
      </c>
      <c r="AO303" s="14">
        <v>56.0</v>
      </c>
      <c r="AP303" s="14">
        <v>61.0</v>
      </c>
      <c r="AQ303" s="14">
        <v>61.0</v>
      </c>
      <c r="AR303" s="14"/>
      <c r="AS303" s="14">
        <v>63.0</v>
      </c>
      <c r="AT303" s="14">
        <v>69.0</v>
      </c>
      <c r="AU303" s="14">
        <v>56.0</v>
      </c>
      <c r="AV303" s="14">
        <v>56.0</v>
      </c>
      <c r="AW303" s="14">
        <v>56.0</v>
      </c>
      <c r="AX303" s="14">
        <v>57.0</v>
      </c>
      <c r="AY303" s="14">
        <v>51.0</v>
      </c>
      <c r="AZ303" s="26"/>
      <c r="BA303" s="26"/>
      <c r="BB303" s="26"/>
      <c r="BC303" s="26"/>
    </row>
    <row r="304">
      <c r="A304" s="27">
        <f>HYPERLINK("https://arcprize.org/play?task=ba97ae07", 293)</f>
        <v>293</v>
      </c>
      <c r="B304" s="14">
        <v>60.0</v>
      </c>
      <c r="C304" s="14">
        <v>98.0</v>
      </c>
      <c r="D304" s="14">
        <v>60.0</v>
      </c>
      <c r="E304" s="14">
        <v>108.0</v>
      </c>
      <c r="F304" s="22">
        <v>59.0</v>
      </c>
      <c r="G304" s="14">
        <v>108.0</v>
      </c>
      <c r="H304" s="14"/>
      <c r="I304" s="14">
        <v>87.0</v>
      </c>
      <c r="J304" s="23">
        <v>69.0</v>
      </c>
      <c r="K304" s="14">
        <v>60.0</v>
      </c>
      <c r="L304" s="14">
        <v>60.0</v>
      </c>
      <c r="M304" s="22">
        <v>66.0</v>
      </c>
      <c r="N304" s="14"/>
      <c r="O304" s="14"/>
      <c r="P304" s="14"/>
      <c r="Q304" s="14">
        <v>123.0</v>
      </c>
      <c r="R304" s="24">
        <v>66.0</v>
      </c>
      <c r="S304" s="14"/>
      <c r="T304" s="14">
        <v>97.0</v>
      </c>
      <c r="U304" s="14">
        <v>177.0</v>
      </c>
      <c r="V304" s="29">
        <v>73.0</v>
      </c>
      <c r="W304" s="14">
        <v>60.0</v>
      </c>
      <c r="X304" s="14">
        <v>177.0</v>
      </c>
      <c r="Y304" s="14">
        <v>177.0</v>
      </c>
      <c r="Z304" s="25">
        <v>67.0</v>
      </c>
      <c r="AA304" s="25"/>
      <c r="AB304" s="25">
        <v>177.0</v>
      </c>
      <c r="AC304" s="14">
        <v>108.0</v>
      </c>
      <c r="AD304" s="14"/>
      <c r="AE304" s="14">
        <v>108.0</v>
      </c>
      <c r="AF304" s="14">
        <v>95.0</v>
      </c>
      <c r="AG304" s="14">
        <v>177.0</v>
      </c>
      <c r="AH304" s="14">
        <v>105.0</v>
      </c>
      <c r="AI304" s="14">
        <v>80.0</v>
      </c>
      <c r="AJ304" s="14">
        <v>108.0</v>
      </c>
      <c r="AK304" s="14"/>
      <c r="AL304" s="14">
        <v>108.0</v>
      </c>
      <c r="AM304" s="14">
        <v>67.0</v>
      </c>
      <c r="AN304" s="14">
        <v>108.0</v>
      </c>
      <c r="AO304" s="14">
        <v>60.0</v>
      </c>
      <c r="AP304" s="14">
        <v>97.0</v>
      </c>
      <c r="AQ304" s="14">
        <v>67.0</v>
      </c>
      <c r="AR304" s="14"/>
      <c r="AS304" s="14">
        <v>84.0</v>
      </c>
      <c r="AT304" s="14">
        <v>108.0</v>
      </c>
      <c r="AU304" s="14">
        <v>60.0</v>
      </c>
      <c r="AV304" s="14">
        <v>60.0</v>
      </c>
      <c r="AW304" s="14">
        <v>60.0</v>
      </c>
      <c r="AX304" s="14">
        <v>60.0</v>
      </c>
      <c r="AY304" s="14">
        <v>59.0</v>
      </c>
      <c r="AZ304" s="26"/>
      <c r="BA304" s="26"/>
      <c r="BB304" s="26"/>
      <c r="BC304" s="26"/>
    </row>
    <row r="305">
      <c r="A305" s="27">
        <f>HYPERLINK("https://arcprize.org/play?task=bb43febb", 294)</f>
        <v>294</v>
      </c>
      <c r="B305" s="14">
        <v>70.0</v>
      </c>
      <c r="C305" s="14">
        <v>120.0</v>
      </c>
      <c r="D305" s="14">
        <v>70.0</v>
      </c>
      <c r="E305" s="14">
        <v>120.0</v>
      </c>
      <c r="F305" s="22">
        <v>70.0</v>
      </c>
      <c r="G305" s="14">
        <v>120.0</v>
      </c>
      <c r="H305" s="14">
        <v>101.0</v>
      </c>
      <c r="I305" s="15"/>
      <c r="J305" s="23">
        <v>70.0</v>
      </c>
      <c r="K305" s="14">
        <v>76.0</v>
      </c>
      <c r="L305" s="14">
        <v>76.0</v>
      </c>
      <c r="M305" s="22">
        <v>76.0</v>
      </c>
      <c r="N305" s="15"/>
      <c r="O305" s="15"/>
      <c r="P305" s="15"/>
      <c r="Q305" s="14">
        <v>175.0</v>
      </c>
      <c r="R305" s="24">
        <v>76.0</v>
      </c>
      <c r="S305" s="14">
        <v>107.0</v>
      </c>
      <c r="T305" s="14">
        <v>188.0</v>
      </c>
      <c r="U305" s="14">
        <v>175.0</v>
      </c>
      <c r="V305" s="29">
        <v>98.0</v>
      </c>
      <c r="W305" s="15"/>
      <c r="X305" s="14">
        <v>175.0</v>
      </c>
      <c r="Y305" s="14">
        <v>175.0</v>
      </c>
      <c r="Z305" s="25">
        <v>70.0</v>
      </c>
      <c r="AA305" s="25"/>
      <c r="AB305" s="25">
        <v>150.0</v>
      </c>
      <c r="AC305" s="14">
        <v>120.0</v>
      </c>
      <c r="AD305" s="14"/>
      <c r="AE305" s="14">
        <v>120.0</v>
      </c>
      <c r="AF305" s="14">
        <v>112.0</v>
      </c>
      <c r="AG305" s="14">
        <v>175.0</v>
      </c>
      <c r="AH305" s="14">
        <v>112.0</v>
      </c>
      <c r="AI305" s="14">
        <v>108.0</v>
      </c>
      <c r="AJ305" s="14">
        <v>120.0</v>
      </c>
      <c r="AK305" s="14"/>
      <c r="AL305" s="14">
        <v>116.0</v>
      </c>
      <c r="AM305" s="14">
        <v>112.0</v>
      </c>
      <c r="AN305" s="14">
        <v>120.0</v>
      </c>
      <c r="AO305" s="14">
        <v>82.0</v>
      </c>
      <c r="AP305" s="14">
        <v>113.0</v>
      </c>
      <c r="AQ305" s="14">
        <v>85.0</v>
      </c>
      <c r="AR305" s="14"/>
      <c r="AS305" s="14">
        <v>70.0</v>
      </c>
      <c r="AT305" s="14">
        <v>106.0</v>
      </c>
      <c r="AU305" s="14">
        <v>70.0</v>
      </c>
      <c r="AV305" s="14">
        <v>70.0</v>
      </c>
      <c r="AW305" s="14">
        <v>70.0</v>
      </c>
      <c r="AX305" s="14">
        <v>76.0</v>
      </c>
      <c r="AY305" s="14">
        <v>70.0</v>
      </c>
      <c r="AZ305" s="26"/>
      <c r="BA305" s="26"/>
      <c r="BB305" s="26"/>
      <c r="BC305" s="26"/>
    </row>
    <row r="306">
      <c r="A306" s="27">
        <f>HYPERLINK("https://arcprize.org/play?task=bbc9ae5d", 295)</f>
        <v>295</v>
      </c>
      <c r="B306" s="14">
        <v>54.0</v>
      </c>
      <c r="C306" s="14">
        <v>106.0</v>
      </c>
      <c r="D306" s="14">
        <v>54.0</v>
      </c>
      <c r="E306" s="14">
        <v>106.0</v>
      </c>
      <c r="F306" s="22">
        <v>54.0</v>
      </c>
      <c r="G306" s="14">
        <v>106.0</v>
      </c>
      <c r="H306" s="14">
        <v>60.0</v>
      </c>
      <c r="I306" s="14">
        <v>63.0</v>
      </c>
      <c r="J306" s="23">
        <v>59.0</v>
      </c>
      <c r="K306" s="14">
        <v>58.0</v>
      </c>
      <c r="L306" s="14">
        <v>63.0</v>
      </c>
      <c r="M306" s="22">
        <v>62.0</v>
      </c>
      <c r="N306" s="15"/>
      <c r="O306" s="15"/>
      <c r="P306" s="15"/>
      <c r="Q306" s="14">
        <v>198.0</v>
      </c>
      <c r="R306" s="24">
        <v>54.0</v>
      </c>
      <c r="S306" s="15"/>
      <c r="T306" s="14">
        <v>69.0</v>
      </c>
      <c r="U306" s="15"/>
      <c r="V306" s="29">
        <v>69.0</v>
      </c>
      <c r="W306" s="14">
        <v>54.0</v>
      </c>
      <c r="X306" s="14"/>
      <c r="Y306" s="14">
        <v>180.0</v>
      </c>
      <c r="Z306" s="25">
        <v>60.0</v>
      </c>
      <c r="AA306" s="25"/>
      <c r="AB306" s="25">
        <v>96.0</v>
      </c>
      <c r="AC306" s="14">
        <v>106.0</v>
      </c>
      <c r="AD306" s="14"/>
      <c r="AE306" s="14">
        <v>106.0</v>
      </c>
      <c r="AF306" s="14">
        <v>92.0</v>
      </c>
      <c r="AG306" s="14">
        <v>187.0</v>
      </c>
      <c r="AH306" s="14">
        <v>63.0</v>
      </c>
      <c r="AI306" s="14">
        <v>75.0</v>
      </c>
      <c r="AJ306" s="14">
        <v>79.0</v>
      </c>
      <c r="AK306" s="14">
        <v>63.0</v>
      </c>
      <c r="AL306" s="14">
        <v>98.0</v>
      </c>
      <c r="AM306" s="14">
        <v>65.0</v>
      </c>
      <c r="AN306" s="14">
        <v>106.0</v>
      </c>
      <c r="AO306" s="14">
        <v>54.0</v>
      </c>
      <c r="AP306" s="14">
        <v>106.0</v>
      </c>
      <c r="AQ306" s="14">
        <v>79.0</v>
      </c>
      <c r="AR306" s="14"/>
      <c r="AS306" s="14">
        <v>64.0</v>
      </c>
      <c r="AT306" s="14">
        <v>106.0</v>
      </c>
      <c r="AU306" s="14">
        <v>60.0</v>
      </c>
      <c r="AV306" s="14">
        <v>54.0</v>
      </c>
      <c r="AW306" s="14">
        <v>54.0</v>
      </c>
      <c r="AX306" s="14">
        <v>54.0</v>
      </c>
      <c r="AY306" s="14">
        <v>54.0</v>
      </c>
      <c r="AZ306" s="26"/>
      <c r="BA306" s="26"/>
      <c r="BB306" s="26"/>
      <c r="BC306" s="26"/>
    </row>
    <row r="307">
      <c r="A307" s="27">
        <f>HYPERLINK("https://arcprize.org/play?task=bc1d5164", 296)</f>
        <v>296</v>
      </c>
      <c r="B307" s="14">
        <v>55.0</v>
      </c>
      <c r="C307" s="14">
        <v>92.0</v>
      </c>
      <c r="D307" s="14">
        <v>62.0</v>
      </c>
      <c r="E307" s="14">
        <v>92.0</v>
      </c>
      <c r="F307" s="22">
        <v>60.0</v>
      </c>
      <c r="G307" s="14">
        <v>98.0</v>
      </c>
      <c r="H307" s="14">
        <v>73.0</v>
      </c>
      <c r="I307" s="14"/>
      <c r="J307" s="23">
        <v>63.0</v>
      </c>
      <c r="K307" s="14">
        <v>62.0</v>
      </c>
      <c r="L307" s="14">
        <v>63.0</v>
      </c>
      <c r="M307" s="22">
        <v>60.0</v>
      </c>
      <c r="N307" s="14"/>
      <c r="O307" s="14"/>
      <c r="P307" s="14"/>
      <c r="Q307" s="14">
        <v>129.0</v>
      </c>
      <c r="R307" s="24">
        <v>63.0</v>
      </c>
      <c r="S307" s="14">
        <v>71.0</v>
      </c>
      <c r="T307" s="14">
        <v>84.0</v>
      </c>
      <c r="U307" s="14">
        <v>126.0</v>
      </c>
      <c r="V307" s="29">
        <v>73.0</v>
      </c>
      <c r="W307" s="14">
        <v>68.0</v>
      </c>
      <c r="X307" s="14">
        <v>126.0</v>
      </c>
      <c r="Y307" s="14">
        <v>126.0</v>
      </c>
      <c r="Z307" s="25">
        <v>63.0</v>
      </c>
      <c r="AA307" s="25"/>
      <c r="AB307" s="25">
        <v>108.0</v>
      </c>
      <c r="AC307" s="14">
        <v>98.0</v>
      </c>
      <c r="AD307" s="14"/>
      <c r="AE307" s="14">
        <v>98.0</v>
      </c>
      <c r="AF307" s="14">
        <v>126.0</v>
      </c>
      <c r="AG307" s="14">
        <v>126.0</v>
      </c>
      <c r="AH307" s="14">
        <v>63.0</v>
      </c>
      <c r="AI307" s="14">
        <v>85.0</v>
      </c>
      <c r="AJ307" s="14">
        <v>85.0</v>
      </c>
      <c r="AK307" s="14"/>
      <c r="AL307" s="14">
        <v>94.0</v>
      </c>
      <c r="AM307" s="14">
        <v>76.0</v>
      </c>
      <c r="AN307" s="14">
        <v>98.0</v>
      </c>
      <c r="AO307" s="14">
        <v>66.0</v>
      </c>
      <c r="AP307" s="14">
        <v>73.0</v>
      </c>
      <c r="AQ307" s="14">
        <v>75.0</v>
      </c>
      <c r="AR307" s="14"/>
      <c r="AS307" s="14">
        <v>63.0</v>
      </c>
      <c r="AT307" s="14">
        <v>92.0</v>
      </c>
      <c r="AU307" s="14">
        <v>63.0</v>
      </c>
      <c r="AV307" s="14">
        <v>62.0</v>
      </c>
      <c r="AW307" s="14">
        <v>63.0</v>
      </c>
      <c r="AX307" s="14">
        <v>66.0</v>
      </c>
      <c r="AY307" s="14">
        <v>55.0</v>
      </c>
      <c r="AZ307" s="26"/>
      <c r="BA307" s="26"/>
      <c r="BB307" s="26"/>
      <c r="BC307" s="26"/>
    </row>
    <row r="308">
      <c r="A308" s="27">
        <f>HYPERLINK("https://arcprize.org/play?task=bd4472b8", 297)</f>
        <v>297</v>
      </c>
      <c r="B308" s="14">
        <v>43.0</v>
      </c>
      <c r="C308" s="14">
        <v>72.0</v>
      </c>
      <c r="D308" s="14">
        <v>43.0</v>
      </c>
      <c r="E308" s="14">
        <v>72.0</v>
      </c>
      <c r="F308" s="22">
        <v>43.0</v>
      </c>
      <c r="G308" s="14">
        <v>72.0</v>
      </c>
      <c r="H308" s="14">
        <v>47.0</v>
      </c>
      <c r="I308" s="14">
        <v>47.0</v>
      </c>
      <c r="J308" s="23">
        <v>43.0</v>
      </c>
      <c r="K308" s="14">
        <v>43.0</v>
      </c>
      <c r="L308" s="14">
        <v>47.0</v>
      </c>
      <c r="M308" s="22">
        <v>43.0</v>
      </c>
      <c r="N308" s="14"/>
      <c r="O308" s="14"/>
      <c r="P308" s="14"/>
      <c r="Q308" s="14">
        <v>47.0</v>
      </c>
      <c r="R308" s="24">
        <v>44.0</v>
      </c>
      <c r="S308" s="14">
        <v>47.0</v>
      </c>
      <c r="T308" s="14">
        <v>79.0</v>
      </c>
      <c r="U308" s="14">
        <v>103.0</v>
      </c>
      <c r="V308" s="29">
        <v>47.0</v>
      </c>
      <c r="W308" s="14">
        <v>43.0</v>
      </c>
      <c r="X308" s="14">
        <v>103.0</v>
      </c>
      <c r="Y308" s="14">
        <v>103.0</v>
      </c>
      <c r="Z308" s="25">
        <v>43.0</v>
      </c>
      <c r="AA308" s="25"/>
      <c r="AB308" s="25">
        <v>60.0</v>
      </c>
      <c r="AC308" s="14">
        <v>72.0</v>
      </c>
      <c r="AD308" s="14"/>
      <c r="AE308" s="14">
        <v>72.0</v>
      </c>
      <c r="AF308" s="14">
        <v>63.0</v>
      </c>
      <c r="AG308" s="14">
        <v>103.0</v>
      </c>
      <c r="AH308" s="14">
        <v>47.0</v>
      </c>
      <c r="AI308" s="14">
        <v>47.0</v>
      </c>
      <c r="AJ308" s="14">
        <v>72.0</v>
      </c>
      <c r="AK308" s="14">
        <v>47.0</v>
      </c>
      <c r="AL308" s="14">
        <v>54.0</v>
      </c>
      <c r="AM308" s="14">
        <v>44.0</v>
      </c>
      <c r="AN308" s="14">
        <v>72.0</v>
      </c>
      <c r="AO308" s="14">
        <v>43.0</v>
      </c>
      <c r="AP308" s="14">
        <v>43.0</v>
      </c>
      <c r="AQ308" s="14">
        <v>43.0</v>
      </c>
      <c r="AR308" s="14"/>
      <c r="AS308" s="14">
        <v>47.0</v>
      </c>
      <c r="AT308" s="14">
        <v>72.0</v>
      </c>
      <c r="AU308" s="14">
        <v>43.0</v>
      </c>
      <c r="AV308" s="14">
        <v>43.0</v>
      </c>
      <c r="AW308" s="14">
        <v>43.0</v>
      </c>
      <c r="AX308" s="14">
        <v>43.0</v>
      </c>
      <c r="AY308" s="14">
        <v>43.0</v>
      </c>
      <c r="AZ308" s="26"/>
      <c r="BA308" s="26"/>
      <c r="BB308" s="26"/>
      <c r="BC308" s="26"/>
    </row>
    <row r="309">
      <c r="A309" s="27">
        <f>HYPERLINK("https://arcprize.org/play?task=bda2d7a6", 298)</f>
        <v>298</v>
      </c>
      <c r="B309" s="14">
        <v>55.0</v>
      </c>
      <c r="C309" s="14">
        <v>104.0</v>
      </c>
      <c r="D309" s="14">
        <v>55.0</v>
      </c>
      <c r="E309" s="14">
        <v>104.0</v>
      </c>
      <c r="F309" s="22">
        <v>55.0</v>
      </c>
      <c r="G309" s="14">
        <v>104.0</v>
      </c>
      <c r="H309" s="14"/>
      <c r="I309" s="14">
        <v>60.0</v>
      </c>
      <c r="J309" s="23">
        <v>58.0</v>
      </c>
      <c r="K309" s="14">
        <v>55.0</v>
      </c>
      <c r="L309" s="14">
        <v>72.0</v>
      </c>
      <c r="M309" s="22">
        <v>58.0</v>
      </c>
      <c r="N309" s="14"/>
      <c r="O309" s="14"/>
      <c r="P309" s="14"/>
      <c r="Q309" s="14">
        <v>95.0</v>
      </c>
      <c r="R309" s="24">
        <v>57.0</v>
      </c>
      <c r="S309" s="14"/>
      <c r="T309" s="14">
        <v>60.0</v>
      </c>
      <c r="U309" s="14">
        <v>117.0</v>
      </c>
      <c r="V309" s="29">
        <v>72.0</v>
      </c>
      <c r="W309" s="14">
        <v>55.0</v>
      </c>
      <c r="X309" s="14">
        <v>117.0</v>
      </c>
      <c r="Y309" s="14">
        <v>117.0</v>
      </c>
      <c r="Z309" s="25">
        <v>58.0</v>
      </c>
      <c r="AA309" s="25"/>
      <c r="AB309" s="25">
        <v>110.0</v>
      </c>
      <c r="AC309" s="14">
        <v>104.0</v>
      </c>
      <c r="AD309" s="14"/>
      <c r="AE309" s="14">
        <v>104.0</v>
      </c>
      <c r="AF309" s="14">
        <v>95.0</v>
      </c>
      <c r="AG309" s="14">
        <v>117.0</v>
      </c>
      <c r="AH309" s="14">
        <v>60.0</v>
      </c>
      <c r="AI309" s="14">
        <v>95.0</v>
      </c>
      <c r="AJ309" s="14">
        <v>99.0</v>
      </c>
      <c r="AK309" s="14">
        <v>58.0</v>
      </c>
      <c r="AL309" s="14">
        <v>104.0</v>
      </c>
      <c r="AM309" s="14">
        <v>79.0</v>
      </c>
      <c r="AN309" s="14">
        <v>104.0</v>
      </c>
      <c r="AO309" s="14">
        <v>54.0</v>
      </c>
      <c r="AP309" s="14">
        <v>95.0</v>
      </c>
      <c r="AQ309" s="14">
        <v>80.0</v>
      </c>
      <c r="AR309" s="14"/>
      <c r="AS309" s="14">
        <v>60.0</v>
      </c>
      <c r="AT309" s="14">
        <v>104.0</v>
      </c>
      <c r="AU309" s="14">
        <v>55.0</v>
      </c>
      <c r="AV309" s="14">
        <v>55.0</v>
      </c>
      <c r="AW309" s="14">
        <v>55.0</v>
      </c>
      <c r="AX309" s="14">
        <v>58.0</v>
      </c>
      <c r="AY309" s="14">
        <v>54.0</v>
      </c>
      <c r="AZ309" s="26"/>
      <c r="BA309" s="26"/>
      <c r="BB309" s="26"/>
      <c r="BC309" s="26"/>
    </row>
    <row r="310">
      <c r="A310" s="27">
        <f>HYPERLINK("https://arcprize.org/play?task=bdad9b1f", 299)</f>
        <v>299</v>
      </c>
      <c r="B310" s="14">
        <v>54.0</v>
      </c>
      <c r="C310" s="14">
        <v>138.0</v>
      </c>
      <c r="D310" s="14">
        <v>54.0</v>
      </c>
      <c r="E310" s="14">
        <v>138.0</v>
      </c>
      <c r="F310" s="22">
        <v>54.0</v>
      </c>
      <c r="G310" s="14">
        <v>138.0</v>
      </c>
      <c r="H310" s="14">
        <v>56.0</v>
      </c>
      <c r="I310" s="14"/>
      <c r="J310" s="23">
        <v>54.0</v>
      </c>
      <c r="K310" s="14">
        <v>54.0</v>
      </c>
      <c r="L310" s="14">
        <v>68.0</v>
      </c>
      <c r="M310" s="22">
        <v>58.0</v>
      </c>
      <c r="N310" s="14"/>
      <c r="O310" s="14"/>
      <c r="P310" s="14"/>
      <c r="Q310" s="14">
        <v>226.0</v>
      </c>
      <c r="R310" s="24">
        <v>69.0</v>
      </c>
      <c r="S310" s="14"/>
      <c r="T310" s="14">
        <v>68.0</v>
      </c>
      <c r="U310" s="14">
        <v>193.0</v>
      </c>
      <c r="V310" s="29">
        <v>69.0</v>
      </c>
      <c r="W310" s="14">
        <v>54.0</v>
      </c>
      <c r="X310" s="14">
        <v>221.0</v>
      </c>
      <c r="Y310" s="14">
        <v>224.0</v>
      </c>
      <c r="Z310" s="25">
        <v>54.0</v>
      </c>
      <c r="AA310" s="25"/>
      <c r="AB310" s="25">
        <v>178.0</v>
      </c>
      <c r="AC310" s="14">
        <v>138.0</v>
      </c>
      <c r="AD310" s="14"/>
      <c r="AE310" s="14">
        <v>138.0</v>
      </c>
      <c r="AF310" s="14">
        <v>172.0</v>
      </c>
      <c r="AG310" s="14"/>
      <c r="AH310" s="14">
        <v>54.0</v>
      </c>
      <c r="AI310" s="14">
        <v>71.0</v>
      </c>
      <c r="AJ310" s="14">
        <v>99.0</v>
      </c>
      <c r="AK310" s="14">
        <v>54.0</v>
      </c>
      <c r="AL310" s="14">
        <v>134.0</v>
      </c>
      <c r="AM310" s="14">
        <v>68.0</v>
      </c>
      <c r="AN310" s="14">
        <v>138.0</v>
      </c>
      <c r="AO310" s="14">
        <v>54.0</v>
      </c>
      <c r="AP310" s="14">
        <v>55.0</v>
      </c>
      <c r="AQ310" s="14">
        <v>59.0</v>
      </c>
      <c r="AR310" s="14"/>
      <c r="AS310" s="14">
        <v>54.0</v>
      </c>
      <c r="AT310" s="14">
        <v>138.0</v>
      </c>
      <c r="AU310" s="14">
        <v>57.0</v>
      </c>
      <c r="AV310" s="14">
        <v>54.0</v>
      </c>
      <c r="AW310" s="14">
        <v>54.0</v>
      </c>
      <c r="AX310" s="14">
        <v>60.0</v>
      </c>
      <c r="AY310" s="14">
        <v>54.0</v>
      </c>
      <c r="AZ310" s="26"/>
      <c r="BA310" s="26"/>
      <c r="BB310" s="26"/>
      <c r="BC310" s="26"/>
    </row>
    <row r="311">
      <c r="A311" s="27">
        <f>HYPERLINK("https://arcprize.org/play?task=be94b721", 300)</f>
        <v>300</v>
      </c>
      <c r="B311" s="14">
        <v>87.0</v>
      </c>
      <c r="C311" s="14">
        <v>168.0</v>
      </c>
      <c r="D311" s="14">
        <v>87.0</v>
      </c>
      <c r="E311" s="14">
        <v>168.0</v>
      </c>
      <c r="F311" s="22">
        <v>87.0</v>
      </c>
      <c r="G311" s="14">
        <v>168.0</v>
      </c>
      <c r="H311" s="14"/>
      <c r="I311" s="14">
        <v>91.0</v>
      </c>
      <c r="J311" s="23">
        <v>91.0</v>
      </c>
      <c r="K311" s="14">
        <v>92.0</v>
      </c>
      <c r="L311" s="14">
        <v>94.0</v>
      </c>
      <c r="M311" s="22">
        <v>90.0</v>
      </c>
      <c r="N311" s="15"/>
      <c r="O311" s="15"/>
      <c r="P311" s="15"/>
      <c r="Q311" s="15">
        <v>124.0</v>
      </c>
      <c r="R311" s="24">
        <v>101.0</v>
      </c>
      <c r="S311" s="14">
        <v>139.0</v>
      </c>
      <c r="T311" s="14">
        <v>218.0</v>
      </c>
      <c r="U311" s="14">
        <v>328.0</v>
      </c>
      <c r="V311" s="29">
        <v>94.0</v>
      </c>
      <c r="W311" s="14">
        <v>87.0</v>
      </c>
      <c r="X311" s="14">
        <v>275.0</v>
      </c>
      <c r="Y311" s="14">
        <v>275.0</v>
      </c>
      <c r="Z311" s="25">
        <v>95.0</v>
      </c>
      <c r="AA311" s="25"/>
      <c r="AB311" s="25">
        <v>247.0</v>
      </c>
      <c r="AC311" s="14">
        <v>168.0</v>
      </c>
      <c r="AD311" s="14"/>
      <c r="AE311" s="14">
        <v>168.0</v>
      </c>
      <c r="AF311" s="14">
        <v>186.0</v>
      </c>
      <c r="AG311" s="14">
        <v>279.0</v>
      </c>
      <c r="AH311" s="14">
        <v>117.0</v>
      </c>
      <c r="AI311" s="14">
        <v>105.0</v>
      </c>
      <c r="AJ311" s="14">
        <v>168.0</v>
      </c>
      <c r="AK311" s="14"/>
      <c r="AL311" s="14">
        <v>102.0</v>
      </c>
      <c r="AM311" s="14">
        <v>99.0</v>
      </c>
      <c r="AN311" s="14">
        <v>168.0</v>
      </c>
      <c r="AO311" s="14">
        <v>94.0</v>
      </c>
      <c r="AP311" s="14">
        <v>164.0</v>
      </c>
      <c r="AQ311" s="14">
        <v>106.0</v>
      </c>
      <c r="AR311" s="14"/>
      <c r="AS311" s="14">
        <v>98.0</v>
      </c>
      <c r="AT311" s="14">
        <v>142.0</v>
      </c>
      <c r="AU311" s="14">
        <v>97.0</v>
      </c>
      <c r="AV311" s="14">
        <v>94.0</v>
      </c>
      <c r="AW311" s="14">
        <v>93.0</v>
      </c>
      <c r="AX311" s="14">
        <v>104.0</v>
      </c>
      <c r="AY311" s="14">
        <v>87.0</v>
      </c>
      <c r="AZ311" s="26"/>
      <c r="BA311" s="26"/>
      <c r="BB311" s="26"/>
      <c r="BC311" s="26"/>
    </row>
    <row r="312">
      <c r="A312" s="27">
        <f>HYPERLINK("https://arcprize.org/play?task=beb8660c", 301)</f>
        <v>301</v>
      </c>
      <c r="B312" s="14">
        <v>31.0</v>
      </c>
      <c r="C312" s="14">
        <v>37.0</v>
      </c>
      <c r="D312" s="14">
        <v>31.0</v>
      </c>
      <c r="E312" s="14">
        <v>38.0</v>
      </c>
      <c r="F312" s="22">
        <v>31.0</v>
      </c>
      <c r="G312" s="14">
        <v>31.0</v>
      </c>
      <c r="H312" s="14">
        <v>31.0</v>
      </c>
      <c r="I312" s="14">
        <v>31.0</v>
      </c>
      <c r="J312" s="23">
        <v>31.0</v>
      </c>
      <c r="K312" s="14">
        <v>31.0</v>
      </c>
      <c r="L312" s="14">
        <v>31.0</v>
      </c>
      <c r="M312" s="22">
        <v>31.0</v>
      </c>
      <c r="N312" s="15"/>
      <c r="O312" s="15"/>
      <c r="P312" s="15"/>
      <c r="Q312" s="15">
        <v>31.0</v>
      </c>
      <c r="R312" s="24">
        <v>31.0</v>
      </c>
      <c r="S312" s="14">
        <v>98.0</v>
      </c>
      <c r="T312" s="14">
        <v>31.0</v>
      </c>
      <c r="U312" s="14">
        <v>243.0</v>
      </c>
      <c r="V312" s="29">
        <v>32.0</v>
      </c>
      <c r="W312" s="14">
        <v>31.0</v>
      </c>
      <c r="X312" s="14">
        <v>243.0</v>
      </c>
      <c r="Y312" s="14">
        <v>243.0</v>
      </c>
      <c r="Z312" s="30">
        <v>31.0</v>
      </c>
      <c r="AA312" s="25"/>
      <c r="AB312" s="25">
        <v>243.0</v>
      </c>
      <c r="AC312" s="14">
        <v>37.0</v>
      </c>
      <c r="AD312" s="14">
        <v>31.0</v>
      </c>
      <c r="AE312" s="14">
        <v>38.0</v>
      </c>
      <c r="AF312" s="14">
        <v>243.0</v>
      </c>
      <c r="AG312" s="14">
        <v>31.0</v>
      </c>
      <c r="AH312" s="14">
        <v>31.0</v>
      </c>
      <c r="AI312" s="14">
        <v>31.0</v>
      </c>
      <c r="AJ312" s="14">
        <v>32.0</v>
      </c>
      <c r="AK312" s="14">
        <v>31.0</v>
      </c>
      <c r="AL312" s="14">
        <v>32.0</v>
      </c>
      <c r="AM312" s="14">
        <v>31.0</v>
      </c>
      <c r="AN312" s="14">
        <v>38.0</v>
      </c>
      <c r="AO312" s="14">
        <v>31.0</v>
      </c>
      <c r="AP312" s="14">
        <v>31.0</v>
      </c>
      <c r="AQ312" s="14">
        <v>31.0</v>
      </c>
      <c r="AR312" s="14"/>
      <c r="AS312" s="14">
        <v>31.0</v>
      </c>
      <c r="AT312" s="14">
        <v>38.0</v>
      </c>
      <c r="AU312" s="14">
        <v>31.0</v>
      </c>
      <c r="AV312" s="14">
        <v>31.0</v>
      </c>
      <c r="AW312" s="14">
        <v>31.0</v>
      </c>
      <c r="AX312" s="14">
        <v>31.0</v>
      </c>
      <c r="AY312" s="14">
        <v>31.0</v>
      </c>
      <c r="AZ312" s="26"/>
      <c r="BA312" s="26"/>
      <c r="BB312" s="26"/>
      <c r="BC312" s="26"/>
    </row>
    <row r="313">
      <c r="A313" s="27">
        <f>HYPERLINK("https://arcprize.org/play?task=c0f76784", 302)</f>
        <v>302</v>
      </c>
      <c r="B313" s="14">
        <v>89.0</v>
      </c>
      <c r="C313" s="14">
        <v>336.0</v>
      </c>
      <c r="D313" s="14">
        <v>91.0</v>
      </c>
      <c r="E313" s="14">
        <v>381.0</v>
      </c>
      <c r="F313" s="22">
        <v>89.0</v>
      </c>
      <c r="G313" s="14">
        <v>407.0</v>
      </c>
      <c r="H313" s="15"/>
      <c r="I313" s="15"/>
      <c r="J313" s="23">
        <v>107.0</v>
      </c>
      <c r="K313" s="14">
        <v>124.0</v>
      </c>
      <c r="L313" s="14">
        <v>143.0</v>
      </c>
      <c r="M313" s="22">
        <v>93.0</v>
      </c>
      <c r="N313" s="15"/>
      <c r="O313" s="15"/>
      <c r="P313" s="15"/>
      <c r="Q313" s="14">
        <v>212.0</v>
      </c>
      <c r="R313" s="24">
        <v>107.0</v>
      </c>
      <c r="S313" s="15"/>
      <c r="T313" s="15"/>
      <c r="U313" s="14">
        <v>217.0</v>
      </c>
      <c r="V313" s="29">
        <v>157.0</v>
      </c>
      <c r="W313" s="14">
        <v>112.0</v>
      </c>
      <c r="X313" s="14">
        <v>409.0</v>
      </c>
      <c r="Y313" s="14">
        <v>293.0</v>
      </c>
      <c r="Z313" s="25">
        <v>93.0</v>
      </c>
      <c r="AA313" s="25"/>
      <c r="AB313" s="25">
        <v>281.0</v>
      </c>
      <c r="AC313" s="14">
        <v>402.0</v>
      </c>
      <c r="AD313" s="14"/>
      <c r="AE313" s="14">
        <v>143.0</v>
      </c>
      <c r="AF313" s="14">
        <v>409.0</v>
      </c>
      <c r="AG313" s="14">
        <v>142.0</v>
      </c>
      <c r="AH313" s="14">
        <v>162.0</v>
      </c>
      <c r="AI313" s="14">
        <v>202.0</v>
      </c>
      <c r="AJ313" s="14">
        <v>297.0</v>
      </c>
      <c r="AK313" s="14"/>
      <c r="AL313" s="14">
        <v>168.0</v>
      </c>
      <c r="AM313" s="14">
        <v>161.0</v>
      </c>
      <c r="AN313" s="14">
        <v>405.0</v>
      </c>
      <c r="AO313" s="14">
        <v>115.0</v>
      </c>
      <c r="AP313" s="14">
        <v>156.0</v>
      </c>
      <c r="AQ313" s="14">
        <v>173.0</v>
      </c>
      <c r="AR313" s="14"/>
      <c r="AS313" s="14">
        <v>128.0</v>
      </c>
      <c r="AT313" s="14">
        <v>273.0</v>
      </c>
      <c r="AU313" s="14">
        <v>101.0</v>
      </c>
      <c r="AV313" s="14">
        <v>106.0</v>
      </c>
      <c r="AW313" s="14">
        <v>109.0</v>
      </c>
      <c r="AX313" s="14">
        <v>126.0</v>
      </c>
      <c r="AY313" s="14">
        <v>89.0</v>
      </c>
      <c r="AZ313" s="26"/>
      <c r="BA313" s="26"/>
      <c r="BB313" s="26"/>
      <c r="BC313" s="26"/>
    </row>
    <row r="314">
      <c r="A314" s="27">
        <f>HYPERLINK("https://arcprize.org/play?task=c1d99e64", 303)</f>
        <v>303</v>
      </c>
      <c r="B314" s="14">
        <v>62.0</v>
      </c>
      <c r="C314" s="14">
        <v>175.0</v>
      </c>
      <c r="D314" s="14">
        <v>64.0</v>
      </c>
      <c r="E314" s="14">
        <v>176.0</v>
      </c>
      <c r="F314" s="22">
        <v>63.0</v>
      </c>
      <c r="G314" s="14">
        <v>125.0</v>
      </c>
      <c r="H314" s="14">
        <v>68.0</v>
      </c>
      <c r="I314" s="14">
        <v>75.0</v>
      </c>
      <c r="J314" s="23">
        <v>65.0</v>
      </c>
      <c r="K314" s="14">
        <v>65.0</v>
      </c>
      <c r="L314" s="14">
        <v>70.0</v>
      </c>
      <c r="M314" s="22">
        <v>63.0</v>
      </c>
      <c r="N314" s="14"/>
      <c r="O314" s="14"/>
      <c r="P314" s="14"/>
      <c r="Q314" s="14">
        <v>115.0</v>
      </c>
      <c r="R314" s="24">
        <v>65.0</v>
      </c>
      <c r="S314" s="14">
        <v>93.0</v>
      </c>
      <c r="T314" s="14">
        <v>135.0</v>
      </c>
      <c r="U314" s="14">
        <v>150.0</v>
      </c>
      <c r="V314" s="29">
        <v>70.0</v>
      </c>
      <c r="W314" s="14">
        <v>64.0</v>
      </c>
      <c r="X314" s="14">
        <v>176.0</v>
      </c>
      <c r="Y314" s="14">
        <v>176.0</v>
      </c>
      <c r="Z314" s="25">
        <v>64.0</v>
      </c>
      <c r="AA314" s="25"/>
      <c r="AB314" s="25">
        <v>71.0</v>
      </c>
      <c r="AC314" s="14">
        <v>176.0</v>
      </c>
      <c r="AD314" s="14"/>
      <c r="AE314" s="14">
        <v>176.0</v>
      </c>
      <c r="AF314" s="14">
        <v>176.0</v>
      </c>
      <c r="AG314" s="14">
        <v>176.0</v>
      </c>
      <c r="AH314" s="14">
        <v>70.0</v>
      </c>
      <c r="AI314" s="14">
        <v>78.0</v>
      </c>
      <c r="AJ314" s="14">
        <v>121.0</v>
      </c>
      <c r="AK314" s="14"/>
      <c r="AL314" s="14">
        <v>138.0</v>
      </c>
      <c r="AM314" s="14">
        <v>72.0</v>
      </c>
      <c r="AN314" s="14">
        <v>176.0</v>
      </c>
      <c r="AO314" s="14">
        <v>64.0</v>
      </c>
      <c r="AP314" s="14">
        <v>66.0</v>
      </c>
      <c r="AQ314" s="14">
        <v>64.0</v>
      </c>
      <c r="AR314" s="14"/>
      <c r="AS314" s="14">
        <v>71.0</v>
      </c>
      <c r="AT314" s="14">
        <v>83.0</v>
      </c>
      <c r="AU314" s="14">
        <v>64.0</v>
      </c>
      <c r="AV314" s="14">
        <v>64.0</v>
      </c>
      <c r="AW314" s="14">
        <v>63.0</v>
      </c>
      <c r="AX314" s="14">
        <v>64.0</v>
      </c>
      <c r="AY314" s="14">
        <v>62.0</v>
      </c>
      <c r="AZ314" s="26"/>
      <c r="BA314" s="26"/>
      <c r="BB314" s="26"/>
      <c r="BC314" s="26"/>
    </row>
    <row r="315">
      <c r="A315" s="27">
        <f>HYPERLINK("https://arcprize.org/play?task=c3e719e8", 304)</f>
        <v>304</v>
      </c>
      <c r="B315" s="14">
        <v>92.0</v>
      </c>
      <c r="C315" s="14">
        <v>245.0</v>
      </c>
      <c r="D315" s="14">
        <v>92.0</v>
      </c>
      <c r="E315" s="14">
        <v>237.0</v>
      </c>
      <c r="F315" s="22">
        <v>92.0</v>
      </c>
      <c r="G315" s="14">
        <v>246.0</v>
      </c>
      <c r="H315" s="15"/>
      <c r="I315" s="14">
        <v>101.0</v>
      </c>
      <c r="J315" s="23">
        <v>92.0</v>
      </c>
      <c r="K315" s="14">
        <v>93.0</v>
      </c>
      <c r="L315" s="14">
        <v>93.0</v>
      </c>
      <c r="M315" s="22">
        <v>92.0</v>
      </c>
      <c r="N315" s="15"/>
      <c r="O315" s="15"/>
      <c r="P315" s="15"/>
      <c r="Q315" s="15">
        <v>101.0</v>
      </c>
      <c r="R315" s="24">
        <v>93.0</v>
      </c>
      <c r="S315" s="14">
        <v>105.0</v>
      </c>
      <c r="T315" s="15"/>
      <c r="U315" s="14">
        <v>246.0</v>
      </c>
      <c r="V315" s="29">
        <v>93.0</v>
      </c>
      <c r="W315" s="14">
        <v>92.0</v>
      </c>
      <c r="X315" s="14">
        <v>246.0</v>
      </c>
      <c r="Y315" s="14">
        <v>242.0</v>
      </c>
      <c r="Z315" s="25">
        <v>92.0</v>
      </c>
      <c r="AA315" s="25"/>
      <c r="AB315" s="25">
        <v>112.0</v>
      </c>
      <c r="AC315" s="14">
        <v>237.0</v>
      </c>
      <c r="AD315" s="14"/>
      <c r="AE315" s="14">
        <v>237.0</v>
      </c>
      <c r="AF315" s="14">
        <v>246.0</v>
      </c>
      <c r="AG315" s="14">
        <v>246.0</v>
      </c>
      <c r="AH315" s="14">
        <v>104.0</v>
      </c>
      <c r="AI315" s="14">
        <v>93.0</v>
      </c>
      <c r="AJ315" s="14">
        <v>120.0</v>
      </c>
      <c r="AK315" s="14"/>
      <c r="AL315" s="14">
        <v>112.0</v>
      </c>
      <c r="AM315" s="14">
        <v>93.0</v>
      </c>
      <c r="AN315" s="14">
        <v>237.0</v>
      </c>
      <c r="AO315" s="14">
        <v>92.0</v>
      </c>
      <c r="AP315" s="14">
        <v>104.0</v>
      </c>
      <c r="AQ315" s="14">
        <v>93.0</v>
      </c>
      <c r="AR315" s="14"/>
      <c r="AS315" s="14">
        <v>93.0</v>
      </c>
      <c r="AT315" s="14">
        <v>107.0</v>
      </c>
      <c r="AU315" s="14">
        <v>92.0</v>
      </c>
      <c r="AV315" s="14">
        <v>93.0</v>
      </c>
      <c r="AW315" s="14">
        <v>92.0</v>
      </c>
      <c r="AX315" s="14">
        <v>93.0</v>
      </c>
      <c r="AY315" s="14">
        <v>92.0</v>
      </c>
      <c r="AZ315" s="26"/>
      <c r="BA315" s="26"/>
      <c r="BB315" s="26"/>
      <c r="BC315" s="26"/>
    </row>
    <row r="316">
      <c r="A316" s="27">
        <f>HYPERLINK("https://arcprize.org/play?task=c3f564a4", 305)</f>
        <v>305</v>
      </c>
      <c r="B316" s="14">
        <v>57.0</v>
      </c>
      <c r="C316" s="14">
        <v>171.0</v>
      </c>
      <c r="D316" s="14">
        <v>57.0</v>
      </c>
      <c r="E316" s="14">
        <v>187.0</v>
      </c>
      <c r="F316" s="22">
        <v>60.0</v>
      </c>
      <c r="G316" s="14">
        <v>86.0</v>
      </c>
      <c r="H316" s="14"/>
      <c r="I316" s="14">
        <v>77.0</v>
      </c>
      <c r="J316" s="23">
        <v>64.0</v>
      </c>
      <c r="K316" s="14">
        <v>64.0</v>
      </c>
      <c r="L316" s="14">
        <v>64.0</v>
      </c>
      <c r="M316" s="22">
        <v>57.0</v>
      </c>
      <c r="N316" s="15"/>
      <c r="O316" s="15"/>
      <c r="P316" s="15">
        <v>164.0</v>
      </c>
      <c r="Q316" s="14">
        <v>73.0</v>
      </c>
      <c r="R316" s="24">
        <v>64.0</v>
      </c>
      <c r="S316" s="15"/>
      <c r="T316" s="15"/>
      <c r="U316" s="14">
        <v>191.0</v>
      </c>
      <c r="V316" s="29">
        <v>64.0</v>
      </c>
      <c r="W316" s="14">
        <v>56.0</v>
      </c>
      <c r="X316" s="14">
        <v>191.0</v>
      </c>
      <c r="Y316" s="14">
        <v>191.0</v>
      </c>
      <c r="Z316" s="25">
        <v>64.0</v>
      </c>
      <c r="AA316" s="25"/>
      <c r="AB316" s="25">
        <v>85.0</v>
      </c>
      <c r="AC316" s="14">
        <v>187.0</v>
      </c>
      <c r="AD316" s="14"/>
      <c r="AE316" s="14">
        <v>64.0</v>
      </c>
      <c r="AF316" s="14">
        <v>191.0</v>
      </c>
      <c r="AG316" s="14">
        <v>191.0</v>
      </c>
      <c r="AH316" s="14">
        <v>57.0</v>
      </c>
      <c r="AI316" s="14">
        <v>64.0</v>
      </c>
      <c r="AJ316" s="14">
        <v>180.0</v>
      </c>
      <c r="AK316" s="14"/>
      <c r="AL316" s="14">
        <v>119.0</v>
      </c>
      <c r="AM316" s="14">
        <v>66.0</v>
      </c>
      <c r="AN316" s="14">
        <v>187.0</v>
      </c>
      <c r="AO316" s="14">
        <v>57.0</v>
      </c>
      <c r="AP316" s="14">
        <v>64.0</v>
      </c>
      <c r="AQ316" s="14">
        <v>64.0</v>
      </c>
      <c r="AR316" s="14"/>
      <c r="AS316" s="14">
        <v>64.0</v>
      </c>
      <c r="AT316" s="14">
        <v>64.0</v>
      </c>
      <c r="AU316" s="14">
        <v>63.0</v>
      </c>
      <c r="AV316" s="14">
        <v>57.0</v>
      </c>
      <c r="AW316" s="14">
        <v>57.0</v>
      </c>
      <c r="AX316" s="14">
        <v>64.0</v>
      </c>
      <c r="AY316" s="14">
        <v>56.0</v>
      </c>
      <c r="AZ316" s="26"/>
      <c r="BA316" s="26"/>
      <c r="BB316" s="26"/>
      <c r="BC316" s="26"/>
    </row>
    <row r="317">
      <c r="A317" s="27">
        <f>HYPERLINK("https://arcprize.org/play?task=c444b776", 306)</f>
        <v>306</v>
      </c>
      <c r="B317" s="14">
        <v>63.0</v>
      </c>
      <c r="C317" s="14">
        <v>283.0</v>
      </c>
      <c r="D317" s="14">
        <v>63.0</v>
      </c>
      <c r="E317" s="14">
        <v>263.0</v>
      </c>
      <c r="F317" s="22">
        <v>64.0</v>
      </c>
      <c r="G317" s="14">
        <v>263.0</v>
      </c>
      <c r="H317" s="15"/>
      <c r="I317" s="14">
        <v>99.0</v>
      </c>
      <c r="J317" s="23">
        <v>63.0</v>
      </c>
      <c r="K317" s="14">
        <v>79.0</v>
      </c>
      <c r="L317" s="14">
        <v>101.0</v>
      </c>
      <c r="M317" s="22">
        <v>83.0</v>
      </c>
      <c r="N317" s="15"/>
      <c r="O317" s="15"/>
      <c r="P317" s="15"/>
      <c r="Q317" s="14">
        <v>232.0</v>
      </c>
      <c r="R317" s="24">
        <v>99.0</v>
      </c>
      <c r="S317" s="15"/>
      <c r="T317" s="15"/>
      <c r="U317" s="14">
        <v>596.0</v>
      </c>
      <c r="V317" s="29">
        <v>101.0</v>
      </c>
      <c r="W317" s="14">
        <v>82.0</v>
      </c>
      <c r="X317" s="14"/>
      <c r="Y317" s="14">
        <v>178.0</v>
      </c>
      <c r="Z317" s="25">
        <v>74.0</v>
      </c>
      <c r="AA317" s="25"/>
      <c r="AB317" s="25">
        <v>287.0</v>
      </c>
      <c r="AC317" s="14">
        <v>263.0</v>
      </c>
      <c r="AD317" s="14"/>
      <c r="AE317" s="14">
        <v>108.0</v>
      </c>
      <c r="AF317" s="14">
        <v>290.0</v>
      </c>
      <c r="AG317" s="14"/>
      <c r="AH317" s="14">
        <v>99.0</v>
      </c>
      <c r="AI317" s="14">
        <v>89.0</v>
      </c>
      <c r="AJ317" s="14">
        <v>132.0</v>
      </c>
      <c r="AK317" s="14"/>
      <c r="AL317" s="14">
        <v>168.0</v>
      </c>
      <c r="AM317" s="14">
        <v>99.0</v>
      </c>
      <c r="AN317" s="14">
        <v>263.0</v>
      </c>
      <c r="AO317" s="14">
        <v>66.0</v>
      </c>
      <c r="AP317" s="14">
        <v>120.0</v>
      </c>
      <c r="AQ317" s="14">
        <v>126.0</v>
      </c>
      <c r="AR317" s="14"/>
      <c r="AS317" s="14">
        <v>84.0</v>
      </c>
      <c r="AT317" s="14">
        <v>230.0</v>
      </c>
      <c r="AU317" s="14">
        <v>74.0</v>
      </c>
      <c r="AV317" s="14">
        <v>75.0</v>
      </c>
      <c r="AW317" s="14">
        <v>88.0</v>
      </c>
      <c r="AX317" s="14">
        <v>89.0</v>
      </c>
      <c r="AY317" s="14">
        <v>63.0</v>
      </c>
      <c r="AZ317" s="26"/>
      <c r="BA317" s="26"/>
      <c r="BB317" s="26"/>
      <c r="BC317" s="26"/>
    </row>
    <row r="318">
      <c r="A318" s="27">
        <f>HYPERLINK("https://arcprize.org/play?task=c59eb873", 307)</f>
        <v>307</v>
      </c>
      <c r="B318" s="14">
        <v>46.0</v>
      </c>
      <c r="C318" s="14">
        <v>61.0</v>
      </c>
      <c r="D318" s="14">
        <v>46.0</v>
      </c>
      <c r="E318" s="14">
        <v>73.0</v>
      </c>
      <c r="F318" s="22">
        <v>50.0</v>
      </c>
      <c r="G318" s="14">
        <v>64.0</v>
      </c>
      <c r="H318" s="14">
        <v>53.0</v>
      </c>
      <c r="I318" s="14">
        <v>63.0</v>
      </c>
      <c r="J318" s="23">
        <v>51.0</v>
      </c>
      <c r="K318" s="14">
        <v>50.0</v>
      </c>
      <c r="L318" s="14">
        <v>51.0</v>
      </c>
      <c r="M318" s="22">
        <v>51.0</v>
      </c>
      <c r="N318" s="14"/>
      <c r="O318" s="14"/>
      <c r="P318" s="14"/>
      <c r="Q318" s="14">
        <v>63.0</v>
      </c>
      <c r="R318" s="24">
        <v>51.0</v>
      </c>
      <c r="S318" s="14">
        <v>71.0</v>
      </c>
      <c r="T318" s="14">
        <v>74.0</v>
      </c>
      <c r="U318" s="14">
        <v>66.0</v>
      </c>
      <c r="V318" s="29">
        <v>55.0</v>
      </c>
      <c r="W318" s="14">
        <v>54.0</v>
      </c>
      <c r="X318" s="14">
        <v>66.0</v>
      </c>
      <c r="Y318" s="14">
        <v>77.0</v>
      </c>
      <c r="Z318" s="25">
        <v>51.0</v>
      </c>
      <c r="AA318" s="25"/>
      <c r="AB318" s="25">
        <v>64.0</v>
      </c>
      <c r="AC318" s="14">
        <v>65.0</v>
      </c>
      <c r="AD318" s="14"/>
      <c r="AE318" s="14">
        <v>54.0</v>
      </c>
      <c r="AF318" s="14">
        <v>94.0</v>
      </c>
      <c r="AG318" s="14">
        <v>55.0</v>
      </c>
      <c r="AH318" s="14">
        <v>54.0</v>
      </c>
      <c r="AI318" s="14">
        <v>61.0</v>
      </c>
      <c r="AJ318" s="14">
        <v>62.0</v>
      </c>
      <c r="AK318" s="14">
        <v>50.0</v>
      </c>
      <c r="AL318" s="14">
        <v>69.0</v>
      </c>
      <c r="AM318" s="14">
        <v>55.0</v>
      </c>
      <c r="AN318" s="14">
        <v>73.0</v>
      </c>
      <c r="AO318" s="14">
        <v>50.0</v>
      </c>
      <c r="AP318" s="14">
        <v>61.0</v>
      </c>
      <c r="AQ318" s="14">
        <v>51.0</v>
      </c>
      <c r="AR318" s="14"/>
      <c r="AS318" s="14">
        <v>52.0</v>
      </c>
      <c r="AT318" s="14">
        <v>73.0</v>
      </c>
      <c r="AU318" s="14">
        <v>53.0</v>
      </c>
      <c r="AV318" s="14">
        <v>50.0</v>
      </c>
      <c r="AW318" s="14">
        <v>50.0</v>
      </c>
      <c r="AX318" s="14">
        <v>50.0</v>
      </c>
      <c r="AY318" s="14">
        <v>46.0</v>
      </c>
      <c r="AZ318" s="26"/>
      <c r="BA318" s="26"/>
      <c r="BB318" s="26"/>
      <c r="BC318" s="26"/>
    </row>
    <row r="319">
      <c r="A319" s="27">
        <f>HYPERLINK("https://arcprize.org/play?task=c8cbb738", 308)</f>
        <v>308</v>
      </c>
      <c r="B319" s="14">
        <v>227.0</v>
      </c>
      <c r="C319" s="14">
        <v>435.0</v>
      </c>
      <c r="D319" s="14">
        <v>205.0</v>
      </c>
      <c r="E319" s="14">
        <v>403.0</v>
      </c>
      <c r="F319" s="22">
        <v>202.0</v>
      </c>
      <c r="G319" s="14">
        <v>326.0</v>
      </c>
      <c r="H319" s="15"/>
      <c r="I319" s="14">
        <v>357.0</v>
      </c>
      <c r="J319" s="23">
        <v>248.0</v>
      </c>
      <c r="K319" s="14">
        <v>209.0</v>
      </c>
      <c r="L319" s="14">
        <v>310.0</v>
      </c>
      <c r="M319" s="22">
        <v>252.0</v>
      </c>
      <c r="N319" s="15"/>
      <c r="O319" s="15"/>
      <c r="P319" s="15"/>
      <c r="Q319" s="14">
        <v>381.0</v>
      </c>
      <c r="R319" s="24">
        <v>279.0</v>
      </c>
      <c r="S319" s="15"/>
      <c r="T319" s="15"/>
      <c r="U319" s="15"/>
      <c r="V319" s="31"/>
      <c r="W319" s="14">
        <v>247.0</v>
      </c>
      <c r="X319" s="14"/>
      <c r="Y319" s="14">
        <v>408.0</v>
      </c>
      <c r="Z319" s="25">
        <v>253.0</v>
      </c>
      <c r="AA319" s="25"/>
      <c r="AB319" s="25">
        <v>442.0</v>
      </c>
      <c r="AC319" s="14">
        <v>348.0</v>
      </c>
      <c r="AD319" s="14"/>
      <c r="AE319" s="14">
        <v>310.0</v>
      </c>
      <c r="AF319" s="14">
        <v>423.0</v>
      </c>
      <c r="AG319" s="14"/>
      <c r="AH319" s="14">
        <v>310.0</v>
      </c>
      <c r="AI319" s="14">
        <v>292.0</v>
      </c>
      <c r="AJ319" s="14">
        <v>299.0</v>
      </c>
      <c r="AK319" s="14"/>
      <c r="AL319" s="14">
        <v>355.0</v>
      </c>
      <c r="AM319" s="14">
        <v>295.0</v>
      </c>
      <c r="AN319" s="14">
        <v>404.0</v>
      </c>
      <c r="AO319" s="14">
        <v>215.0</v>
      </c>
      <c r="AP319" s="14">
        <v>283.0</v>
      </c>
      <c r="AQ319" s="14">
        <v>287.0</v>
      </c>
      <c r="AR319" s="14"/>
      <c r="AS319" s="14">
        <v>258.0</v>
      </c>
      <c r="AT319" s="14">
        <v>346.0</v>
      </c>
      <c r="AU319" s="14">
        <v>244.0</v>
      </c>
      <c r="AV319" s="14">
        <v>195.0</v>
      </c>
      <c r="AW319" s="14">
        <v>192.0</v>
      </c>
      <c r="AX319" s="14">
        <v>256.0</v>
      </c>
      <c r="AY319" s="14">
        <v>188.0</v>
      </c>
      <c r="AZ319" s="26"/>
      <c r="BA319" s="26"/>
      <c r="BB319" s="26"/>
      <c r="BC319" s="26"/>
    </row>
    <row r="320">
      <c r="A320" s="27">
        <f>HYPERLINK("https://arcprize.org/play?task=c8f0f002", 309)</f>
        <v>309</v>
      </c>
      <c r="B320" s="14">
        <v>36.0</v>
      </c>
      <c r="C320" s="14">
        <v>44.0</v>
      </c>
      <c r="D320" s="14">
        <v>38.0</v>
      </c>
      <c r="E320" s="14">
        <v>45.0</v>
      </c>
      <c r="F320" s="22">
        <v>38.0</v>
      </c>
      <c r="G320" s="14">
        <v>38.0</v>
      </c>
      <c r="H320" s="14">
        <v>38.0</v>
      </c>
      <c r="I320" s="14">
        <v>38.0</v>
      </c>
      <c r="J320" s="23">
        <v>38.0</v>
      </c>
      <c r="K320" s="14">
        <v>38.0</v>
      </c>
      <c r="L320" s="14">
        <v>38.0</v>
      </c>
      <c r="M320" s="22">
        <v>38.0</v>
      </c>
      <c r="N320" s="14"/>
      <c r="O320" s="14"/>
      <c r="P320" s="14"/>
      <c r="Q320" s="14">
        <v>45.0</v>
      </c>
      <c r="R320" s="24">
        <v>39.0</v>
      </c>
      <c r="S320" s="14">
        <v>38.0</v>
      </c>
      <c r="T320" s="14">
        <v>45.0</v>
      </c>
      <c r="U320" s="14">
        <v>45.0</v>
      </c>
      <c r="V320" s="29">
        <v>38.0</v>
      </c>
      <c r="W320" s="14">
        <v>38.0</v>
      </c>
      <c r="X320" s="14">
        <v>45.0</v>
      </c>
      <c r="Y320" s="14">
        <v>45.0</v>
      </c>
      <c r="Z320" s="30">
        <v>38.0</v>
      </c>
      <c r="AA320" s="25"/>
      <c r="AB320" s="25">
        <v>45.0</v>
      </c>
      <c r="AC320" s="14">
        <v>45.0</v>
      </c>
      <c r="AD320" s="14">
        <v>38.0</v>
      </c>
      <c r="AE320" s="14">
        <v>45.0</v>
      </c>
      <c r="AF320" s="14">
        <v>45.0</v>
      </c>
      <c r="AG320" s="14">
        <v>45.0</v>
      </c>
      <c r="AH320" s="14">
        <v>38.0</v>
      </c>
      <c r="AI320" s="14">
        <v>38.0</v>
      </c>
      <c r="AJ320" s="14">
        <v>45.0</v>
      </c>
      <c r="AK320" s="14">
        <v>38.0</v>
      </c>
      <c r="AL320" s="14">
        <v>45.0</v>
      </c>
      <c r="AM320" s="14">
        <v>38.0</v>
      </c>
      <c r="AN320" s="14">
        <v>45.0</v>
      </c>
      <c r="AO320" s="14">
        <v>38.0</v>
      </c>
      <c r="AP320" s="14">
        <v>38.0</v>
      </c>
      <c r="AQ320" s="14">
        <v>38.0</v>
      </c>
      <c r="AR320" s="14"/>
      <c r="AS320" s="14">
        <v>38.0</v>
      </c>
      <c r="AT320" s="14">
        <v>45.0</v>
      </c>
      <c r="AU320" s="14">
        <v>38.0</v>
      </c>
      <c r="AV320" s="14">
        <v>38.0</v>
      </c>
      <c r="AW320" s="14">
        <v>38.0</v>
      </c>
      <c r="AX320" s="14">
        <v>38.0</v>
      </c>
      <c r="AY320" s="14">
        <v>36.0</v>
      </c>
      <c r="AZ320" s="26"/>
      <c r="BA320" s="26"/>
      <c r="BB320" s="26"/>
      <c r="BC320" s="26"/>
    </row>
    <row r="321">
      <c r="A321" s="27">
        <f>HYPERLINK("https://arcprize.org/play?task=c909285e", 310)</f>
        <v>310</v>
      </c>
      <c r="B321" s="14">
        <v>78.0</v>
      </c>
      <c r="C321" s="14">
        <v>276.0</v>
      </c>
      <c r="D321" s="14">
        <v>70.0</v>
      </c>
      <c r="E321" s="14">
        <v>264.0</v>
      </c>
      <c r="F321" s="22">
        <v>81.0</v>
      </c>
      <c r="G321" s="14">
        <v>283.0</v>
      </c>
      <c r="H321" s="14"/>
      <c r="I321" s="14"/>
      <c r="J321" s="23">
        <v>87.0</v>
      </c>
      <c r="K321" s="14">
        <v>92.0</v>
      </c>
      <c r="L321" s="14">
        <v>85.0</v>
      </c>
      <c r="M321" s="22">
        <v>81.0</v>
      </c>
      <c r="N321" s="14"/>
      <c r="O321" s="14"/>
      <c r="P321" s="14"/>
      <c r="Q321" s="14">
        <v>109.0</v>
      </c>
      <c r="R321" s="24">
        <v>88.0</v>
      </c>
      <c r="S321" s="14"/>
      <c r="T321" s="14">
        <v>171.0</v>
      </c>
      <c r="U321" s="14">
        <v>330.0</v>
      </c>
      <c r="V321" s="33"/>
      <c r="W321" s="14">
        <v>81.0</v>
      </c>
      <c r="X321" s="14">
        <v>283.0</v>
      </c>
      <c r="Y321" s="14">
        <v>286.0</v>
      </c>
      <c r="Z321" s="25">
        <v>88.0</v>
      </c>
      <c r="AA321" s="25"/>
      <c r="AB321" s="25">
        <v>226.0</v>
      </c>
      <c r="AC321" s="14">
        <v>264.0</v>
      </c>
      <c r="AD321" s="14"/>
      <c r="AE321" s="14">
        <v>264.0</v>
      </c>
      <c r="AF321" s="14">
        <v>283.0</v>
      </c>
      <c r="AG321" s="14">
        <v>217.0</v>
      </c>
      <c r="AH321" s="14">
        <v>109.0</v>
      </c>
      <c r="AI321" s="14">
        <v>102.0</v>
      </c>
      <c r="AJ321" s="14">
        <v>215.0</v>
      </c>
      <c r="AK321" s="14"/>
      <c r="AL321" s="14">
        <v>185.0</v>
      </c>
      <c r="AM321" s="14">
        <v>110.0</v>
      </c>
      <c r="AN321" s="14">
        <v>255.0</v>
      </c>
      <c r="AO321" s="14">
        <v>95.0</v>
      </c>
      <c r="AP321" s="14">
        <v>153.0</v>
      </c>
      <c r="AQ321" s="14">
        <v>121.0</v>
      </c>
      <c r="AR321" s="14"/>
      <c r="AS321" s="14">
        <v>91.0</v>
      </c>
      <c r="AT321" s="14">
        <v>196.0</v>
      </c>
      <c r="AU321" s="14">
        <v>95.0</v>
      </c>
      <c r="AV321" s="14">
        <v>88.0</v>
      </c>
      <c r="AW321" s="14">
        <v>85.0</v>
      </c>
      <c r="AX321" s="14">
        <v>90.0</v>
      </c>
      <c r="AY321" s="14">
        <v>70.0</v>
      </c>
      <c r="AZ321" s="26"/>
      <c r="BA321" s="26"/>
      <c r="BB321" s="26"/>
      <c r="BC321" s="26"/>
    </row>
    <row r="322">
      <c r="A322" s="27">
        <f>HYPERLINK("https://arcprize.org/play?task=c9e6f938", 311)</f>
        <v>311</v>
      </c>
      <c r="B322" s="14">
        <v>32.0</v>
      </c>
      <c r="C322" s="14">
        <v>32.0</v>
      </c>
      <c r="D322" s="14">
        <v>32.0</v>
      </c>
      <c r="E322" s="14">
        <v>32.0</v>
      </c>
      <c r="F322" s="22">
        <v>32.0</v>
      </c>
      <c r="G322" s="14">
        <v>32.0</v>
      </c>
      <c r="H322" s="14">
        <v>32.0</v>
      </c>
      <c r="I322" s="14">
        <v>32.0</v>
      </c>
      <c r="J322" s="23">
        <v>32.0</v>
      </c>
      <c r="K322" s="14">
        <v>32.0</v>
      </c>
      <c r="L322" s="14">
        <v>32.0</v>
      </c>
      <c r="M322" s="22">
        <v>32.0</v>
      </c>
      <c r="N322" s="14"/>
      <c r="O322" s="14"/>
      <c r="P322" s="14"/>
      <c r="Q322" s="14">
        <v>32.0</v>
      </c>
      <c r="R322" s="24">
        <v>32.0</v>
      </c>
      <c r="S322" s="14">
        <v>32.0</v>
      </c>
      <c r="T322" s="14">
        <v>32.0</v>
      </c>
      <c r="U322" s="14">
        <v>32.0</v>
      </c>
      <c r="V322" s="29">
        <v>32.0</v>
      </c>
      <c r="W322" s="14">
        <v>32.0</v>
      </c>
      <c r="X322" s="14">
        <v>32.0</v>
      </c>
      <c r="Y322" s="14">
        <v>32.0</v>
      </c>
      <c r="Z322" s="30">
        <v>32.0</v>
      </c>
      <c r="AA322" s="25"/>
      <c r="AB322" s="25">
        <v>32.0</v>
      </c>
      <c r="AC322" s="14">
        <v>32.0</v>
      </c>
      <c r="AD322" s="14">
        <v>32.0</v>
      </c>
      <c r="AE322" s="14">
        <v>32.0</v>
      </c>
      <c r="AF322" s="14">
        <v>32.0</v>
      </c>
      <c r="AG322" s="14">
        <v>32.0</v>
      </c>
      <c r="AH322" s="14">
        <v>32.0</v>
      </c>
      <c r="AI322" s="14">
        <v>32.0</v>
      </c>
      <c r="AJ322" s="14">
        <v>32.0</v>
      </c>
      <c r="AK322" s="14">
        <v>32.0</v>
      </c>
      <c r="AL322" s="14">
        <v>32.0</v>
      </c>
      <c r="AM322" s="14">
        <v>32.0</v>
      </c>
      <c r="AN322" s="14">
        <v>32.0</v>
      </c>
      <c r="AO322" s="14">
        <v>32.0</v>
      </c>
      <c r="AP322" s="14">
        <v>32.0</v>
      </c>
      <c r="AQ322" s="14">
        <v>32.0</v>
      </c>
      <c r="AR322" s="14"/>
      <c r="AS322" s="14">
        <v>32.0</v>
      </c>
      <c r="AT322" s="14">
        <v>32.0</v>
      </c>
      <c r="AU322" s="14">
        <v>32.0</v>
      </c>
      <c r="AV322" s="14">
        <v>32.0</v>
      </c>
      <c r="AW322" s="14">
        <v>32.0</v>
      </c>
      <c r="AX322" s="14">
        <v>32.0</v>
      </c>
      <c r="AY322" s="14">
        <v>32.0</v>
      </c>
      <c r="AZ322" s="26"/>
      <c r="BA322" s="26"/>
      <c r="BB322" s="26"/>
      <c r="BC322" s="26"/>
    </row>
    <row r="323">
      <c r="A323" s="27">
        <f>HYPERLINK("https://arcprize.org/play?task=c9f8e694", 312)</f>
        <v>312</v>
      </c>
      <c r="B323" s="14">
        <v>44.0</v>
      </c>
      <c r="C323" s="14">
        <v>80.0</v>
      </c>
      <c r="D323" s="14">
        <v>44.0</v>
      </c>
      <c r="E323" s="14">
        <v>80.0</v>
      </c>
      <c r="F323" s="22">
        <v>44.0</v>
      </c>
      <c r="G323" s="14">
        <v>45.0</v>
      </c>
      <c r="H323" s="14">
        <v>45.0</v>
      </c>
      <c r="I323" s="14">
        <v>45.0</v>
      </c>
      <c r="J323" s="23">
        <v>44.0</v>
      </c>
      <c r="K323" s="14">
        <v>45.0</v>
      </c>
      <c r="L323" s="14">
        <v>45.0</v>
      </c>
      <c r="M323" s="22">
        <v>44.0</v>
      </c>
      <c r="N323" s="14"/>
      <c r="O323" s="14"/>
      <c r="P323" s="14"/>
      <c r="Q323" s="14">
        <v>45.0</v>
      </c>
      <c r="R323" s="24">
        <v>45.0</v>
      </c>
      <c r="S323" s="14">
        <v>45.0</v>
      </c>
      <c r="T323" s="14">
        <v>45.0</v>
      </c>
      <c r="U323" s="14">
        <v>103.0</v>
      </c>
      <c r="V323" s="29">
        <v>45.0</v>
      </c>
      <c r="W323" s="14">
        <v>45.0</v>
      </c>
      <c r="X323" s="14">
        <v>103.0</v>
      </c>
      <c r="Y323" s="14">
        <v>103.0</v>
      </c>
      <c r="Z323" s="25">
        <v>45.0</v>
      </c>
      <c r="AA323" s="25"/>
      <c r="AB323" s="25">
        <v>49.0</v>
      </c>
      <c r="AC323" s="14">
        <v>103.0</v>
      </c>
      <c r="AD323" s="14">
        <v>49.0</v>
      </c>
      <c r="AE323" s="14">
        <v>103.0</v>
      </c>
      <c r="AF323" s="14">
        <v>103.0</v>
      </c>
      <c r="AG323" s="14">
        <v>103.0</v>
      </c>
      <c r="AH323" s="14">
        <v>45.0</v>
      </c>
      <c r="AI323" s="14">
        <v>45.0</v>
      </c>
      <c r="AJ323" s="14">
        <v>45.0</v>
      </c>
      <c r="AK323" s="14">
        <v>44.0</v>
      </c>
      <c r="AL323" s="14">
        <v>97.0</v>
      </c>
      <c r="AM323" s="14">
        <v>45.0</v>
      </c>
      <c r="AN323" s="14">
        <v>103.0</v>
      </c>
      <c r="AO323" s="14">
        <v>44.0</v>
      </c>
      <c r="AP323" s="14">
        <v>45.0</v>
      </c>
      <c r="AQ323" s="14">
        <v>45.0</v>
      </c>
      <c r="AR323" s="14"/>
      <c r="AS323" s="14">
        <v>45.0</v>
      </c>
      <c r="AT323" s="14">
        <v>103.0</v>
      </c>
      <c r="AU323" s="14">
        <v>45.0</v>
      </c>
      <c r="AV323" s="14">
        <v>45.0</v>
      </c>
      <c r="AW323" s="14">
        <v>44.0</v>
      </c>
      <c r="AX323" s="14">
        <v>44.0</v>
      </c>
      <c r="AY323" s="14">
        <v>44.0</v>
      </c>
      <c r="AZ323" s="26"/>
      <c r="BA323" s="26"/>
      <c r="BB323" s="26"/>
      <c r="BC323" s="26"/>
    </row>
    <row r="324">
      <c r="A324" s="27">
        <f>HYPERLINK("https://arcprize.org/play?task=caa06a1f", 313)</f>
        <v>313</v>
      </c>
      <c r="B324" s="14">
        <v>61.0</v>
      </c>
      <c r="C324" s="14">
        <v>222.0</v>
      </c>
      <c r="D324" s="14">
        <v>62.0</v>
      </c>
      <c r="E324" s="14">
        <v>215.0</v>
      </c>
      <c r="F324" s="22">
        <v>63.0</v>
      </c>
      <c r="G324" s="14">
        <v>183.0</v>
      </c>
      <c r="H324" s="14">
        <v>88.0</v>
      </c>
      <c r="I324" s="15"/>
      <c r="J324" s="23">
        <v>64.0</v>
      </c>
      <c r="K324" s="14">
        <v>66.0</v>
      </c>
      <c r="L324" s="14">
        <v>70.0</v>
      </c>
      <c r="M324" s="22">
        <v>66.0</v>
      </c>
      <c r="N324" s="15"/>
      <c r="O324" s="15"/>
      <c r="P324" s="15"/>
      <c r="Q324" s="14">
        <v>228.0</v>
      </c>
      <c r="R324" s="24">
        <v>69.0</v>
      </c>
      <c r="S324" s="14">
        <v>98.0</v>
      </c>
      <c r="T324" s="15"/>
      <c r="U324" s="14">
        <v>224.0</v>
      </c>
      <c r="V324" s="29">
        <v>71.0</v>
      </c>
      <c r="W324" s="14">
        <v>65.0</v>
      </c>
      <c r="X324" s="14">
        <v>224.0</v>
      </c>
      <c r="Y324" s="14">
        <v>224.0</v>
      </c>
      <c r="Z324" s="25">
        <v>66.0</v>
      </c>
      <c r="AA324" s="25"/>
      <c r="AB324" s="25">
        <v>196.0</v>
      </c>
      <c r="AC324" s="14">
        <v>215.0</v>
      </c>
      <c r="AD324" s="14"/>
      <c r="AE324" s="14">
        <v>215.0</v>
      </c>
      <c r="AF324" s="14">
        <v>224.0</v>
      </c>
      <c r="AG324" s="14">
        <v>224.0</v>
      </c>
      <c r="AH324" s="14">
        <v>73.0</v>
      </c>
      <c r="AI324" s="14">
        <v>69.0</v>
      </c>
      <c r="AJ324" s="14">
        <v>89.0</v>
      </c>
      <c r="AK324" s="14"/>
      <c r="AL324" s="14">
        <v>85.0</v>
      </c>
      <c r="AM324" s="14">
        <v>93.0</v>
      </c>
      <c r="AN324" s="14">
        <v>214.0</v>
      </c>
      <c r="AO324" s="14">
        <v>64.0</v>
      </c>
      <c r="AP324" s="14">
        <v>85.0</v>
      </c>
      <c r="AQ324" s="14">
        <v>81.0</v>
      </c>
      <c r="AR324" s="14"/>
      <c r="AS324" s="14">
        <v>72.0</v>
      </c>
      <c r="AT324" s="14">
        <v>109.0</v>
      </c>
      <c r="AU324" s="14">
        <v>71.0</v>
      </c>
      <c r="AV324" s="14">
        <v>64.0</v>
      </c>
      <c r="AW324" s="14">
        <v>71.0</v>
      </c>
      <c r="AX324" s="14">
        <v>65.0</v>
      </c>
      <c r="AY324" s="14">
        <v>61.0</v>
      </c>
      <c r="AZ324" s="26"/>
      <c r="BA324" s="26"/>
      <c r="BB324" s="26"/>
      <c r="BC324" s="26"/>
    </row>
    <row r="325">
      <c r="A325" s="27">
        <f>HYPERLINK("https://arcprize.org/play?task=cbded52d", 314)</f>
        <v>314</v>
      </c>
      <c r="B325" s="14">
        <v>84.0</v>
      </c>
      <c r="C325" s="14">
        <v>249.0</v>
      </c>
      <c r="D325" s="14">
        <v>82.0</v>
      </c>
      <c r="E325" s="14">
        <v>376.0</v>
      </c>
      <c r="F325" s="22">
        <v>96.0</v>
      </c>
      <c r="G325" s="14">
        <v>436.0</v>
      </c>
      <c r="H325" s="15"/>
      <c r="I325" s="15"/>
      <c r="J325" s="23">
        <v>96.0</v>
      </c>
      <c r="K325" s="14">
        <v>97.0</v>
      </c>
      <c r="L325" s="14">
        <v>113.0</v>
      </c>
      <c r="M325" s="22">
        <v>95.0</v>
      </c>
      <c r="N325" s="15"/>
      <c r="O325" s="15"/>
      <c r="P325" s="15"/>
      <c r="Q325" s="14">
        <v>186.0</v>
      </c>
      <c r="R325" s="24">
        <v>138.0</v>
      </c>
      <c r="S325" s="14">
        <v>105.0</v>
      </c>
      <c r="T325" s="15"/>
      <c r="U325" s="15"/>
      <c r="V325" s="29">
        <v>113.0</v>
      </c>
      <c r="W325" s="14">
        <v>101.0</v>
      </c>
      <c r="X325" s="14"/>
      <c r="Y325" s="14">
        <v>375.0</v>
      </c>
      <c r="Z325" s="25">
        <v>109.0</v>
      </c>
      <c r="AA325" s="25"/>
      <c r="AB325" s="25">
        <v>229.0</v>
      </c>
      <c r="AC325" s="14">
        <v>304.0</v>
      </c>
      <c r="AD325" s="14"/>
      <c r="AE325" s="14">
        <v>165.0</v>
      </c>
      <c r="AF325" s="14">
        <v>297.0</v>
      </c>
      <c r="AG325" s="14"/>
      <c r="AH325" s="14">
        <v>141.0</v>
      </c>
      <c r="AI325" s="14">
        <v>172.0</v>
      </c>
      <c r="AJ325" s="14">
        <v>192.0</v>
      </c>
      <c r="AK325" s="14"/>
      <c r="AL325" s="14">
        <v>218.0</v>
      </c>
      <c r="AM325" s="14">
        <v>150.0</v>
      </c>
      <c r="AN325" s="14">
        <v>287.0</v>
      </c>
      <c r="AO325" s="14">
        <v>97.0</v>
      </c>
      <c r="AP325" s="14">
        <v>179.0</v>
      </c>
      <c r="AQ325" s="14">
        <v>150.0</v>
      </c>
      <c r="AR325" s="14"/>
      <c r="AS325" s="14">
        <v>135.0</v>
      </c>
      <c r="AT325" s="14">
        <v>139.0</v>
      </c>
      <c r="AU325" s="14">
        <v>111.0</v>
      </c>
      <c r="AV325" s="14">
        <v>106.0</v>
      </c>
      <c r="AW325" s="14">
        <v>93.0</v>
      </c>
      <c r="AX325" s="14">
        <v>97.0</v>
      </c>
      <c r="AY325" s="14">
        <v>82.0</v>
      </c>
      <c r="AZ325" s="26"/>
      <c r="BA325" s="26"/>
      <c r="BB325" s="26"/>
      <c r="BC325" s="26"/>
    </row>
    <row r="326">
      <c r="A326" s="27">
        <f>HYPERLINK("https://arcprize.org/play?task=cce03e0d", 315)</f>
        <v>315</v>
      </c>
      <c r="B326" s="14">
        <v>63.0</v>
      </c>
      <c r="C326" s="14">
        <v>76.0</v>
      </c>
      <c r="D326" s="14">
        <v>63.0</v>
      </c>
      <c r="E326" s="14">
        <v>76.0</v>
      </c>
      <c r="F326" s="22">
        <v>63.0</v>
      </c>
      <c r="G326" s="14">
        <v>76.0</v>
      </c>
      <c r="H326" s="14">
        <v>63.0</v>
      </c>
      <c r="I326" s="14">
        <v>64.0</v>
      </c>
      <c r="J326" s="23">
        <v>63.0</v>
      </c>
      <c r="K326" s="14">
        <v>64.0</v>
      </c>
      <c r="L326" s="14">
        <v>64.0</v>
      </c>
      <c r="M326" s="22">
        <v>63.0</v>
      </c>
      <c r="N326" s="14"/>
      <c r="O326" s="14"/>
      <c r="P326" s="14"/>
      <c r="Q326" s="14">
        <v>73.0</v>
      </c>
      <c r="R326" s="24">
        <v>64.0</v>
      </c>
      <c r="S326" s="14">
        <v>76.0</v>
      </c>
      <c r="T326" s="14">
        <v>74.0</v>
      </c>
      <c r="U326" s="14">
        <v>76.0</v>
      </c>
      <c r="V326" s="29">
        <v>64.0</v>
      </c>
      <c r="W326" s="14">
        <v>64.0</v>
      </c>
      <c r="X326" s="14">
        <v>76.0</v>
      </c>
      <c r="Y326" s="14">
        <v>76.0</v>
      </c>
      <c r="Z326" s="25">
        <v>64.0</v>
      </c>
      <c r="AA326" s="25"/>
      <c r="AB326" s="25">
        <v>76.0</v>
      </c>
      <c r="AC326" s="14">
        <v>76.0</v>
      </c>
      <c r="AD326" s="14"/>
      <c r="AE326" s="14">
        <v>76.0</v>
      </c>
      <c r="AF326" s="14">
        <v>76.0</v>
      </c>
      <c r="AG326" s="14">
        <v>76.0</v>
      </c>
      <c r="AH326" s="14">
        <v>64.0</v>
      </c>
      <c r="AI326" s="14">
        <v>64.0</v>
      </c>
      <c r="AJ326" s="14">
        <v>76.0</v>
      </c>
      <c r="AK326" s="14"/>
      <c r="AL326" s="14">
        <v>76.0</v>
      </c>
      <c r="AM326" s="14">
        <v>64.0</v>
      </c>
      <c r="AN326" s="14">
        <v>76.0</v>
      </c>
      <c r="AO326" s="14">
        <v>64.0</v>
      </c>
      <c r="AP326" s="14">
        <v>64.0</v>
      </c>
      <c r="AQ326" s="14">
        <v>64.0</v>
      </c>
      <c r="AR326" s="14"/>
      <c r="AS326" s="14">
        <v>64.0</v>
      </c>
      <c r="AT326" s="14">
        <v>76.0</v>
      </c>
      <c r="AU326" s="14">
        <v>64.0</v>
      </c>
      <c r="AV326" s="14">
        <v>64.0</v>
      </c>
      <c r="AW326" s="14">
        <v>63.0</v>
      </c>
      <c r="AX326" s="14">
        <v>64.0</v>
      </c>
      <c r="AY326" s="14">
        <v>63.0</v>
      </c>
      <c r="AZ326" s="26"/>
      <c r="BA326" s="26"/>
      <c r="BB326" s="26"/>
      <c r="BC326" s="26"/>
    </row>
    <row r="327">
      <c r="A327" s="27">
        <f>HYPERLINK("https://arcprize.org/play?task=cdecee7f", 316)</f>
        <v>316</v>
      </c>
      <c r="B327" s="14">
        <v>71.0</v>
      </c>
      <c r="C327" s="14">
        <v>139.0</v>
      </c>
      <c r="D327" s="14">
        <v>71.0</v>
      </c>
      <c r="E327" s="14">
        <v>139.0</v>
      </c>
      <c r="F327" s="22">
        <v>71.0</v>
      </c>
      <c r="G327" s="14">
        <v>127.0</v>
      </c>
      <c r="H327" s="14"/>
      <c r="I327" s="15"/>
      <c r="J327" s="23">
        <v>71.0</v>
      </c>
      <c r="K327" s="14">
        <v>71.0</v>
      </c>
      <c r="L327" s="14">
        <v>76.0</v>
      </c>
      <c r="M327" s="22">
        <v>75.0</v>
      </c>
      <c r="N327" s="15"/>
      <c r="O327" s="15"/>
      <c r="P327" s="15"/>
      <c r="Q327" s="14">
        <v>97.0</v>
      </c>
      <c r="R327" s="24">
        <v>71.0</v>
      </c>
      <c r="S327" s="14">
        <v>108.0</v>
      </c>
      <c r="T327" s="14">
        <v>156.0</v>
      </c>
      <c r="U327" s="14">
        <v>145.0</v>
      </c>
      <c r="V327" s="29">
        <v>81.0</v>
      </c>
      <c r="W327" s="14">
        <v>75.0</v>
      </c>
      <c r="X327" s="14">
        <v>145.0</v>
      </c>
      <c r="Y327" s="14">
        <v>145.0</v>
      </c>
      <c r="Z327" s="25">
        <v>71.0</v>
      </c>
      <c r="AA327" s="25"/>
      <c r="AB327" s="25">
        <v>104.0</v>
      </c>
      <c r="AC327" s="14">
        <v>145.0</v>
      </c>
      <c r="AD327" s="14"/>
      <c r="AE327" s="14">
        <v>145.0</v>
      </c>
      <c r="AF327" s="14">
        <v>145.0</v>
      </c>
      <c r="AG327" s="14">
        <v>146.0</v>
      </c>
      <c r="AH327" s="14">
        <v>75.0</v>
      </c>
      <c r="AI327" s="14">
        <v>83.0</v>
      </c>
      <c r="AJ327" s="14">
        <v>106.0</v>
      </c>
      <c r="AK327" s="14"/>
      <c r="AL327" s="14">
        <v>132.0</v>
      </c>
      <c r="AM327" s="14">
        <v>76.0</v>
      </c>
      <c r="AN327" s="14">
        <v>145.0</v>
      </c>
      <c r="AO327" s="14">
        <v>71.0</v>
      </c>
      <c r="AP327" s="14">
        <v>72.0</v>
      </c>
      <c r="AQ327" s="14">
        <v>71.0</v>
      </c>
      <c r="AR327" s="14"/>
      <c r="AS327" s="14">
        <v>78.0</v>
      </c>
      <c r="AT327" s="14">
        <v>145.0</v>
      </c>
      <c r="AU327" s="14">
        <v>71.0</v>
      </c>
      <c r="AV327" s="14">
        <v>71.0</v>
      </c>
      <c r="AW327" s="14">
        <v>71.0</v>
      </c>
      <c r="AX327" s="14">
        <v>71.0</v>
      </c>
      <c r="AY327" s="14">
        <v>71.0</v>
      </c>
      <c r="AZ327" s="26"/>
      <c r="BA327" s="26"/>
      <c r="BB327" s="26"/>
      <c r="BC327" s="26"/>
    </row>
    <row r="328">
      <c r="A328" s="27">
        <f>HYPERLINK("https://arcprize.org/play?task=ce22a75a", 317)</f>
        <v>317</v>
      </c>
      <c r="B328" s="14">
        <v>43.0</v>
      </c>
      <c r="C328" s="14">
        <v>205.0</v>
      </c>
      <c r="D328" s="14">
        <v>43.0</v>
      </c>
      <c r="E328" s="14">
        <v>193.0</v>
      </c>
      <c r="F328" s="22">
        <v>53.0</v>
      </c>
      <c r="G328" s="14">
        <v>125.0</v>
      </c>
      <c r="H328" s="14">
        <v>59.0</v>
      </c>
      <c r="I328" s="15"/>
      <c r="J328" s="23">
        <v>59.0</v>
      </c>
      <c r="K328" s="14">
        <v>63.0</v>
      </c>
      <c r="L328" s="14">
        <v>67.0</v>
      </c>
      <c r="M328" s="22">
        <v>59.0</v>
      </c>
      <c r="N328" s="15"/>
      <c r="O328" s="15"/>
      <c r="P328" s="15"/>
      <c r="Q328" s="15">
        <v>78.0</v>
      </c>
      <c r="R328" s="24">
        <v>67.0</v>
      </c>
      <c r="S328" s="14">
        <v>67.0</v>
      </c>
      <c r="T328" s="14">
        <v>110.0</v>
      </c>
      <c r="U328" s="14">
        <v>211.0</v>
      </c>
      <c r="V328" s="29">
        <v>68.0</v>
      </c>
      <c r="W328" s="14">
        <v>67.0</v>
      </c>
      <c r="X328" s="14">
        <v>206.0</v>
      </c>
      <c r="Y328" s="14">
        <v>205.0</v>
      </c>
      <c r="Z328" s="25">
        <v>59.0</v>
      </c>
      <c r="AA328" s="25"/>
      <c r="AB328" s="25">
        <v>72.0</v>
      </c>
      <c r="AC328" s="14">
        <v>193.0</v>
      </c>
      <c r="AD328" s="14"/>
      <c r="AE328" s="14">
        <v>193.0</v>
      </c>
      <c r="AF328" s="14">
        <v>206.0</v>
      </c>
      <c r="AG328" s="14">
        <v>148.0</v>
      </c>
      <c r="AH328" s="14">
        <v>64.0</v>
      </c>
      <c r="AI328" s="14">
        <v>70.0</v>
      </c>
      <c r="AJ328" s="14">
        <v>71.0</v>
      </c>
      <c r="AK328" s="14"/>
      <c r="AL328" s="14">
        <v>116.0</v>
      </c>
      <c r="AM328" s="14">
        <v>90.0</v>
      </c>
      <c r="AN328" s="14">
        <v>193.0</v>
      </c>
      <c r="AO328" s="14">
        <v>59.0</v>
      </c>
      <c r="AP328" s="14">
        <v>64.0</v>
      </c>
      <c r="AQ328" s="14">
        <v>71.0</v>
      </c>
      <c r="AR328" s="14"/>
      <c r="AS328" s="14">
        <v>67.0</v>
      </c>
      <c r="AT328" s="14">
        <v>142.0</v>
      </c>
      <c r="AU328" s="14">
        <v>61.0</v>
      </c>
      <c r="AV328" s="14">
        <v>59.0</v>
      </c>
      <c r="AW328" s="14">
        <v>59.0</v>
      </c>
      <c r="AX328" s="14">
        <v>59.0</v>
      </c>
      <c r="AY328" s="14">
        <v>43.0</v>
      </c>
      <c r="AZ328" s="26"/>
      <c r="BA328" s="26"/>
      <c r="BB328" s="26"/>
      <c r="BC328" s="26"/>
    </row>
    <row r="329">
      <c r="A329" s="27">
        <f>HYPERLINK("https://arcprize.org/play?task=ce4f8723", 318)</f>
        <v>318</v>
      </c>
      <c r="B329" s="14">
        <v>54.0</v>
      </c>
      <c r="C329" s="14">
        <v>80.0</v>
      </c>
      <c r="D329" s="14">
        <v>54.0</v>
      </c>
      <c r="E329" s="14">
        <v>80.0</v>
      </c>
      <c r="F329" s="22">
        <v>54.0</v>
      </c>
      <c r="G329" s="14">
        <v>84.0</v>
      </c>
      <c r="H329" s="14">
        <v>60.0</v>
      </c>
      <c r="I329" s="14">
        <v>66.0</v>
      </c>
      <c r="J329" s="23">
        <v>60.0</v>
      </c>
      <c r="K329" s="14">
        <v>58.0</v>
      </c>
      <c r="L329" s="14">
        <v>61.0</v>
      </c>
      <c r="M329" s="22">
        <v>58.0</v>
      </c>
      <c r="N329" s="14"/>
      <c r="O329" s="14"/>
      <c r="P329" s="14"/>
      <c r="Q329" s="14">
        <v>71.0</v>
      </c>
      <c r="R329" s="24">
        <v>60.0</v>
      </c>
      <c r="S329" s="14"/>
      <c r="T329" s="14">
        <v>69.0</v>
      </c>
      <c r="U329" s="14">
        <v>84.0</v>
      </c>
      <c r="V329" s="29">
        <v>63.0</v>
      </c>
      <c r="W329" s="14">
        <v>60.0</v>
      </c>
      <c r="X329" s="14">
        <v>84.0</v>
      </c>
      <c r="Y329" s="14">
        <v>84.0</v>
      </c>
      <c r="Z329" s="25">
        <v>58.0</v>
      </c>
      <c r="AA329" s="25"/>
      <c r="AB329" s="25">
        <v>84.0</v>
      </c>
      <c r="AC329" s="14">
        <v>82.0</v>
      </c>
      <c r="AD329" s="14">
        <v>68.0</v>
      </c>
      <c r="AE329" s="14">
        <v>82.0</v>
      </c>
      <c r="AF329" s="14">
        <v>68.0</v>
      </c>
      <c r="AG329" s="14">
        <v>84.0</v>
      </c>
      <c r="AH329" s="14">
        <v>58.0</v>
      </c>
      <c r="AI329" s="14">
        <v>69.0</v>
      </c>
      <c r="AJ329" s="14">
        <v>70.0</v>
      </c>
      <c r="AK329" s="14">
        <v>62.0</v>
      </c>
      <c r="AL329" s="14">
        <v>73.0</v>
      </c>
      <c r="AM329" s="14">
        <v>64.0</v>
      </c>
      <c r="AN329" s="14">
        <v>78.0</v>
      </c>
      <c r="AO329" s="14">
        <v>58.0</v>
      </c>
      <c r="AP329" s="14">
        <v>72.0</v>
      </c>
      <c r="AQ329" s="14">
        <v>60.0</v>
      </c>
      <c r="AR329" s="14"/>
      <c r="AS329" s="14">
        <v>62.0</v>
      </c>
      <c r="AT329" s="14">
        <v>80.0</v>
      </c>
      <c r="AU329" s="14">
        <v>59.0</v>
      </c>
      <c r="AV329" s="14">
        <v>58.0</v>
      </c>
      <c r="AW329" s="14">
        <v>54.0</v>
      </c>
      <c r="AX329" s="14">
        <v>58.0</v>
      </c>
      <c r="AY329" s="14">
        <v>54.0</v>
      </c>
      <c r="AZ329" s="26"/>
      <c r="BA329" s="26"/>
      <c r="BB329" s="26"/>
      <c r="BC329" s="26"/>
    </row>
    <row r="330">
      <c r="A330" s="27">
        <f>HYPERLINK("https://arcprize.org/play?task=ce602527", 319)</f>
        <v>319</v>
      </c>
      <c r="B330" s="14">
        <v>203.0</v>
      </c>
      <c r="C330" s="14">
        <v>498.0</v>
      </c>
      <c r="D330" s="14">
        <v>235.0</v>
      </c>
      <c r="E330" s="14">
        <v>475.0</v>
      </c>
      <c r="F330" s="22">
        <v>194.0</v>
      </c>
      <c r="G330" s="14">
        <v>707.0</v>
      </c>
      <c r="H330" s="15"/>
      <c r="I330" s="15"/>
      <c r="J330" s="23">
        <v>274.0</v>
      </c>
      <c r="K330" s="14">
        <v>296.0</v>
      </c>
      <c r="L330" s="14">
        <v>339.0</v>
      </c>
      <c r="M330" s="22">
        <v>283.0</v>
      </c>
      <c r="N330" s="15"/>
      <c r="O330" s="15"/>
      <c r="P330" s="15"/>
      <c r="Q330" s="15"/>
      <c r="R330" s="24">
        <v>297.0</v>
      </c>
      <c r="S330" s="15"/>
      <c r="T330" s="15"/>
      <c r="U330" s="15"/>
      <c r="V330" s="31"/>
      <c r="W330" s="15"/>
      <c r="X330" s="14">
        <v>3925.0</v>
      </c>
      <c r="Y330" s="14">
        <v>767.0</v>
      </c>
      <c r="Z330" s="25">
        <v>272.0</v>
      </c>
      <c r="AA330" s="25"/>
      <c r="AB330" s="25">
        <v>431.0</v>
      </c>
      <c r="AC330" s="14">
        <v>642.0</v>
      </c>
      <c r="AD330" s="14"/>
      <c r="AE330" s="14">
        <v>350.0</v>
      </c>
      <c r="AF330" s="14">
        <v>464.0</v>
      </c>
      <c r="AG330" s="14"/>
      <c r="AH330" s="14">
        <v>414.0</v>
      </c>
      <c r="AI330" s="14">
        <v>330.0</v>
      </c>
      <c r="AJ330" s="14">
        <v>346.0</v>
      </c>
      <c r="AK330" s="14"/>
      <c r="AL330" s="14">
        <v>348.0</v>
      </c>
      <c r="AM330" s="14">
        <v>397.0</v>
      </c>
      <c r="AN330" s="14">
        <v>642.0</v>
      </c>
      <c r="AO330" s="14">
        <v>282.0</v>
      </c>
      <c r="AP330" s="14">
        <v>446.0</v>
      </c>
      <c r="AQ330" s="14">
        <v>347.0</v>
      </c>
      <c r="AR330" s="14"/>
      <c r="AS330" s="14">
        <v>337.0</v>
      </c>
      <c r="AT330" s="14">
        <v>481.0</v>
      </c>
      <c r="AU330" s="14">
        <v>257.0</v>
      </c>
      <c r="AV330" s="14">
        <v>273.0</v>
      </c>
      <c r="AW330" s="14">
        <v>211.0</v>
      </c>
      <c r="AX330" s="14">
        <v>274.0</v>
      </c>
      <c r="AY330" s="14">
        <v>194.0</v>
      </c>
      <c r="AZ330" s="26"/>
      <c r="BA330" s="26"/>
      <c r="BB330" s="26"/>
      <c r="BC330" s="26"/>
    </row>
    <row r="331">
      <c r="A331" s="27">
        <f>HYPERLINK("https://arcprize.org/play?task=ce9e57f2", 320)</f>
        <v>320</v>
      </c>
      <c r="B331" s="14">
        <v>65.0</v>
      </c>
      <c r="C331" s="14">
        <v>141.0</v>
      </c>
      <c r="D331" s="14">
        <v>66.0</v>
      </c>
      <c r="E331" s="14">
        <v>160.0</v>
      </c>
      <c r="F331" s="22">
        <v>66.0</v>
      </c>
      <c r="G331" s="14">
        <v>160.0</v>
      </c>
      <c r="H331" s="14">
        <v>83.0</v>
      </c>
      <c r="I331" s="15"/>
      <c r="J331" s="23">
        <v>68.0</v>
      </c>
      <c r="K331" s="14">
        <v>69.0</v>
      </c>
      <c r="L331" s="14">
        <v>70.0</v>
      </c>
      <c r="M331" s="22">
        <v>66.0</v>
      </c>
      <c r="N331" s="15"/>
      <c r="O331" s="15"/>
      <c r="P331" s="15"/>
      <c r="Q331" s="14">
        <v>97.0</v>
      </c>
      <c r="R331" s="24">
        <v>91.0</v>
      </c>
      <c r="S331" s="15"/>
      <c r="T331" s="15"/>
      <c r="U331" s="14">
        <v>160.0</v>
      </c>
      <c r="V331" s="29">
        <v>70.0</v>
      </c>
      <c r="W331" s="14">
        <v>81.0</v>
      </c>
      <c r="X331" s="14">
        <v>160.0</v>
      </c>
      <c r="Y331" s="14">
        <v>160.0</v>
      </c>
      <c r="Z331" s="25">
        <v>69.0</v>
      </c>
      <c r="AA331" s="25"/>
      <c r="AB331" s="25">
        <v>124.0</v>
      </c>
      <c r="AC331" s="14">
        <v>160.0</v>
      </c>
      <c r="AD331" s="14"/>
      <c r="AE331" s="14">
        <v>160.0</v>
      </c>
      <c r="AF331" s="14">
        <v>160.0</v>
      </c>
      <c r="AG331" s="14">
        <v>160.0</v>
      </c>
      <c r="AH331" s="14">
        <v>87.0</v>
      </c>
      <c r="AI331" s="14">
        <v>94.0</v>
      </c>
      <c r="AJ331" s="14">
        <v>127.0</v>
      </c>
      <c r="AK331" s="14"/>
      <c r="AL331" s="14">
        <v>101.0</v>
      </c>
      <c r="AM331" s="14">
        <v>87.0</v>
      </c>
      <c r="AN331" s="14">
        <v>160.0</v>
      </c>
      <c r="AO331" s="14">
        <v>66.0</v>
      </c>
      <c r="AP331" s="14">
        <v>120.0</v>
      </c>
      <c r="AQ331" s="14">
        <v>70.0</v>
      </c>
      <c r="AR331" s="14"/>
      <c r="AS331" s="14">
        <v>92.0</v>
      </c>
      <c r="AT331" s="14">
        <v>160.0</v>
      </c>
      <c r="AU331" s="14">
        <v>66.0</v>
      </c>
      <c r="AV331" s="14">
        <v>67.0</v>
      </c>
      <c r="AW331" s="14">
        <v>84.0</v>
      </c>
      <c r="AX331" s="14">
        <v>67.0</v>
      </c>
      <c r="AY331" s="14">
        <v>65.0</v>
      </c>
      <c r="AZ331" s="26"/>
      <c r="BA331" s="26"/>
      <c r="BB331" s="26"/>
      <c r="BC331" s="26"/>
    </row>
    <row r="332">
      <c r="A332" s="27">
        <f>HYPERLINK("https://arcprize.org/play?task=cf98881b", 321)</f>
        <v>321</v>
      </c>
      <c r="B332" s="14">
        <v>54.0</v>
      </c>
      <c r="C332" s="14">
        <v>150.0</v>
      </c>
      <c r="D332" s="14">
        <v>55.0</v>
      </c>
      <c r="E332" s="14">
        <v>150.0</v>
      </c>
      <c r="F332" s="22">
        <v>54.0</v>
      </c>
      <c r="G332" s="14">
        <v>150.0</v>
      </c>
      <c r="H332" s="14">
        <v>61.0</v>
      </c>
      <c r="I332" s="14">
        <v>64.0</v>
      </c>
      <c r="J332" s="23">
        <v>57.0</v>
      </c>
      <c r="K332" s="14">
        <v>55.0</v>
      </c>
      <c r="L332" s="14">
        <v>63.0</v>
      </c>
      <c r="M332" s="22">
        <v>58.0</v>
      </c>
      <c r="N332" s="14"/>
      <c r="O332" s="14"/>
      <c r="P332" s="14"/>
      <c r="Q332" s="14">
        <v>63.0</v>
      </c>
      <c r="R332" s="24">
        <v>62.0</v>
      </c>
      <c r="S332" s="14">
        <v>68.0</v>
      </c>
      <c r="T332" s="14">
        <v>65.0</v>
      </c>
      <c r="U332" s="14">
        <v>150.0</v>
      </c>
      <c r="V332" s="29">
        <v>65.0</v>
      </c>
      <c r="W332" s="14">
        <v>63.0</v>
      </c>
      <c r="X332" s="14">
        <v>150.0</v>
      </c>
      <c r="Y332" s="14">
        <v>150.0</v>
      </c>
      <c r="Z332" s="25">
        <v>63.0</v>
      </c>
      <c r="AA332" s="25"/>
      <c r="AB332" s="25">
        <v>88.0</v>
      </c>
      <c r="AC332" s="14">
        <v>150.0</v>
      </c>
      <c r="AD332" s="14"/>
      <c r="AE332" s="14">
        <v>150.0</v>
      </c>
      <c r="AF332" s="14">
        <v>150.0</v>
      </c>
      <c r="AG332" s="14">
        <v>150.0</v>
      </c>
      <c r="AH332" s="14">
        <v>63.0</v>
      </c>
      <c r="AI332" s="14">
        <v>63.0</v>
      </c>
      <c r="AJ332" s="14">
        <v>101.0</v>
      </c>
      <c r="AK332" s="14">
        <v>64.0</v>
      </c>
      <c r="AL332" s="14">
        <v>85.0</v>
      </c>
      <c r="AM332" s="14">
        <v>64.0</v>
      </c>
      <c r="AN332" s="14">
        <v>150.0</v>
      </c>
      <c r="AO332" s="14">
        <v>55.0</v>
      </c>
      <c r="AP332" s="14">
        <v>62.0</v>
      </c>
      <c r="AQ332" s="14">
        <v>63.0</v>
      </c>
      <c r="AR332" s="14"/>
      <c r="AS332" s="14">
        <v>65.0</v>
      </c>
      <c r="AT332" s="14">
        <v>65.0</v>
      </c>
      <c r="AU332" s="14">
        <v>56.0</v>
      </c>
      <c r="AV332" s="14">
        <v>55.0</v>
      </c>
      <c r="AW332" s="14">
        <v>54.0</v>
      </c>
      <c r="AX332" s="14">
        <v>63.0</v>
      </c>
      <c r="AY332" s="14">
        <v>54.0</v>
      </c>
      <c r="AZ332" s="26"/>
      <c r="BA332" s="26"/>
      <c r="BB332" s="26"/>
      <c r="BC332" s="26"/>
    </row>
    <row r="333">
      <c r="A333" s="27">
        <f>HYPERLINK("https://arcprize.org/play?task=d037b0a7", 322)</f>
        <v>322</v>
      </c>
      <c r="B333" s="14">
        <v>48.0</v>
      </c>
      <c r="C333" s="14">
        <v>132.0</v>
      </c>
      <c r="D333" s="14">
        <v>48.0</v>
      </c>
      <c r="E333" s="14">
        <v>132.0</v>
      </c>
      <c r="F333" s="22">
        <v>48.0</v>
      </c>
      <c r="G333" s="14">
        <v>86.0</v>
      </c>
      <c r="H333" s="14">
        <v>48.0</v>
      </c>
      <c r="I333" s="14">
        <v>67.0</v>
      </c>
      <c r="J333" s="23">
        <v>48.0</v>
      </c>
      <c r="K333" s="14">
        <v>45.0</v>
      </c>
      <c r="L333" s="14">
        <v>49.0</v>
      </c>
      <c r="M333" s="22">
        <v>48.0</v>
      </c>
      <c r="N333" s="15"/>
      <c r="O333" s="15"/>
      <c r="P333" s="15"/>
      <c r="Q333" s="14">
        <v>51.0</v>
      </c>
      <c r="R333" s="24">
        <v>52.0</v>
      </c>
      <c r="S333" s="14">
        <v>70.0</v>
      </c>
      <c r="T333" s="14">
        <v>76.0</v>
      </c>
      <c r="U333" s="14">
        <v>148.0</v>
      </c>
      <c r="V333" s="29">
        <v>49.0</v>
      </c>
      <c r="W333" s="14">
        <v>48.0</v>
      </c>
      <c r="X333" s="14">
        <v>148.0</v>
      </c>
      <c r="Y333" s="14">
        <v>148.0</v>
      </c>
      <c r="Z333" s="25">
        <v>48.0</v>
      </c>
      <c r="AA333" s="25"/>
      <c r="AB333" s="25">
        <v>81.0</v>
      </c>
      <c r="AC333" s="14">
        <v>148.0</v>
      </c>
      <c r="AD333" s="14">
        <v>65.0</v>
      </c>
      <c r="AE333" s="14">
        <v>148.0</v>
      </c>
      <c r="AF333" s="14">
        <v>148.0</v>
      </c>
      <c r="AG333" s="14">
        <v>148.0</v>
      </c>
      <c r="AH333" s="14">
        <v>49.0</v>
      </c>
      <c r="AI333" s="14">
        <v>51.0</v>
      </c>
      <c r="AJ333" s="14">
        <v>75.0</v>
      </c>
      <c r="AK333" s="14">
        <v>51.0</v>
      </c>
      <c r="AL333" s="14">
        <v>85.0</v>
      </c>
      <c r="AM333" s="14">
        <v>53.0</v>
      </c>
      <c r="AN333" s="14">
        <v>148.0</v>
      </c>
      <c r="AO333" s="14">
        <v>48.0</v>
      </c>
      <c r="AP333" s="14">
        <v>51.0</v>
      </c>
      <c r="AQ333" s="14">
        <v>60.0</v>
      </c>
      <c r="AR333" s="14"/>
      <c r="AS333" s="14">
        <v>69.0</v>
      </c>
      <c r="AT333" s="14">
        <v>108.0</v>
      </c>
      <c r="AU333" s="14">
        <v>48.0</v>
      </c>
      <c r="AV333" s="14">
        <v>45.0</v>
      </c>
      <c r="AW333" s="14">
        <v>48.0</v>
      </c>
      <c r="AX333" s="14">
        <v>48.0</v>
      </c>
      <c r="AY333" s="14">
        <v>45.0</v>
      </c>
      <c r="AZ333" s="26"/>
      <c r="BA333" s="26"/>
      <c r="BB333" s="26"/>
      <c r="BC333" s="26"/>
    </row>
    <row r="334">
      <c r="A334" s="27">
        <f>HYPERLINK("https://arcprize.org/play?task=d06dbe63", 323)</f>
        <v>323</v>
      </c>
      <c r="B334" s="14">
        <v>106.0</v>
      </c>
      <c r="C334" s="14">
        <v>260.0</v>
      </c>
      <c r="D334" s="14">
        <v>104.0</v>
      </c>
      <c r="E334" s="14">
        <v>245.0</v>
      </c>
      <c r="F334" s="22">
        <v>100.0</v>
      </c>
      <c r="G334" s="14">
        <v>252.0</v>
      </c>
      <c r="H334" s="14"/>
      <c r="I334" s="15"/>
      <c r="J334" s="23">
        <v>119.0</v>
      </c>
      <c r="K334" s="14">
        <v>133.0</v>
      </c>
      <c r="L334" s="14">
        <v>141.0</v>
      </c>
      <c r="M334" s="22">
        <v>143.0</v>
      </c>
      <c r="N334" s="15"/>
      <c r="O334" s="15"/>
      <c r="P334" s="15"/>
      <c r="Q334" s="14">
        <v>283.0</v>
      </c>
      <c r="R334" s="24">
        <v>140.0</v>
      </c>
      <c r="S334" s="15"/>
      <c r="T334" s="14">
        <v>350.0</v>
      </c>
      <c r="U334" s="14">
        <v>340.0</v>
      </c>
      <c r="V334" s="31"/>
      <c r="W334" s="15"/>
      <c r="X334" s="14">
        <v>274.0</v>
      </c>
      <c r="Y334" s="14">
        <v>265.0</v>
      </c>
      <c r="Z334" s="25">
        <v>140.0</v>
      </c>
      <c r="AA334" s="25"/>
      <c r="AB334" s="25">
        <v>246.0</v>
      </c>
      <c r="AC334" s="14">
        <v>245.0</v>
      </c>
      <c r="AD334" s="14"/>
      <c r="AE334" s="14">
        <v>245.0</v>
      </c>
      <c r="AF334" s="14">
        <v>274.0</v>
      </c>
      <c r="AG334" s="14">
        <v>359.0</v>
      </c>
      <c r="AH334" s="14">
        <v>153.0</v>
      </c>
      <c r="AI334" s="14">
        <v>192.0</v>
      </c>
      <c r="AJ334" s="14">
        <v>208.0</v>
      </c>
      <c r="AK334" s="14"/>
      <c r="AL334" s="14">
        <v>239.0</v>
      </c>
      <c r="AM334" s="14">
        <v>150.0</v>
      </c>
      <c r="AN334" s="14">
        <v>245.0</v>
      </c>
      <c r="AO334" s="14">
        <v>112.0</v>
      </c>
      <c r="AP334" s="14">
        <v>149.0</v>
      </c>
      <c r="AQ334" s="14">
        <v>160.0</v>
      </c>
      <c r="AR334" s="14"/>
      <c r="AS334" s="14">
        <v>149.0</v>
      </c>
      <c r="AT334" s="14">
        <v>245.0</v>
      </c>
      <c r="AU334" s="14">
        <v>124.0</v>
      </c>
      <c r="AV334" s="14">
        <v>131.0</v>
      </c>
      <c r="AW334" s="14">
        <v>131.0</v>
      </c>
      <c r="AX334" s="14">
        <v>114.0</v>
      </c>
      <c r="AY334" s="14">
        <v>100.0</v>
      </c>
      <c r="AZ334" s="26"/>
      <c r="BA334" s="26"/>
      <c r="BB334" s="26"/>
      <c r="BC334" s="26"/>
    </row>
    <row r="335">
      <c r="A335" s="27">
        <f>HYPERLINK("https://arcprize.org/play?task=d07ae81c", 324)</f>
        <v>324</v>
      </c>
      <c r="B335" s="14">
        <v>225.0</v>
      </c>
      <c r="C335" s="14">
        <v>819.0</v>
      </c>
      <c r="D335" s="14">
        <v>227.0</v>
      </c>
      <c r="E335" s="14">
        <v>888.0</v>
      </c>
      <c r="F335" s="22">
        <v>222.0</v>
      </c>
      <c r="G335" s="14">
        <v>318.0</v>
      </c>
      <c r="H335" s="15"/>
      <c r="I335" s="15"/>
      <c r="J335" s="23">
        <v>242.0</v>
      </c>
      <c r="K335" s="14">
        <v>266.0</v>
      </c>
      <c r="L335" s="14">
        <v>349.0</v>
      </c>
      <c r="M335" s="22">
        <v>313.0</v>
      </c>
      <c r="N335" s="15"/>
      <c r="O335" s="15"/>
      <c r="P335" s="15"/>
      <c r="Q335" s="14">
        <v>408.0</v>
      </c>
      <c r="R335" s="24">
        <v>226.0</v>
      </c>
      <c r="S335" s="15"/>
      <c r="T335" s="15"/>
      <c r="U335" s="15"/>
      <c r="V335" s="31"/>
      <c r="W335" s="15"/>
      <c r="X335" s="14"/>
      <c r="Y335" s="14">
        <v>488.0</v>
      </c>
      <c r="Z335" s="25">
        <v>266.0</v>
      </c>
      <c r="AA335" s="25"/>
      <c r="AB335" s="25">
        <v>412.0</v>
      </c>
      <c r="AC335" s="14">
        <v>562.0</v>
      </c>
      <c r="AD335" s="14"/>
      <c r="AE335" s="14">
        <v>392.0</v>
      </c>
      <c r="AF335" s="14">
        <v>458.0</v>
      </c>
      <c r="AG335" s="14"/>
      <c r="AH335" s="14">
        <v>342.0</v>
      </c>
      <c r="AI335" s="14">
        <v>340.0</v>
      </c>
      <c r="AJ335" s="14">
        <v>448.0</v>
      </c>
      <c r="AK335" s="14"/>
      <c r="AL335" s="14">
        <v>397.0</v>
      </c>
      <c r="AM335" s="14">
        <v>331.0</v>
      </c>
      <c r="AN335" s="14">
        <v>491.0</v>
      </c>
      <c r="AO335" s="14">
        <v>220.0</v>
      </c>
      <c r="AP335" s="14">
        <v>377.0</v>
      </c>
      <c r="AQ335" s="14">
        <v>272.0</v>
      </c>
      <c r="AR335" s="14"/>
      <c r="AS335" s="14">
        <v>333.0</v>
      </c>
      <c r="AT335" s="14">
        <v>301.0</v>
      </c>
      <c r="AU335" s="14">
        <v>240.0</v>
      </c>
      <c r="AV335" s="14">
        <v>216.0</v>
      </c>
      <c r="AW335" s="14">
        <v>235.0</v>
      </c>
      <c r="AX335" s="14">
        <v>302.0</v>
      </c>
      <c r="AY335" s="14">
        <v>207.0</v>
      </c>
      <c r="AZ335" s="26"/>
      <c r="BA335" s="26"/>
      <c r="BB335" s="26"/>
      <c r="BC335" s="26"/>
    </row>
    <row r="336">
      <c r="A336" s="27">
        <f>HYPERLINK("https://arcprize.org/play?task=d0f5fe59", 325)</f>
        <v>325</v>
      </c>
      <c r="B336" s="14">
        <v>152.0</v>
      </c>
      <c r="C336" s="14">
        <v>258.0</v>
      </c>
      <c r="D336" s="14">
        <v>140.0</v>
      </c>
      <c r="E336" s="14">
        <v>236.0</v>
      </c>
      <c r="F336" s="22">
        <v>154.0</v>
      </c>
      <c r="G336" s="14">
        <v>251.0</v>
      </c>
      <c r="H336" s="14"/>
      <c r="I336" s="15"/>
      <c r="J336" s="23">
        <v>180.0</v>
      </c>
      <c r="K336" s="14">
        <v>185.0</v>
      </c>
      <c r="L336" s="14">
        <v>214.0</v>
      </c>
      <c r="M336" s="22">
        <v>169.0</v>
      </c>
      <c r="N336" s="15"/>
      <c r="O336" s="15"/>
      <c r="P336" s="15"/>
      <c r="Q336" s="14">
        <v>266.0</v>
      </c>
      <c r="R336" s="24">
        <v>181.0</v>
      </c>
      <c r="S336" s="15"/>
      <c r="T336" s="14">
        <v>387.0</v>
      </c>
      <c r="U336" s="14">
        <v>270.0</v>
      </c>
      <c r="V336" s="31"/>
      <c r="W336" s="14">
        <v>157.0</v>
      </c>
      <c r="X336" s="14">
        <v>258.0</v>
      </c>
      <c r="Y336" s="14">
        <v>251.0</v>
      </c>
      <c r="Z336" s="25">
        <v>172.0</v>
      </c>
      <c r="AA336" s="25"/>
      <c r="AB336" s="25">
        <v>242.0</v>
      </c>
      <c r="AC336" s="14">
        <v>236.0</v>
      </c>
      <c r="AD336" s="14"/>
      <c r="AE336" s="14">
        <v>236.0</v>
      </c>
      <c r="AF336" s="14">
        <v>258.0</v>
      </c>
      <c r="AG336" s="14">
        <v>277.0</v>
      </c>
      <c r="AH336" s="14">
        <v>213.0</v>
      </c>
      <c r="AI336" s="14">
        <v>234.0</v>
      </c>
      <c r="AJ336" s="14">
        <v>250.0</v>
      </c>
      <c r="AK336" s="14"/>
      <c r="AL336" s="14">
        <v>233.0</v>
      </c>
      <c r="AM336" s="14">
        <v>191.0</v>
      </c>
      <c r="AN336" s="14">
        <v>236.0</v>
      </c>
      <c r="AO336" s="14">
        <v>151.0</v>
      </c>
      <c r="AP336" s="14">
        <v>213.0</v>
      </c>
      <c r="AQ336" s="14">
        <v>208.0</v>
      </c>
      <c r="AR336" s="14"/>
      <c r="AS336" s="14">
        <v>205.0</v>
      </c>
      <c r="AT336" s="14">
        <v>236.0</v>
      </c>
      <c r="AU336" s="14">
        <v>179.0</v>
      </c>
      <c r="AV336" s="14">
        <v>169.0</v>
      </c>
      <c r="AW336" s="14">
        <v>162.0</v>
      </c>
      <c r="AX336" s="14">
        <v>184.0</v>
      </c>
      <c r="AY336" s="14">
        <v>139.0</v>
      </c>
      <c r="AZ336" s="26"/>
      <c r="BA336" s="26"/>
      <c r="BB336" s="26"/>
      <c r="BC336" s="26"/>
    </row>
    <row r="337">
      <c r="A337" s="27">
        <f>HYPERLINK("https://arcprize.org/play?task=d10ecb37", 326)</f>
        <v>326</v>
      </c>
      <c r="B337" s="14">
        <v>30.0</v>
      </c>
      <c r="C337" s="14">
        <v>32.0</v>
      </c>
      <c r="D337" s="14">
        <v>30.0</v>
      </c>
      <c r="E337" s="14">
        <v>32.0</v>
      </c>
      <c r="F337" s="22">
        <v>30.0</v>
      </c>
      <c r="G337" s="14">
        <v>30.0</v>
      </c>
      <c r="H337" s="14">
        <v>30.0</v>
      </c>
      <c r="I337" s="14">
        <v>30.0</v>
      </c>
      <c r="J337" s="23">
        <v>30.0</v>
      </c>
      <c r="K337" s="14">
        <v>30.0</v>
      </c>
      <c r="L337" s="14">
        <v>30.0</v>
      </c>
      <c r="M337" s="22">
        <v>30.0</v>
      </c>
      <c r="N337" s="14"/>
      <c r="O337" s="14"/>
      <c r="P337" s="14"/>
      <c r="Q337" s="14">
        <v>32.0</v>
      </c>
      <c r="R337" s="24">
        <v>30.0</v>
      </c>
      <c r="S337" s="14"/>
      <c r="T337" s="14">
        <v>32.0</v>
      </c>
      <c r="U337" s="14">
        <v>32.0</v>
      </c>
      <c r="V337" s="29">
        <v>30.0</v>
      </c>
      <c r="W337" s="14">
        <v>30.0</v>
      </c>
      <c r="X337" s="14">
        <v>32.0</v>
      </c>
      <c r="Y337" s="14">
        <v>32.0</v>
      </c>
      <c r="Z337" s="30">
        <v>30.0</v>
      </c>
      <c r="AA337" s="25"/>
      <c r="AB337" s="25">
        <v>31.0</v>
      </c>
      <c r="AC337" s="14">
        <v>32.0</v>
      </c>
      <c r="AD337" s="14">
        <v>30.0</v>
      </c>
      <c r="AE337" s="14">
        <v>32.0</v>
      </c>
      <c r="AF337" s="14">
        <v>32.0</v>
      </c>
      <c r="AG337" s="14">
        <v>32.0</v>
      </c>
      <c r="AH337" s="14">
        <v>30.0</v>
      </c>
      <c r="AI337" s="14">
        <v>30.0</v>
      </c>
      <c r="AJ337" s="14">
        <v>32.0</v>
      </c>
      <c r="AK337" s="14">
        <v>30.0</v>
      </c>
      <c r="AL337" s="14">
        <v>32.0</v>
      </c>
      <c r="AM337" s="14">
        <v>32.0</v>
      </c>
      <c r="AN337" s="14">
        <v>32.0</v>
      </c>
      <c r="AO337" s="14">
        <v>30.0</v>
      </c>
      <c r="AP337" s="14">
        <v>30.0</v>
      </c>
      <c r="AQ337" s="14">
        <v>30.0</v>
      </c>
      <c r="AR337" s="14"/>
      <c r="AS337" s="14">
        <v>30.0</v>
      </c>
      <c r="AT337" s="14">
        <v>32.0</v>
      </c>
      <c r="AU337" s="14">
        <v>30.0</v>
      </c>
      <c r="AV337" s="14">
        <v>30.0</v>
      </c>
      <c r="AW337" s="14">
        <v>30.0</v>
      </c>
      <c r="AX337" s="14">
        <v>30.0</v>
      </c>
      <c r="AY337" s="14">
        <v>30.0</v>
      </c>
      <c r="AZ337" s="26"/>
      <c r="BA337" s="26"/>
      <c r="BB337" s="26"/>
      <c r="BC337" s="26"/>
    </row>
    <row r="338">
      <c r="A338" s="27">
        <f>HYPERLINK("https://arcprize.org/play?task=d13f3404", 327)</f>
        <v>327</v>
      </c>
      <c r="B338" s="14">
        <v>67.0</v>
      </c>
      <c r="C338" s="14">
        <v>67.0</v>
      </c>
      <c r="D338" s="14">
        <v>67.0</v>
      </c>
      <c r="E338" s="14">
        <v>67.0</v>
      </c>
      <c r="F338" s="22">
        <v>67.0</v>
      </c>
      <c r="G338" s="14">
        <v>142.0</v>
      </c>
      <c r="H338" s="14">
        <v>74.0</v>
      </c>
      <c r="I338" s="15"/>
      <c r="J338" s="23">
        <v>67.0</v>
      </c>
      <c r="K338" s="14">
        <v>67.0</v>
      </c>
      <c r="L338" s="14">
        <v>67.0</v>
      </c>
      <c r="M338" s="22">
        <v>67.0</v>
      </c>
      <c r="N338" s="15"/>
      <c r="O338" s="15"/>
      <c r="P338" s="15"/>
      <c r="Q338" s="14">
        <v>142.0</v>
      </c>
      <c r="R338" s="24">
        <v>67.0</v>
      </c>
      <c r="S338" s="14">
        <v>88.0</v>
      </c>
      <c r="T338" s="14">
        <v>108.0</v>
      </c>
      <c r="U338" s="14">
        <v>142.0</v>
      </c>
      <c r="V338" s="29">
        <v>74.0</v>
      </c>
      <c r="W338" s="14">
        <v>67.0</v>
      </c>
      <c r="X338" s="14">
        <v>142.0</v>
      </c>
      <c r="Y338" s="14">
        <v>142.0</v>
      </c>
      <c r="Z338" s="25">
        <v>67.0</v>
      </c>
      <c r="AA338" s="25"/>
      <c r="AB338" s="25">
        <v>109.0</v>
      </c>
      <c r="AC338" s="14">
        <v>141.0</v>
      </c>
      <c r="AD338" s="14"/>
      <c r="AE338" s="14">
        <v>141.0</v>
      </c>
      <c r="AF338" s="14">
        <v>142.0</v>
      </c>
      <c r="AG338" s="14">
        <v>142.0</v>
      </c>
      <c r="AH338" s="14">
        <v>86.0</v>
      </c>
      <c r="AI338" s="14">
        <v>67.0</v>
      </c>
      <c r="AJ338" s="14">
        <v>139.0</v>
      </c>
      <c r="AK338" s="14"/>
      <c r="AL338" s="14">
        <v>68.0</v>
      </c>
      <c r="AM338" s="14">
        <v>67.0</v>
      </c>
      <c r="AN338" s="14">
        <v>67.0</v>
      </c>
      <c r="AO338" s="14">
        <v>67.0</v>
      </c>
      <c r="AP338" s="14">
        <v>67.0</v>
      </c>
      <c r="AQ338" s="14">
        <v>67.0</v>
      </c>
      <c r="AR338" s="14"/>
      <c r="AS338" s="14">
        <v>67.0</v>
      </c>
      <c r="AT338" s="14">
        <v>67.0</v>
      </c>
      <c r="AU338" s="14">
        <v>67.0</v>
      </c>
      <c r="AV338" s="14">
        <v>67.0</v>
      </c>
      <c r="AW338" s="14">
        <v>67.0</v>
      </c>
      <c r="AX338" s="14">
        <v>67.0</v>
      </c>
      <c r="AY338" s="14">
        <v>67.0</v>
      </c>
      <c r="AZ338" s="26"/>
      <c r="BA338" s="26"/>
      <c r="BB338" s="26"/>
      <c r="BC338" s="26"/>
    </row>
    <row r="339">
      <c r="A339" s="27">
        <f>HYPERLINK("https://arcprize.org/play?task=d22278a0", 328)</f>
        <v>328</v>
      </c>
      <c r="B339" s="14">
        <v>163.0</v>
      </c>
      <c r="C339" s="14">
        <v>175.0</v>
      </c>
      <c r="D339" s="14">
        <v>158.0</v>
      </c>
      <c r="E339" s="14">
        <v>175.0</v>
      </c>
      <c r="F339" s="22">
        <v>160.0</v>
      </c>
      <c r="G339" s="14">
        <v>175.0</v>
      </c>
      <c r="H339" s="15"/>
      <c r="I339" s="15"/>
      <c r="J339" s="23">
        <v>169.0</v>
      </c>
      <c r="K339" s="14">
        <v>169.0</v>
      </c>
      <c r="L339" s="14">
        <v>169.0</v>
      </c>
      <c r="M339" s="22">
        <v>169.0</v>
      </c>
      <c r="N339" s="15"/>
      <c r="O339" s="15"/>
      <c r="P339" s="15"/>
      <c r="Q339" s="14">
        <v>176.0</v>
      </c>
      <c r="R339" s="24">
        <v>171.0</v>
      </c>
      <c r="S339" s="15"/>
      <c r="T339" s="15"/>
      <c r="U339" s="15"/>
      <c r="V339" s="29">
        <v>175.0</v>
      </c>
      <c r="W339" s="14">
        <v>166.0</v>
      </c>
      <c r="X339" s="14"/>
      <c r="Y339" s="14">
        <v>288.0</v>
      </c>
      <c r="Z339" s="25">
        <v>169.0</v>
      </c>
      <c r="AA339" s="25">
        <v>175.0</v>
      </c>
      <c r="AB339" s="25">
        <v>175.0</v>
      </c>
      <c r="AC339" s="14">
        <v>175.0</v>
      </c>
      <c r="AD339" s="14"/>
      <c r="AE339" s="14">
        <v>175.0</v>
      </c>
      <c r="AF339" s="14">
        <v>280.0</v>
      </c>
      <c r="AG339" s="14"/>
      <c r="AH339" s="14">
        <v>171.0</v>
      </c>
      <c r="AI339" s="14">
        <v>175.0</v>
      </c>
      <c r="AJ339" s="14">
        <v>175.0</v>
      </c>
      <c r="AK339" s="14"/>
      <c r="AL339" s="14">
        <v>175.0</v>
      </c>
      <c r="AM339" s="14">
        <v>168.0</v>
      </c>
      <c r="AN339" s="14">
        <v>175.0</v>
      </c>
      <c r="AO339" s="14">
        <v>166.0</v>
      </c>
      <c r="AP339" s="14">
        <v>175.0</v>
      </c>
      <c r="AQ339" s="14">
        <v>175.0</v>
      </c>
      <c r="AR339" s="14"/>
      <c r="AS339" s="14">
        <v>175.0</v>
      </c>
      <c r="AT339" s="14">
        <v>175.0</v>
      </c>
      <c r="AU339" s="14">
        <v>170.0</v>
      </c>
      <c r="AV339" s="14">
        <v>166.0</v>
      </c>
      <c r="AW339" s="14">
        <v>167.0</v>
      </c>
      <c r="AX339" s="14">
        <v>167.0</v>
      </c>
      <c r="AY339" s="14">
        <v>158.0</v>
      </c>
      <c r="AZ339" s="26"/>
      <c r="BA339" s="26"/>
      <c r="BB339" s="26"/>
      <c r="BC339" s="26"/>
    </row>
    <row r="340">
      <c r="A340" s="27">
        <f>HYPERLINK("https://arcprize.org/play?task=d23f8c26", 329)</f>
        <v>329</v>
      </c>
      <c r="B340" s="14">
        <v>54.0</v>
      </c>
      <c r="C340" s="14">
        <v>103.0</v>
      </c>
      <c r="D340" s="14">
        <v>54.0</v>
      </c>
      <c r="E340" s="14">
        <v>103.0</v>
      </c>
      <c r="F340" s="22">
        <v>54.0</v>
      </c>
      <c r="G340" s="14">
        <v>104.0</v>
      </c>
      <c r="H340" s="14">
        <v>56.0</v>
      </c>
      <c r="I340" s="14">
        <v>56.0</v>
      </c>
      <c r="J340" s="23">
        <v>54.0</v>
      </c>
      <c r="K340" s="14">
        <v>54.0</v>
      </c>
      <c r="L340" s="14">
        <v>54.0</v>
      </c>
      <c r="M340" s="22">
        <v>54.0</v>
      </c>
      <c r="N340" s="14"/>
      <c r="O340" s="14"/>
      <c r="P340" s="14"/>
      <c r="Q340" s="14">
        <v>71.0</v>
      </c>
      <c r="R340" s="24">
        <v>55.0</v>
      </c>
      <c r="S340" s="14">
        <v>72.0</v>
      </c>
      <c r="T340" s="14">
        <v>64.0</v>
      </c>
      <c r="U340" s="14">
        <v>104.0</v>
      </c>
      <c r="V340" s="29">
        <v>54.0</v>
      </c>
      <c r="W340" s="14">
        <v>54.0</v>
      </c>
      <c r="X340" s="14">
        <v>104.0</v>
      </c>
      <c r="Y340" s="14">
        <v>104.0</v>
      </c>
      <c r="Z340" s="30">
        <v>54.0</v>
      </c>
      <c r="AA340" s="25"/>
      <c r="AB340" s="25">
        <v>71.0</v>
      </c>
      <c r="AC340" s="14">
        <v>103.0</v>
      </c>
      <c r="AD340" s="14">
        <v>54.0</v>
      </c>
      <c r="AE340" s="14">
        <v>103.0</v>
      </c>
      <c r="AF340" s="14">
        <v>104.0</v>
      </c>
      <c r="AG340" s="14">
        <v>104.0</v>
      </c>
      <c r="AH340" s="14">
        <v>54.0</v>
      </c>
      <c r="AI340" s="14">
        <v>54.0</v>
      </c>
      <c r="AJ340" s="14">
        <v>65.0</v>
      </c>
      <c r="AK340" s="14">
        <v>54.0</v>
      </c>
      <c r="AL340" s="14">
        <v>84.0</v>
      </c>
      <c r="AM340" s="14">
        <v>55.0</v>
      </c>
      <c r="AN340" s="14">
        <v>93.0</v>
      </c>
      <c r="AO340" s="14">
        <v>54.0</v>
      </c>
      <c r="AP340" s="14">
        <v>54.0</v>
      </c>
      <c r="AQ340" s="14">
        <v>54.0</v>
      </c>
      <c r="AR340" s="14"/>
      <c r="AS340" s="14">
        <v>54.0</v>
      </c>
      <c r="AT340" s="14">
        <v>103.0</v>
      </c>
      <c r="AU340" s="14">
        <v>54.0</v>
      </c>
      <c r="AV340" s="14">
        <v>54.0</v>
      </c>
      <c r="AW340" s="14">
        <v>54.0</v>
      </c>
      <c r="AX340" s="14">
        <v>54.0</v>
      </c>
      <c r="AY340" s="14">
        <v>54.0</v>
      </c>
      <c r="AZ340" s="26"/>
      <c r="BA340" s="26"/>
      <c r="BB340" s="26"/>
      <c r="BC340" s="26"/>
    </row>
    <row r="341">
      <c r="A341" s="27">
        <f>HYPERLINK("https://arcprize.org/play?task=d2abd087", 330)</f>
        <v>330</v>
      </c>
      <c r="B341" s="14">
        <v>116.0</v>
      </c>
      <c r="C341" s="14">
        <v>172.0</v>
      </c>
      <c r="D341" s="14">
        <v>110.0</v>
      </c>
      <c r="E341" s="14">
        <v>172.0</v>
      </c>
      <c r="F341" s="22">
        <v>114.0</v>
      </c>
      <c r="G341" s="14">
        <v>322.0</v>
      </c>
      <c r="H341" s="15"/>
      <c r="I341" s="15"/>
      <c r="J341" s="14">
        <v>136.0</v>
      </c>
      <c r="K341" s="14">
        <v>137.0</v>
      </c>
      <c r="L341" s="14">
        <v>140.0</v>
      </c>
      <c r="M341" s="22">
        <v>141.0</v>
      </c>
      <c r="N341" s="15"/>
      <c r="O341" s="15"/>
      <c r="P341" s="15"/>
      <c r="Q341" s="14">
        <v>296.0</v>
      </c>
      <c r="R341" s="24">
        <v>135.0</v>
      </c>
      <c r="S341" s="15"/>
      <c r="T341" s="15"/>
      <c r="U341" s="14">
        <v>356.0</v>
      </c>
      <c r="V341" s="31"/>
      <c r="W341" s="14">
        <v>140.0</v>
      </c>
      <c r="X341" s="14"/>
      <c r="Y341" s="14">
        <v>398.0</v>
      </c>
      <c r="Z341" s="25">
        <v>135.0</v>
      </c>
      <c r="AA341" s="25"/>
      <c r="AB341" s="25">
        <v>271.0</v>
      </c>
      <c r="AC341" s="14">
        <v>368.0</v>
      </c>
      <c r="AD341" s="14"/>
      <c r="AE341" s="14">
        <v>203.0</v>
      </c>
      <c r="AF341" s="14">
        <v>292.0</v>
      </c>
      <c r="AG341" s="14"/>
      <c r="AH341" s="14">
        <v>214.0</v>
      </c>
      <c r="AI341" s="14">
        <v>172.0</v>
      </c>
      <c r="AJ341" s="14">
        <v>237.0</v>
      </c>
      <c r="AK341" s="14"/>
      <c r="AL341" s="14">
        <v>254.0</v>
      </c>
      <c r="AM341" s="14">
        <v>198.0</v>
      </c>
      <c r="AN341" s="14">
        <v>383.0</v>
      </c>
      <c r="AO341" s="14">
        <v>133.0</v>
      </c>
      <c r="AP341" s="14">
        <v>168.0</v>
      </c>
      <c r="AQ341" s="14">
        <v>146.0</v>
      </c>
      <c r="AR341" s="14"/>
      <c r="AS341" s="14">
        <v>207.0</v>
      </c>
      <c r="AT341" s="14">
        <v>140.0</v>
      </c>
      <c r="AU341" s="14">
        <v>132.0</v>
      </c>
      <c r="AV341" s="14">
        <v>135.0</v>
      </c>
      <c r="AW341" s="14">
        <v>135.0</v>
      </c>
      <c r="AX341" s="14">
        <v>135.0</v>
      </c>
      <c r="AY341" s="14">
        <v>110.0</v>
      </c>
      <c r="AZ341" s="26"/>
      <c r="BA341" s="26"/>
      <c r="BB341" s="26"/>
      <c r="BC341" s="26"/>
    </row>
    <row r="342">
      <c r="A342" s="27">
        <f>HYPERLINK("https://arcprize.org/play?task=d364b489", 331)</f>
        <v>331</v>
      </c>
      <c r="B342" s="14">
        <v>82.0</v>
      </c>
      <c r="C342" s="14">
        <v>207.0</v>
      </c>
      <c r="D342" s="14">
        <v>83.0</v>
      </c>
      <c r="E342" s="14">
        <v>198.0</v>
      </c>
      <c r="F342" s="22">
        <v>83.0</v>
      </c>
      <c r="G342" s="14">
        <v>207.0</v>
      </c>
      <c r="H342" s="14"/>
      <c r="I342" s="14"/>
      <c r="J342" s="23">
        <v>83.0</v>
      </c>
      <c r="K342" s="14">
        <v>87.0</v>
      </c>
      <c r="L342" s="14">
        <v>105.0</v>
      </c>
      <c r="M342" s="22">
        <v>86.0</v>
      </c>
      <c r="N342" s="14"/>
      <c r="O342" s="14"/>
      <c r="P342" s="14"/>
      <c r="Q342" s="14">
        <v>218.0</v>
      </c>
      <c r="R342" s="24">
        <v>88.0</v>
      </c>
      <c r="S342" s="14">
        <v>152.0</v>
      </c>
      <c r="T342" s="14"/>
      <c r="U342" s="14">
        <v>207.0</v>
      </c>
      <c r="V342" s="33"/>
      <c r="W342" s="14">
        <v>100.0</v>
      </c>
      <c r="X342" s="14">
        <v>207.0</v>
      </c>
      <c r="Y342" s="14">
        <v>207.0</v>
      </c>
      <c r="Z342" s="25">
        <v>87.0</v>
      </c>
      <c r="AA342" s="25"/>
      <c r="AB342" s="25">
        <v>170.0</v>
      </c>
      <c r="AC342" s="14">
        <v>198.0</v>
      </c>
      <c r="AD342" s="14"/>
      <c r="AE342" s="14">
        <v>198.0</v>
      </c>
      <c r="AF342" s="14">
        <v>207.0</v>
      </c>
      <c r="AG342" s="14">
        <v>207.0</v>
      </c>
      <c r="AH342" s="14">
        <v>136.0</v>
      </c>
      <c r="AI342" s="14">
        <v>89.0</v>
      </c>
      <c r="AJ342" s="14">
        <v>154.0</v>
      </c>
      <c r="AK342" s="14"/>
      <c r="AL342" s="14">
        <v>159.0</v>
      </c>
      <c r="AM342" s="14">
        <v>119.0</v>
      </c>
      <c r="AN342" s="14">
        <v>184.0</v>
      </c>
      <c r="AO342" s="14">
        <v>82.0</v>
      </c>
      <c r="AP342" s="14">
        <v>156.0</v>
      </c>
      <c r="AQ342" s="14">
        <v>140.0</v>
      </c>
      <c r="AR342" s="14"/>
      <c r="AS342" s="14">
        <v>88.0</v>
      </c>
      <c r="AT342" s="14">
        <v>136.0</v>
      </c>
      <c r="AU342" s="14">
        <v>85.0</v>
      </c>
      <c r="AV342" s="14">
        <v>83.0</v>
      </c>
      <c r="AW342" s="14">
        <v>83.0</v>
      </c>
      <c r="AX342" s="14">
        <v>96.0</v>
      </c>
      <c r="AY342" s="14">
        <v>82.0</v>
      </c>
      <c r="AZ342" s="26"/>
      <c r="BA342" s="26"/>
      <c r="BB342" s="26"/>
      <c r="BC342" s="26"/>
    </row>
    <row r="343">
      <c r="A343" s="27">
        <f>HYPERLINK("https://arcprize.org/play?task=d406998b", 332)</f>
        <v>332</v>
      </c>
      <c r="B343" s="14">
        <v>58.0</v>
      </c>
      <c r="C343" s="14">
        <v>105.0</v>
      </c>
      <c r="D343" s="14">
        <v>58.0</v>
      </c>
      <c r="E343" s="14">
        <v>106.0</v>
      </c>
      <c r="F343" s="22">
        <v>58.0</v>
      </c>
      <c r="G343" s="14">
        <v>106.0</v>
      </c>
      <c r="H343" s="14">
        <v>73.0</v>
      </c>
      <c r="I343" s="14">
        <v>67.0</v>
      </c>
      <c r="J343" s="23">
        <v>64.0</v>
      </c>
      <c r="K343" s="14">
        <v>64.0</v>
      </c>
      <c r="L343" s="14">
        <v>67.0</v>
      </c>
      <c r="M343" s="22">
        <v>66.0</v>
      </c>
      <c r="N343" s="14"/>
      <c r="O343" s="14"/>
      <c r="P343" s="14"/>
      <c r="Q343" s="14">
        <v>84.0</v>
      </c>
      <c r="R343" s="24">
        <v>66.0</v>
      </c>
      <c r="S343" s="14">
        <v>79.0</v>
      </c>
      <c r="T343" s="14">
        <v>72.0</v>
      </c>
      <c r="U343" s="14">
        <v>106.0</v>
      </c>
      <c r="V343" s="29">
        <v>69.0</v>
      </c>
      <c r="W343" s="14">
        <v>61.0</v>
      </c>
      <c r="X343" s="14">
        <v>106.0</v>
      </c>
      <c r="Y343" s="14">
        <v>106.0</v>
      </c>
      <c r="Z343" s="25">
        <v>67.0</v>
      </c>
      <c r="AA343" s="25"/>
      <c r="AB343" s="25">
        <v>75.0</v>
      </c>
      <c r="AC343" s="14">
        <v>106.0</v>
      </c>
      <c r="AD343" s="14"/>
      <c r="AE343" s="14">
        <v>106.0</v>
      </c>
      <c r="AF343" s="14">
        <v>106.0</v>
      </c>
      <c r="AG343" s="14">
        <v>106.0</v>
      </c>
      <c r="AH343" s="14">
        <v>67.0</v>
      </c>
      <c r="AI343" s="14">
        <v>70.0</v>
      </c>
      <c r="AJ343" s="14">
        <v>71.0</v>
      </c>
      <c r="AK343" s="14"/>
      <c r="AL343" s="14">
        <v>81.0</v>
      </c>
      <c r="AM343" s="14">
        <v>65.0</v>
      </c>
      <c r="AN343" s="14">
        <v>106.0</v>
      </c>
      <c r="AO343" s="14">
        <v>64.0</v>
      </c>
      <c r="AP343" s="14">
        <v>79.0</v>
      </c>
      <c r="AQ343" s="14">
        <v>72.0</v>
      </c>
      <c r="AR343" s="14"/>
      <c r="AS343" s="14">
        <v>71.0</v>
      </c>
      <c r="AT343" s="14">
        <v>106.0</v>
      </c>
      <c r="AU343" s="14">
        <v>59.0</v>
      </c>
      <c r="AV343" s="14">
        <v>62.0</v>
      </c>
      <c r="AW343" s="14">
        <v>64.0</v>
      </c>
      <c r="AX343" s="14">
        <v>63.0</v>
      </c>
      <c r="AY343" s="14">
        <v>58.0</v>
      </c>
      <c r="AZ343" s="26"/>
      <c r="BA343" s="26"/>
      <c r="BB343" s="26"/>
      <c r="BC343" s="26"/>
    </row>
    <row r="344">
      <c r="A344" s="27">
        <f>HYPERLINK("https://arcprize.org/play?task=d43fd935", 333)</f>
        <v>333</v>
      </c>
      <c r="B344" s="14">
        <v>83.0</v>
      </c>
      <c r="C344" s="14">
        <v>226.0</v>
      </c>
      <c r="D344" s="14">
        <v>89.0</v>
      </c>
      <c r="E344" s="14">
        <v>217.0</v>
      </c>
      <c r="F344" s="22">
        <v>89.0</v>
      </c>
      <c r="G344" s="14">
        <v>229.0</v>
      </c>
      <c r="H344" s="14"/>
      <c r="I344" s="14"/>
      <c r="J344" s="23">
        <v>101.0</v>
      </c>
      <c r="K344" s="14">
        <v>118.0</v>
      </c>
      <c r="L344" s="14">
        <v>101.0</v>
      </c>
      <c r="M344" s="22">
        <v>90.0</v>
      </c>
      <c r="N344" s="14"/>
      <c r="O344" s="14"/>
      <c r="P344" s="14"/>
      <c r="Q344" s="14">
        <v>199.0</v>
      </c>
      <c r="R344" s="24">
        <v>105.0</v>
      </c>
      <c r="S344" s="14"/>
      <c r="T344" s="14"/>
      <c r="U344" s="14">
        <v>424.0</v>
      </c>
      <c r="V344" s="29">
        <v>104.0</v>
      </c>
      <c r="W344" s="14">
        <v>100.0</v>
      </c>
      <c r="X344" s="14"/>
      <c r="Y344" s="14">
        <v>267.0</v>
      </c>
      <c r="Z344" s="25">
        <v>107.0</v>
      </c>
      <c r="AA344" s="25"/>
      <c r="AB344" s="25">
        <v>229.0</v>
      </c>
      <c r="AC344" s="14">
        <v>217.0</v>
      </c>
      <c r="AD344" s="14"/>
      <c r="AE344" s="14">
        <v>212.0</v>
      </c>
      <c r="AF344" s="14">
        <v>303.0</v>
      </c>
      <c r="AG344" s="14"/>
      <c r="AH344" s="14">
        <v>143.0</v>
      </c>
      <c r="AI344" s="14">
        <v>149.0</v>
      </c>
      <c r="AJ344" s="14">
        <v>157.0</v>
      </c>
      <c r="AK344" s="14"/>
      <c r="AL344" s="14">
        <v>153.0</v>
      </c>
      <c r="AM344" s="14">
        <v>134.0</v>
      </c>
      <c r="AN344" s="14">
        <v>217.0</v>
      </c>
      <c r="AO344" s="14">
        <v>103.0</v>
      </c>
      <c r="AP344" s="14">
        <v>169.0</v>
      </c>
      <c r="AQ344" s="14">
        <v>149.0</v>
      </c>
      <c r="AR344" s="14"/>
      <c r="AS344" s="14">
        <v>103.0</v>
      </c>
      <c r="AT344" s="14">
        <v>202.0</v>
      </c>
      <c r="AU344" s="14">
        <v>101.0</v>
      </c>
      <c r="AV344" s="14">
        <v>94.0</v>
      </c>
      <c r="AW344" s="14">
        <v>101.0</v>
      </c>
      <c r="AX344" s="14">
        <v>103.0</v>
      </c>
      <c r="AY344" s="14">
        <v>83.0</v>
      </c>
      <c r="AZ344" s="26"/>
      <c r="BA344" s="26"/>
      <c r="BB344" s="26"/>
      <c r="BC344" s="26"/>
    </row>
    <row r="345">
      <c r="A345" s="27">
        <f>HYPERLINK("https://arcprize.org/play?task=d4469b4b", 334)</f>
        <v>334</v>
      </c>
      <c r="B345" s="14">
        <v>65.0</v>
      </c>
      <c r="C345" s="14">
        <v>122.0</v>
      </c>
      <c r="D345" s="14">
        <v>69.0</v>
      </c>
      <c r="E345" s="14">
        <v>141.0</v>
      </c>
      <c r="F345" s="22">
        <v>66.0</v>
      </c>
      <c r="G345" s="14">
        <v>109.0</v>
      </c>
      <c r="H345" s="14">
        <v>81.0</v>
      </c>
      <c r="I345" s="14">
        <v>80.0</v>
      </c>
      <c r="J345" s="23">
        <v>73.0</v>
      </c>
      <c r="K345" s="14">
        <v>76.0</v>
      </c>
      <c r="L345" s="14">
        <v>78.0</v>
      </c>
      <c r="M345" s="22">
        <v>78.0</v>
      </c>
      <c r="N345" s="14"/>
      <c r="O345" s="14"/>
      <c r="P345" s="14"/>
      <c r="Q345" s="14">
        <v>96.0</v>
      </c>
      <c r="R345" s="24">
        <v>75.0</v>
      </c>
      <c r="S345" s="14"/>
      <c r="T345" s="14">
        <v>86.0</v>
      </c>
      <c r="U345" s="14">
        <v>141.0</v>
      </c>
      <c r="V345" s="29">
        <v>89.0</v>
      </c>
      <c r="W345" s="14">
        <v>75.0</v>
      </c>
      <c r="X345" s="14">
        <v>141.0</v>
      </c>
      <c r="Y345" s="14">
        <v>117.0</v>
      </c>
      <c r="Z345" s="25">
        <v>70.0</v>
      </c>
      <c r="AA345" s="25"/>
      <c r="AB345" s="25">
        <v>104.0</v>
      </c>
      <c r="AC345" s="14">
        <v>141.0</v>
      </c>
      <c r="AD345" s="14"/>
      <c r="AE345" s="14">
        <v>141.0</v>
      </c>
      <c r="AF345" s="14">
        <v>141.0</v>
      </c>
      <c r="AG345" s="14">
        <v>141.0</v>
      </c>
      <c r="AH345" s="14">
        <v>79.0</v>
      </c>
      <c r="AI345" s="14">
        <v>86.0</v>
      </c>
      <c r="AJ345" s="14">
        <v>89.0</v>
      </c>
      <c r="AK345" s="14"/>
      <c r="AL345" s="14">
        <v>91.0</v>
      </c>
      <c r="AM345" s="14">
        <v>83.0</v>
      </c>
      <c r="AN345" s="14">
        <v>141.0</v>
      </c>
      <c r="AO345" s="14">
        <v>70.0</v>
      </c>
      <c r="AP345" s="14">
        <v>78.0</v>
      </c>
      <c r="AQ345" s="14">
        <v>75.0</v>
      </c>
      <c r="AR345" s="14"/>
      <c r="AS345" s="14">
        <v>73.0</v>
      </c>
      <c r="AT345" s="14">
        <v>141.0</v>
      </c>
      <c r="AU345" s="14">
        <v>73.0</v>
      </c>
      <c r="AV345" s="14">
        <v>70.0</v>
      </c>
      <c r="AW345" s="14">
        <v>73.0</v>
      </c>
      <c r="AX345" s="14">
        <v>73.0</v>
      </c>
      <c r="AY345" s="14">
        <v>65.0</v>
      </c>
      <c r="AZ345" s="26"/>
      <c r="BA345" s="26"/>
      <c r="BB345" s="26"/>
      <c r="BC345" s="26"/>
    </row>
    <row r="346">
      <c r="A346" s="27">
        <f>HYPERLINK("https://arcprize.org/play?task=d4a91cb9", 335)</f>
        <v>335</v>
      </c>
      <c r="B346" s="14">
        <v>106.0</v>
      </c>
      <c r="C346" s="14">
        <v>206.0</v>
      </c>
      <c r="D346" s="14">
        <v>110.0</v>
      </c>
      <c r="E346" s="14">
        <v>206.0</v>
      </c>
      <c r="F346" s="22">
        <v>105.0</v>
      </c>
      <c r="G346" s="14">
        <v>206.0</v>
      </c>
      <c r="H346" s="14"/>
      <c r="I346" s="14"/>
      <c r="J346" s="23">
        <v>115.0</v>
      </c>
      <c r="K346" s="14">
        <v>149.0</v>
      </c>
      <c r="L346" s="14">
        <v>175.0</v>
      </c>
      <c r="M346" s="22">
        <v>132.0</v>
      </c>
      <c r="N346" s="14"/>
      <c r="O346" s="14"/>
      <c r="P346" s="14"/>
      <c r="Q346" s="14">
        <v>210.0</v>
      </c>
      <c r="R346" s="24">
        <v>127.0</v>
      </c>
      <c r="S346" s="14"/>
      <c r="T346" s="14">
        <v>174.0</v>
      </c>
      <c r="U346" s="14">
        <v>206.0</v>
      </c>
      <c r="V346" s="33"/>
      <c r="W346" s="14">
        <v>159.0</v>
      </c>
      <c r="X346" s="14">
        <v>206.0</v>
      </c>
      <c r="Y346" s="14">
        <v>206.0</v>
      </c>
      <c r="Z346" s="25">
        <v>146.0</v>
      </c>
      <c r="AA346" s="25"/>
      <c r="AB346" s="25">
        <v>206.0</v>
      </c>
      <c r="AC346" s="14">
        <v>206.0</v>
      </c>
      <c r="AD346" s="14"/>
      <c r="AE346" s="14">
        <v>206.0</v>
      </c>
      <c r="AF346" s="14">
        <v>206.0</v>
      </c>
      <c r="AG346" s="14">
        <v>206.0</v>
      </c>
      <c r="AH346" s="14">
        <v>171.0</v>
      </c>
      <c r="AI346" s="14">
        <v>206.0</v>
      </c>
      <c r="AJ346" s="14">
        <v>206.0</v>
      </c>
      <c r="AK346" s="14"/>
      <c r="AL346" s="14">
        <v>206.0</v>
      </c>
      <c r="AM346" s="14">
        <v>146.0</v>
      </c>
      <c r="AN346" s="14">
        <v>206.0</v>
      </c>
      <c r="AO346" s="14">
        <v>120.0</v>
      </c>
      <c r="AP346" s="14">
        <v>155.0</v>
      </c>
      <c r="AQ346" s="14">
        <v>157.0</v>
      </c>
      <c r="AR346" s="14"/>
      <c r="AS346" s="14">
        <v>127.0</v>
      </c>
      <c r="AT346" s="14">
        <v>206.0</v>
      </c>
      <c r="AU346" s="14">
        <v>110.0</v>
      </c>
      <c r="AV346" s="14">
        <v>120.0</v>
      </c>
      <c r="AW346" s="14">
        <v>120.0</v>
      </c>
      <c r="AX346" s="14">
        <v>128.0</v>
      </c>
      <c r="AY346" s="14">
        <v>105.0</v>
      </c>
      <c r="AZ346" s="26"/>
      <c r="BA346" s="26"/>
      <c r="BB346" s="26"/>
      <c r="BC346" s="26"/>
    </row>
    <row r="347">
      <c r="A347" s="27">
        <f>HYPERLINK("https://arcprize.org/play?task=d4f3cd78", 336)</f>
        <v>336</v>
      </c>
      <c r="B347" s="14">
        <v>88.0</v>
      </c>
      <c r="C347" s="14">
        <v>243.0</v>
      </c>
      <c r="D347" s="14">
        <v>90.0</v>
      </c>
      <c r="E347" s="14">
        <v>243.0</v>
      </c>
      <c r="F347" s="22">
        <v>86.0</v>
      </c>
      <c r="G347" s="14">
        <v>379.0</v>
      </c>
      <c r="H347" s="15"/>
      <c r="I347" s="15"/>
      <c r="J347" s="23">
        <v>106.0</v>
      </c>
      <c r="K347" s="14">
        <v>196.0</v>
      </c>
      <c r="L347" s="14">
        <v>115.0</v>
      </c>
      <c r="M347" s="22">
        <v>112.0</v>
      </c>
      <c r="N347" s="15"/>
      <c r="O347" s="15"/>
      <c r="P347" s="15"/>
      <c r="Q347" s="14">
        <v>269.0</v>
      </c>
      <c r="R347" s="24">
        <v>127.0</v>
      </c>
      <c r="S347" s="15"/>
      <c r="T347" s="14">
        <v>303.0</v>
      </c>
      <c r="U347" s="14">
        <v>443.0</v>
      </c>
      <c r="V347" s="31"/>
      <c r="W347" s="14">
        <v>136.0</v>
      </c>
      <c r="X347" s="14">
        <v>379.0</v>
      </c>
      <c r="Y347" s="14">
        <v>343.0</v>
      </c>
      <c r="Z347" s="25">
        <v>121.0</v>
      </c>
      <c r="AA347" s="25"/>
      <c r="AB347" s="25">
        <v>271.0</v>
      </c>
      <c r="AC347" s="14">
        <v>351.0</v>
      </c>
      <c r="AD347" s="14"/>
      <c r="AE347" s="14">
        <v>250.0</v>
      </c>
      <c r="AF347" s="14">
        <v>379.0</v>
      </c>
      <c r="AG347" s="14"/>
      <c r="AH347" s="14">
        <v>181.0</v>
      </c>
      <c r="AI347" s="14">
        <v>138.0</v>
      </c>
      <c r="AJ347" s="14">
        <v>258.0</v>
      </c>
      <c r="AK347" s="14"/>
      <c r="AL347" s="14">
        <v>240.0</v>
      </c>
      <c r="AM347" s="14">
        <v>245.0</v>
      </c>
      <c r="AN347" s="14">
        <v>351.0</v>
      </c>
      <c r="AO347" s="14">
        <v>120.0</v>
      </c>
      <c r="AP347" s="14">
        <v>243.0</v>
      </c>
      <c r="AQ347" s="14">
        <v>143.0</v>
      </c>
      <c r="AR347" s="14"/>
      <c r="AS347" s="14">
        <v>117.0</v>
      </c>
      <c r="AT347" s="14">
        <v>243.0</v>
      </c>
      <c r="AU347" s="14">
        <v>112.0</v>
      </c>
      <c r="AV347" s="14">
        <v>111.0</v>
      </c>
      <c r="AW347" s="14">
        <v>110.0</v>
      </c>
      <c r="AX347" s="14">
        <v>113.0</v>
      </c>
      <c r="AY347" s="14">
        <v>81.0</v>
      </c>
      <c r="AZ347" s="26"/>
      <c r="BA347" s="26"/>
      <c r="BB347" s="26"/>
      <c r="BC347" s="26"/>
    </row>
    <row r="348">
      <c r="A348" s="27">
        <f>HYPERLINK("https://arcprize.org/play?task=d511f180", 337)</f>
        <v>337</v>
      </c>
      <c r="B348" s="14">
        <v>43.0</v>
      </c>
      <c r="C348" s="14">
        <v>46.0</v>
      </c>
      <c r="D348" s="14">
        <v>43.0</v>
      </c>
      <c r="E348" s="14">
        <v>51.0</v>
      </c>
      <c r="F348" s="22">
        <v>43.0</v>
      </c>
      <c r="G348" s="14">
        <v>48.0</v>
      </c>
      <c r="H348" s="14">
        <v>48.0</v>
      </c>
      <c r="I348" s="14">
        <v>48.0</v>
      </c>
      <c r="J348" s="23">
        <v>46.0</v>
      </c>
      <c r="K348" s="14">
        <v>48.0</v>
      </c>
      <c r="L348" s="14">
        <v>48.0</v>
      </c>
      <c r="M348" s="22">
        <v>46.0</v>
      </c>
      <c r="N348" s="14"/>
      <c r="O348" s="14"/>
      <c r="P348" s="14"/>
      <c r="Q348" s="14">
        <v>51.0</v>
      </c>
      <c r="R348" s="24">
        <v>51.0</v>
      </c>
      <c r="S348" s="14"/>
      <c r="T348" s="14">
        <v>54.0</v>
      </c>
      <c r="U348" s="14">
        <v>51.0</v>
      </c>
      <c r="V348" s="29">
        <v>48.0</v>
      </c>
      <c r="W348" s="14">
        <v>48.0</v>
      </c>
      <c r="X348" s="14">
        <v>51.0</v>
      </c>
      <c r="Y348" s="14">
        <v>51.0</v>
      </c>
      <c r="Z348" s="25">
        <v>48.0</v>
      </c>
      <c r="AA348" s="25"/>
      <c r="AB348" s="25">
        <v>49.0</v>
      </c>
      <c r="AC348" s="14">
        <v>51.0</v>
      </c>
      <c r="AD348" s="14">
        <v>54.0</v>
      </c>
      <c r="AE348" s="14">
        <v>51.0</v>
      </c>
      <c r="AF348" s="14">
        <v>51.0</v>
      </c>
      <c r="AG348" s="14">
        <v>51.0</v>
      </c>
      <c r="AH348" s="14">
        <v>48.0</v>
      </c>
      <c r="AI348" s="14">
        <v>51.0</v>
      </c>
      <c r="AJ348" s="14">
        <v>51.0</v>
      </c>
      <c r="AK348" s="14">
        <v>46.0</v>
      </c>
      <c r="AL348" s="14">
        <v>51.0</v>
      </c>
      <c r="AM348" s="14">
        <v>48.0</v>
      </c>
      <c r="AN348" s="14">
        <v>51.0</v>
      </c>
      <c r="AO348" s="14">
        <v>47.0</v>
      </c>
      <c r="AP348" s="14">
        <v>48.0</v>
      </c>
      <c r="AQ348" s="14">
        <v>48.0</v>
      </c>
      <c r="AR348" s="14"/>
      <c r="AS348" s="14">
        <v>51.0</v>
      </c>
      <c r="AT348" s="14">
        <v>51.0</v>
      </c>
      <c r="AU348" s="14">
        <v>48.0</v>
      </c>
      <c r="AV348" s="14">
        <v>48.0</v>
      </c>
      <c r="AW348" s="14">
        <v>47.0</v>
      </c>
      <c r="AX348" s="14">
        <v>48.0</v>
      </c>
      <c r="AY348" s="14">
        <v>43.0</v>
      </c>
      <c r="AZ348" s="26"/>
      <c r="BA348" s="26"/>
      <c r="BB348" s="26"/>
      <c r="BC348" s="26"/>
    </row>
    <row r="349">
      <c r="A349" s="27">
        <f>HYPERLINK("https://arcprize.org/play?task=d5d6de2d", 338)</f>
        <v>338</v>
      </c>
      <c r="B349" s="14">
        <v>64.0</v>
      </c>
      <c r="C349" s="14">
        <v>157.0</v>
      </c>
      <c r="D349" s="14">
        <v>65.0</v>
      </c>
      <c r="E349" s="14">
        <v>157.0</v>
      </c>
      <c r="F349" s="22">
        <v>62.0</v>
      </c>
      <c r="G349" s="14">
        <v>263.0</v>
      </c>
      <c r="H349" s="15"/>
      <c r="I349" s="15"/>
      <c r="J349" s="23">
        <v>66.0</v>
      </c>
      <c r="K349" s="14">
        <v>94.0</v>
      </c>
      <c r="L349" s="14">
        <v>80.0</v>
      </c>
      <c r="M349" s="22">
        <v>64.0</v>
      </c>
      <c r="N349" s="15"/>
      <c r="O349" s="15"/>
      <c r="P349" s="15"/>
      <c r="Q349" s="14">
        <v>240.0</v>
      </c>
      <c r="R349" s="24">
        <v>103.0</v>
      </c>
      <c r="S349" s="15"/>
      <c r="T349" s="14">
        <v>104.0</v>
      </c>
      <c r="U349" s="14">
        <v>354.0</v>
      </c>
      <c r="V349" s="31"/>
      <c r="W349" s="14">
        <v>76.0</v>
      </c>
      <c r="X349" s="14">
        <v>278.0</v>
      </c>
      <c r="Y349" s="14">
        <v>258.0</v>
      </c>
      <c r="Z349" s="25">
        <v>75.0</v>
      </c>
      <c r="AA349" s="25"/>
      <c r="AB349" s="25">
        <v>218.0</v>
      </c>
      <c r="AC349" s="14">
        <v>255.0</v>
      </c>
      <c r="AD349" s="14"/>
      <c r="AE349" s="14">
        <v>255.0</v>
      </c>
      <c r="AF349" s="14">
        <v>278.0</v>
      </c>
      <c r="AG349" s="14"/>
      <c r="AH349" s="14">
        <v>205.0</v>
      </c>
      <c r="AI349" s="14">
        <v>157.0</v>
      </c>
      <c r="AJ349" s="14">
        <v>263.0</v>
      </c>
      <c r="AK349" s="14"/>
      <c r="AL349" s="14">
        <v>157.0</v>
      </c>
      <c r="AM349" s="14">
        <v>97.0</v>
      </c>
      <c r="AN349" s="14">
        <v>157.0</v>
      </c>
      <c r="AO349" s="14">
        <v>65.0</v>
      </c>
      <c r="AP349" s="14">
        <v>141.0</v>
      </c>
      <c r="AQ349" s="14">
        <v>125.0</v>
      </c>
      <c r="AR349" s="14"/>
      <c r="AS349" s="14">
        <v>109.0</v>
      </c>
      <c r="AT349" s="14">
        <v>157.0</v>
      </c>
      <c r="AU349" s="14">
        <v>75.0</v>
      </c>
      <c r="AV349" s="14">
        <v>67.0</v>
      </c>
      <c r="AW349" s="14">
        <v>77.0</v>
      </c>
      <c r="AX349" s="14">
        <v>103.0</v>
      </c>
      <c r="AY349" s="14">
        <v>62.0</v>
      </c>
      <c r="AZ349" s="26"/>
      <c r="BA349" s="26"/>
      <c r="BB349" s="26"/>
      <c r="BC349" s="26"/>
    </row>
    <row r="350">
      <c r="A350" s="27">
        <f>HYPERLINK("https://arcprize.org/play?task=d631b094", 339)</f>
        <v>339</v>
      </c>
      <c r="B350" s="14">
        <v>37.0</v>
      </c>
      <c r="C350" s="14">
        <v>39.0</v>
      </c>
      <c r="D350" s="14">
        <v>37.0</v>
      </c>
      <c r="E350" s="14">
        <v>39.0</v>
      </c>
      <c r="F350" s="22">
        <v>37.0</v>
      </c>
      <c r="G350" s="14">
        <v>37.0</v>
      </c>
      <c r="H350" s="14">
        <v>37.0</v>
      </c>
      <c r="I350" s="14">
        <v>43.0</v>
      </c>
      <c r="J350" s="23">
        <v>37.0</v>
      </c>
      <c r="K350" s="14">
        <v>37.0</v>
      </c>
      <c r="L350" s="14">
        <v>37.0</v>
      </c>
      <c r="M350" s="22">
        <v>37.0</v>
      </c>
      <c r="N350" s="14"/>
      <c r="O350" s="14"/>
      <c r="P350" s="14"/>
      <c r="Q350" s="14">
        <v>37.0</v>
      </c>
      <c r="R350" s="24">
        <v>37.0</v>
      </c>
      <c r="S350" s="14"/>
      <c r="T350" s="14">
        <v>39.0</v>
      </c>
      <c r="U350" s="14">
        <v>39.0</v>
      </c>
      <c r="V350" s="29">
        <v>37.0</v>
      </c>
      <c r="W350" s="14">
        <v>37.0</v>
      </c>
      <c r="X350" s="14">
        <v>39.0</v>
      </c>
      <c r="Y350" s="14">
        <v>39.0</v>
      </c>
      <c r="Z350" s="30">
        <v>37.0</v>
      </c>
      <c r="AA350" s="25"/>
      <c r="AB350" s="25">
        <v>39.0</v>
      </c>
      <c r="AC350" s="14">
        <v>39.0</v>
      </c>
      <c r="AD350" s="14">
        <v>37.0</v>
      </c>
      <c r="AE350" s="14">
        <v>39.0</v>
      </c>
      <c r="AF350" s="14">
        <v>39.0</v>
      </c>
      <c r="AG350" s="14">
        <v>39.0</v>
      </c>
      <c r="AH350" s="14">
        <v>37.0</v>
      </c>
      <c r="AI350" s="14">
        <v>37.0</v>
      </c>
      <c r="AJ350" s="14">
        <v>39.0</v>
      </c>
      <c r="AK350" s="14">
        <v>37.0</v>
      </c>
      <c r="AL350" s="14">
        <v>39.0</v>
      </c>
      <c r="AM350" s="14">
        <v>37.0</v>
      </c>
      <c r="AN350" s="14">
        <v>39.0</v>
      </c>
      <c r="AO350" s="14">
        <v>37.0</v>
      </c>
      <c r="AP350" s="14">
        <v>37.0</v>
      </c>
      <c r="AQ350" s="14">
        <v>37.0</v>
      </c>
      <c r="AR350" s="14"/>
      <c r="AS350" s="14">
        <v>37.0</v>
      </c>
      <c r="AT350" s="14">
        <v>39.0</v>
      </c>
      <c r="AU350" s="14">
        <v>37.0</v>
      </c>
      <c r="AV350" s="14">
        <v>37.0</v>
      </c>
      <c r="AW350" s="14">
        <v>37.0</v>
      </c>
      <c r="AX350" s="14">
        <v>37.0</v>
      </c>
      <c r="AY350" s="14">
        <v>37.0</v>
      </c>
      <c r="AZ350" s="26"/>
      <c r="BA350" s="26"/>
      <c r="BB350" s="26"/>
      <c r="BC350" s="26"/>
    </row>
    <row r="351">
      <c r="A351" s="27">
        <f>HYPERLINK("https://arcprize.org/play?task=d687bc17", 340)</f>
        <v>340</v>
      </c>
      <c r="B351" s="14">
        <v>113.0</v>
      </c>
      <c r="C351" s="14">
        <v>230.0</v>
      </c>
      <c r="D351" s="14">
        <v>112.0</v>
      </c>
      <c r="E351" s="14">
        <v>215.0</v>
      </c>
      <c r="F351" s="22">
        <v>111.0</v>
      </c>
      <c r="G351" s="14">
        <v>228.0</v>
      </c>
      <c r="H351" s="15"/>
      <c r="I351" s="15"/>
      <c r="J351" s="23">
        <v>132.0</v>
      </c>
      <c r="K351" s="14">
        <v>131.0</v>
      </c>
      <c r="L351" s="14">
        <v>155.0</v>
      </c>
      <c r="M351" s="22">
        <v>146.0</v>
      </c>
      <c r="N351" s="15"/>
      <c r="O351" s="15"/>
      <c r="P351" s="15"/>
      <c r="Q351" s="14">
        <v>230.0</v>
      </c>
      <c r="R351" s="24">
        <v>176.0</v>
      </c>
      <c r="S351" s="15"/>
      <c r="T351" s="15"/>
      <c r="U351" s="14">
        <v>307.0</v>
      </c>
      <c r="V351" s="31"/>
      <c r="W351" s="14">
        <v>132.0</v>
      </c>
      <c r="X351" s="14"/>
      <c r="Y351" s="14">
        <v>258.0</v>
      </c>
      <c r="Z351" s="25">
        <v>153.0</v>
      </c>
      <c r="AA351" s="25"/>
      <c r="AB351" s="25">
        <v>197.0</v>
      </c>
      <c r="AC351" s="14">
        <v>215.0</v>
      </c>
      <c r="AD351" s="14"/>
      <c r="AE351" s="14">
        <v>200.0</v>
      </c>
      <c r="AF351" s="14">
        <v>250.0</v>
      </c>
      <c r="AG351" s="14"/>
      <c r="AH351" s="14">
        <v>203.0</v>
      </c>
      <c r="AI351" s="14">
        <v>144.0</v>
      </c>
      <c r="AJ351" s="14">
        <v>194.0</v>
      </c>
      <c r="AK351" s="14"/>
      <c r="AL351" s="14">
        <v>215.0</v>
      </c>
      <c r="AM351" s="14">
        <v>181.0</v>
      </c>
      <c r="AN351" s="14">
        <v>215.0</v>
      </c>
      <c r="AO351" s="14">
        <v>138.0</v>
      </c>
      <c r="AP351" s="14">
        <v>197.0</v>
      </c>
      <c r="AQ351" s="14">
        <v>190.0</v>
      </c>
      <c r="AR351" s="14"/>
      <c r="AS351" s="14">
        <v>158.0</v>
      </c>
      <c r="AT351" s="14">
        <v>215.0</v>
      </c>
      <c r="AU351" s="14">
        <v>114.0</v>
      </c>
      <c r="AV351" s="14">
        <v>138.0</v>
      </c>
      <c r="AW351" s="14">
        <v>149.0</v>
      </c>
      <c r="AX351" s="14">
        <v>145.0</v>
      </c>
      <c r="AY351" s="14">
        <v>111.0</v>
      </c>
      <c r="AZ351" s="26"/>
      <c r="BA351" s="26"/>
      <c r="BB351" s="26"/>
      <c r="BC351" s="26"/>
    </row>
    <row r="352">
      <c r="A352" s="27">
        <f>HYPERLINK("https://arcprize.org/play?task=d6ad076f", 341)</f>
        <v>341</v>
      </c>
      <c r="B352" s="14">
        <v>108.0</v>
      </c>
      <c r="C352" s="14">
        <v>238.0</v>
      </c>
      <c r="D352" s="14">
        <v>115.0</v>
      </c>
      <c r="E352" s="14">
        <v>226.0</v>
      </c>
      <c r="F352" s="22">
        <v>114.0</v>
      </c>
      <c r="G352" s="14">
        <v>236.0</v>
      </c>
      <c r="H352" s="15"/>
      <c r="I352" s="15"/>
      <c r="J352" s="23">
        <v>121.0</v>
      </c>
      <c r="K352" s="14">
        <v>154.0</v>
      </c>
      <c r="L352" s="14">
        <v>133.0</v>
      </c>
      <c r="M352" s="22">
        <v>115.0</v>
      </c>
      <c r="N352" s="15"/>
      <c r="O352" s="15"/>
      <c r="P352" s="15"/>
      <c r="Q352" s="14">
        <v>234.0</v>
      </c>
      <c r="R352" s="24">
        <v>137.0</v>
      </c>
      <c r="S352" s="14">
        <v>325.0</v>
      </c>
      <c r="T352" s="15"/>
      <c r="U352" s="15"/>
      <c r="V352" s="31"/>
      <c r="W352" s="14">
        <v>148.0</v>
      </c>
      <c r="X352" s="14"/>
      <c r="Y352" s="14">
        <v>444.0</v>
      </c>
      <c r="Z352" s="25">
        <v>157.0</v>
      </c>
      <c r="AA352" s="25"/>
      <c r="AB352" s="25">
        <v>301.0</v>
      </c>
      <c r="AC352" s="14">
        <v>226.0</v>
      </c>
      <c r="AD352" s="14"/>
      <c r="AE352" s="14">
        <v>231.0</v>
      </c>
      <c r="AF352" s="14">
        <v>319.0</v>
      </c>
      <c r="AG352" s="14"/>
      <c r="AH352" s="14">
        <v>165.0</v>
      </c>
      <c r="AI352" s="14">
        <v>171.0</v>
      </c>
      <c r="AJ352" s="14">
        <v>226.0</v>
      </c>
      <c r="AK352" s="14"/>
      <c r="AL352" s="14">
        <v>226.0</v>
      </c>
      <c r="AM352" s="14">
        <v>205.0</v>
      </c>
      <c r="AN352" s="14">
        <v>226.0</v>
      </c>
      <c r="AO352" s="14">
        <v>138.0</v>
      </c>
      <c r="AP352" s="14">
        <v>209.0</v>
      </c>
      <c r="AQ352" s="14">
        <v>230.0</v>
      </c>
      <c r="AR352" s="14"/>
      <c r="AS352" s="14">
        <v>204.0</v>
      </c>
      <c r="AT352" s="14">
        <v>226.0</v>
      </c>
      <c r="AU352" s="14">
        <v>129.0</v>
      </c>
      <c r="AV352" s="14">
        <v>128.0</v>
      </c>
      <c r="AW352" s="14">
        <v>135.0</v>
      </c>
      <c r="AX352" s="14">
        <v>153.0</v>
      </c>
      <c r="AY352" s="14">
        <v>108.0</v>
      </c>
      <c r="AZ352" s="26"/>
      <c r="BA352" s="26"/>
      <c r="BB352" s="26"/>
      <c r="BC352" s="26"/>
    </row>
    <row r="353">
      <c r="A353" s="27">
        <f>HYPERLINK("https://arcprize.org/play?task=d89b689b", 342)</f>
        <v>342</v>
      </c>
      <c r="B353" s="14">
        <v>107.0</v>
      </c>
      <c r="C353" s="14">
        <v>220.0</v>
      </c>
      <c r="D353" s="14">
        <v>108.0</v>
      </c>
      <c r="E353" s="14">
        <v>207.0</v>
      </c>
      <c r="F353" s="22">
        <v>106.0</v>
      </c>
      <c r="G353" s="14">
        <v>214.0</v>
      </c>
      <c r="H353" s="14"/>
      <c r="I353" s="15"/>
      <c r="J353" s="23">
        <v>117.0</v>
      </c>
      <c r="K353" s="14">
        <v>130.0</v>
      </c>
      <c r="L353" s="14">
        <v>180.0</v>
      </c>
      <c r="M353" s="22">
        <v>130.0</v>
      </c>
      <c r="N353" s="15"/>
      <c r="O353" s="15"/>
      <c r="P353" s="15"/>
      <c r="Q353" s="14">
        <v>290.0</v>
      </c>
      <c r="R353" s="24">
        <v>136.0</v>
      </c>
      <c r="S353" s="15"/>
      <c r="T353" s="14">
        <v>136.0</v>
      </c>
      <c r="U353" s="14">
        <v>306.0</v>
      </c>
      <c r="V353" s="31"/>
      <c r="W353" s="14">
        <v>126.0</v>
      </c>
      <c r="X353" s="14">
        <v>284.0</v>
      </c>
      <c r="Y353" s="14">
        <v>281.0</v>
      </c>
      <c r="Z353" s="25">
        <v>136.0</v>
      </c>
      <c r="AA353" s="25"/>
      <c r="AB353" s="25">
        <v>227.0</v>
      </c>
      <c r="AC353" s="14">
        <v>207.0</v>
      </c>
      <c r="AD353" s="14"/>
      <c r="AE353" s="14">
        <v>207.0</v>
      </c>
      <c r="AF353" s="14">
        <v>284.0</v>
      </c>
      <c r="AG353" s="14">
        <v>301.0</v>
      </c>
      <c r="AH353" s="14">
        <v>135.0</v>
      </c>
      <c r="AI353" s="14">
        <v>199.0</v>
      </c>
      <c r="AJ353" s="14">
        <v>210.0</v>
      </c>
      <c r="AK353" s="14"/>
      <c r="AL353" s="14">
        <v>203.0</v>
      </c>
      <c r="AM353" s="14">
        <v>140.0</v>
      </c>
      <c r="AN353" s="14">
        <v>207.0</v>
      </c>
      <c r="AO353" s="14">
        <v>124.0</v>
      </c>
      <c r="AP353" s="14">
        <v>162.0</v>
      </c>
      <c r="AQ353" s="14">
        <v>139.0</v>
      </c>
      <c r="AR353" s="14"/>
      <c r="AS353" s="14">
        <v>155.0</v>
      </c>
      <c r="AT353" s="14">
        <v>207.0</v>
      </c>
      <c r="AU353" s="14">
        <v>111.0</v>
      </c>
      <c r="AV353" s="14">
        <v>128.0</v>
      </c>
      <c r="AW353" s="14">
        <v>125.0</v>
      </c>
      <c r="AX353" s="14">
        <v>138.0</v>
      </c>
      <c r="AY353" s="14">
        <v>106.0</v>
      </c>
      <c r="AZ353" s="26"/>
      <c r="BA353" s="26"/>
      <c r="BB353" s="26"/>
      <c r="BC353" s="26"/>
    </row>
    <row r="354">
      <c r="A354" s="27">
        <f>HYPERLINK("https://arcprize.org/play?task=d8c310e9", 343)</f>
        <v>343</v>
      </c>
      <c r="B354" s="14">
        <v>64.0</v>
      </c>
      <c r="C354" s="14">
        <v>65.0</v>
      </c>
      <c r="D354" s="14">
        <v>64.0</v>
      </c>
      <c r="E354" s="14">
        <v>65.0</v>
      </c>
      <c r="F354" s="22">
        <v>63.0</v>
      </c>
      <c r="G354" s="14">
        <v>363.0</v>
      </c>
      <c r="H354" s="15"/>
      <c r="I354" s="15"/>
      <c r="J354" s="23">
        <v>65.0</v>
      </c>
      <c r="K354" s="14">
        <v>65.0</v>
      </c>
      <c r="L354" s="14">
        <v>65.0</v>
      </c>
      <c r="M354" s="22">
        <v>65.0</v>
      </c>
      <c r="N354" s="15"/>
      <c r="O354" s="15"/>
      <c r="P354" s="15">
        <v>147.0</v>
      </c>
      <c r="Q354" s="14">
        <v>228.0</v>
      </c>
      <c r="R354" s="24">
        <v>65.0</v>
      </c>
      <c r="S354" s="14">
        <v>146.0</v>
      </c>
      <c r="T354" s="15"/>
      <c r="U354" s="15"/>
      <c r="V354" s="31"/>
      <c r="W354" s="14">
        <v>76.0</v>
      </c>
      <c r="X354" s="14"/>
      <c r="Y354" s="14">
        <v>257.0</v>
      </c>
      <c r="Z354" s="25">
        <v>65.0</v>
      </c>
      <c r="AA354" s="25"/>
      <c r="AB354" s="25">
        <v>190.0</v>
      </c>
      <c r="AC354" s="14">
        <v>65.0</v>
      </c>
      <c r="AD354" s="14">
        <v>65.0</v>
      </c>
      <c r="AE354" s="14">
        <v>157.0</v>
      </c>
      <c r="AF354" s="14">
        <v>389.0</v>
      </c>
      <c r="AG354" s="14"/>
      <c r="AH354" s="14">
        <v>102.0</v>
      </c>
      <c r="AI354" s="14">
        <v>65.0</v>
      </c>
      <c r="AJ354" s="14">
        <v>216.0</v>
      </c>
      <c r="AK354" s="14"/>
      <c r="AL354" s="14">
        <v>65.0</v>
      </c>
      <c r="AM354" s="14">
        <v>65.0</v>
      </c>
      <c r="AN354" s="14">
        <v>65.0</v>
      </c>
      <c r="AO354" s="14">
        <v>65.0</v>
      </c>
      <c r="AP354" s="14">
        <v>65.0</v>
      </c>
      <c r="AQ354" s="14">
        <v>65.0</v>
      </c>
      <c r="AR354" s="14"/>
      <c r="AS354" s="14">
        <v>65.0</v>
      </c>
      <c r="AT354" s="14">
        <v>65.0</v>
      </c>
      <c r="AU354" s="14">
        <v>65.0</v>
      </c>
      <c r="AV354" s="14">
        <v>65.0</v>
      </c>
      <c r="AW354" s="14">
        <v>65.0</v>
      </c>
      <c r="AX354" s="14">
        <v>65.0</v>
      </c>
      <c r="AY354" s="14">
        <v>63.0</v>
      </c>
      <c r="AZ354" s="26"/>
      <c r="BA354" s="26"/>
      <c r="BB354" s="26"/>
      <c r="BC354" s="26"/>
    </row>
    <row r="355">
      <c r="A355" s="27">
        <f>HYPERLINK("https://arcprize.org/play?task=d90796e8", 344)</f>
        <v>344</v>
      </c>
      <c r="B355" s="14">
        <v>77.0</v>
      </c>
      <c r="C355" s="14">
        <v>190.0</v>
      </c>
      <c r="D355" s="14">
        <v>74.0</v>
      </c>
      <c r="E355" s="14">
        <v>190.0</v>
      </c>
      <c r="F355" s="22">
        <v>77.0</v>
      </c>
      <c r="G355" s="14">
        <v>190.0</v>
      </c>
      <c r="H355" s="14"/>
      <c r="I355" s="15"/>
      <c r="J355" s="23">
        <v>79.0</v>
      </c>
      <c r="K355" s="14">
        <v>79.0</v>
      </c>
      <c r="L355" s="14">
        <v>80.0</v>
      </c>
      <c r="M355" s="22">
        <v>78.0</v>
      </c>
      <c r="N355" s="15"/>
      <c r="O355" s="15"/>
      <c r="P355" s="15"/>
      <c r="Q355" s="14">
        <v>195.0</v>
      </c>
      <c r="R355" s="24">
        <v>79.0</v>
      </c>
      <c r="S355" s="15"/>
      <c r="T355" s="15"/>
      <c r="U355" s="14">
        <v>190.0</v>
      </c>
      <c r="V355" s="31"/>
      <c r="W355" s="14">
        <v>78.0</v>
      </c>
      <c r="X355" s="14">
        <v>190.0</v>
      </c>
      <c r="Y355" s="14">
        <v>190.0</v>
      </c>
      <c r="Z355" s="25">
        <v>78.0</v>
      </c>
      <c r="AA355" s="25"/>
      <c r="AB355" s="25">
        <v>190.0</v>
      </c>
      <c r="AC355" s="14">
        <v>190.0</v>
      </c>
      <c r="AD355" s="14"/>
      <c r="AE355" s="14">
        <v>190.0</v>
      </c>
      <c r="AF355" s="14">
        <v>190.0</v>
      </c>
      <c r="AG355" s="14">
        <v>190.0</v>
      </c>
      <c r="AH355" s="14">
        <v>156.0</v>
      </c>
      <c r="AI355" s="14">
        <v>79.0</v>
      </c>
      <c r="AJ355" s="14">
        <v>190.0</v>
      </c>
      <c r="AK355" s="14"/>
      <c r="AL355" s="14">
        <v>190.0</v>
      </c>
      <c r="AM355" s="14">
        <v>147.0</v>
      </c>
      <c r="AN355" s="14">
        <v>190.0</v>
      </c>
      <c r="AO355" s="14">
        <v>77.0</v>
      </c>
      <c r="AP355" s="14">
        <v>95.0</v>
      </c>
      <c r="AQ355" s="14">
        <v>120.0</v>
      </c>
      <c r="AR355" s="14"/>
      <c r="AS355" s="14">
        <v>79.0</v>
      </c>
      <c r="AT355" s="14">
        <v>190.0</v>
      </c>
      <c r="AU355" s="14">
        <v>78.0</v>
      </c>
      <c r="AV355" s="14">
        <v>79.0</v>
      </c>
      <c r="AW355" s="14">
        <v>77.0</v>
      </c>
      <c r="AX355" s="14">
        <v>79.0</v>
      </c>
      <c r="AY355" s="14">
        <v>74.0</v>
      </c>
      <c r="AZ355" s="26"/>
      <c r="BA355" s="26"/>
      <c r="BB355" s="26"/>
      <c r="BC355" s="26"/>
    </row>
    <row r="356">
      <c r="A356" s="27">
        <f>HYPERLINK("https://arcprize.org/play?task=d9f24cd1", 345)</f>
        <v>345</v>
      </c>
      <c r="B356" s="14">
        <v>90.0</v>
      </c>
      <c r="C356" s="14">
        <v>155.0</v>
      </c>
      <c r="D356" s="14">
        <v>89.0</v>
      </c>
      <c r="E356" s="14">
        <v>155.0</v>
      </c>
      <c r="F356" s="22">
        <v>90.0</v>
      </c>
      <c r="G356" s="14">
        <v>155.0</v>
      </c>
      <c r="H356" s="14"/>
      <c r="I356" s="15"/>
      <c r="J356" s="23">
        <v>93.0</v>
      </c>
      <c r="K356" s="14">
        <v>100.0</v>
      </c>
      <c r="L356" s="14">
        <v>133.0</v>
      </c>
      <c r="M356" s="22">
        <v>93.0</v>
      </c>
      <c r="N356" s="15"/>
      <c r="O356" s="15"/>
      <c r="P356" s="15"/>
      <c r="Q356" s="14">
        <v>170.0</v>
      </c>
      <c r="R356" s="24">
        <v>101.0</v>
      </c>
      <c r="S356" s="14">
        <v>140.0</v>
      </c>
      <c r="T356" s="14">
        <v>131.0</v>
      </c>
      <c r="U356" s="14">
        <v>163.0</v>
      </c>
      <c r="V356" s="31"/>
      <c r="W356" s="14">
        <v>95.0</v>
      </c>
      <c r="X356" s="14">
        <v>163.0</v>
      </c>
      <c r="Y356" s="14">
        <v>163.0</v>
      </c>
      <c r="Z356" s="25">
        <v>105.0</v>
      </c>
      <c r="AA356" s="25"/>
      <c r="AB356" s="25">
        <v>127.0</v>
      </c>
      <c r="AC356" s="14">
        <v>155.0</v>
      </c>
      <c r="AD356" s="14"/>
      <c r="AE356" s="14">
        <v>155.0</v>
      </c>
      <c r="AF356" s="14">
        <v>163.0</v>
      </c>
      <c r="AG356" s="14">
        <v>163.0</v>
      </c>
      <c r="AH356" s="14">
        <v>150.0</v>
      </c>
      <c r="AI356" s="14">
        <v>145.0</v>
      </c>
      <c r="AJ356" s="14">
        <v>155.0</v>
      </c>
      <c r="AK356" s="14"/>
      <c r="AL356" s="14">
        <v>155.0</v>
      </c>
      <c r="AM356" s="14">
        <v>127.0</v>
      </c>
      <c r="AN356" s="14">
        <v>155.0</v>
      </c>
      <c r="AO356" s="14">
        <v>95.0</v>
      </c>
      <c r="AP356" s="14">
        <v>128.0</v>
      </c>
      <c r="AQ356" s="14">
        <v>112.0</v>
      </c>
      <c r="AR356" s="14"/>
      <c r="AS356" s="14">
        <v>103.0</v>
      </c>
      <c r="AT356" s="14">
        <v>155.0</v>
      </c>
      <c r="AU356" s="14">
        <v>108.0</v>
      </c>
      <c r="AV356" s="14">
        <v>95.0</v>
      </c>
      <c r="AW356" s="14">
        <v>95.0</v>
      </c>
      <c r="AX356" s="14">
        <v>110.0</v>
      </c>
      <c r="AY356" s="14">
        <v>89.0</v>
      </c>
      <c r="AZ356" s="26"/>
      <c r="BA356" s="26"/>
      <c r="BB356" s="26"/>
      <c r="BC356" s="26"/>
    </row>
    <row r="357">
      <c r="A357" s="27">
        <f>HYPERLINK("https://arcprize.org/play?task=d9fac9be", 346)</f>
        <v>346</v>
      </c>
      <c r="B357" s="14">
        <v>55.0</v>
      </c>
      <c r="C357" s="14">
        <v>133.0</v>
      </c>
      <c r="D357" s="14">
        <v>52.0</v>
      </c>
      <c r="E357" s="14">
        <v>133.0</v>
      </c>
      <c r="F357" s="22">
        <v>58.0</v>
      </c>
      <c r="G357" s="14">
        <v>147.0</v>
      </c>
      <c r="H357" s="14"/>
      <c r="I357" s="15"/>
      <c r="J357" s="23">
        <v>55.0</v>
      </c>
      <c r="K357" s="14">
        <v>77.0</v>
      </c>
      <c r="L357" s="14">
        <v>113.0</v>
      </c>
      <c r="M357" s="22">
        <v>55.0</v>
      </c>
      <c r="N357" s="15"/>
      <c r="O357" s="15"/>
      <c r="P357" s="15"/>
      <c r="Q357" s="14">
        <v>247.0</v>
      </c>
      <c r="R357" s="24">
        <v>73.0</v>
      </c>
      <c r="S357" s="15"/>
      <c r="T357" s="14">
        <v>143.0</v>
      </c>
      <c r="U357" s="14">
        <v>244.0</v>
      </c>
      <c r="V357" s="31"/>
      <c r="W357" s="14">
        <v>68.0</v>
      </c>
      <c r="X357" s="14">
        <v>244.0</v>
      </c>
      <c r="Y357" s="14">
        <v>242.0</v>
      </c>
      <c r="Z357" s="25">
        <v>73.0</v>
      </c>
      <c r="AA357" s="25"/>
      <c r="AB357" s="25">
        <v>166.0</v>
      </c>
      <c r="AC357" s="14">
        <v>179.0</v>
      </c>
      <c r="AD357" s="14"/>
      <c r="AE357" s="14">
        <v>179.0</v>
      </c>
      <c r="AF357" s="14">
        <v>244.0</v>
      </c>
      <c r="AG357" s="14">
        <v>180.0</v>
      </c>
      <c r="AH357" s="14">
        <v>107.0</v>
      </c>
      <c r="AI357" s="14">
        <v>133.0</v>
      </c>
      <c r="AJ357" s="14">
        <v>166.0</v>
      </c>
      <c r="AK357" s="14"/>
      <c r="AL357" s="14">
        <v>128.0</v>
      </c>
      <c r="AM357" s="14">
        <v>118.0</v>
      </c>
      <c r="AN357" s="14">
        <v>129.0</v>
      </c>
      <c r="AO357" s="14">
        <v>67.0</v>
      </c>
      <c r="AP357" s="14">
        <v>128.0</v>
      </c>
      <c r="AQ357" s="14">
        <v>121.0</v>
      </c>
      <c r="AR357" s="14"/>
      <c r="AS357" s="14">
        <v>88.0</v>
      </c>
      <c r="AT357" s="14">
        <v>133.0</v>
      </c>
      <c r="AU357" s="14">
        <v>56.0</v>
      </c>
      <c r="AV357" s="14">
        <v>88.0</v>
      </c>
      <c r="AW357" s="14">
        <v>69.0</v>
      </c>
      <c r="AX357" s="14">
        <v>71.0</v>
      </c>
      <c r="AY357" s="14">
        <v>52.0</v>
      </c>
      <c r="AZ357" s="26"/>
      <c r="BA357" s="26"/>
      <c r="BB357" s="26"/>
      <c r="BC357" s="26"/>
    </row>
    <row r="358">
      <c r="A358" s="27">
        <f>HYPERLINK("https://arcprize.org/play?task=dae9d2b5", 347)</f>
        <v>347</v>
      </c>
      <c r="B358" s="14">
        <v>50.0</v>
      </c>
      <c r="C358" s="14">
        <v>120.0</v>
      </c>
      <c r="D358" s="14">
        <v>50.0</v>
      </c>
      <c r="E358" s="14">
        <v>120.0</v>
      </c>
      <c r="F358" s="22">
        <v>50.0</v>
      </c>
      <c r="G358" s="14">
        <v>120.0</v>
      </c>
      <c r="H358" s="14">
        <v>54.0</v>
      </c>
      <c r="I358" s="14">
        <v>54.0</v>
      </c>
      <c r="J358" s="23">
        <v>50.0</v>
      </c>
      <c r="K358" s="14">
        <v>50.0</v>
      </c>
      <c r="L358" s="14">
        <v>56.0</v>
      </c>
      <c r="M358" s="22">
        <v>50.0</v>
      </c>
      <c r="N358" s="14"/>
      <c r="O358" s="14"/>
      <c r="P358" s="14"/>
      <c r="Q358" s="14">
        <v>61.0</v>
      </c>
      <c r="R358" s="24">
        <v>54.0</v>
      </c>
      <c r="S358" s="14">
        <v>65.0</v>
      </c>
      <c r="T358" s="14">
        <v>57.0</v>
      </c>
      <c r="U358" s="14">
        <v>120.0</v>
      </c>
      <c r="V358" s="29">
        <v>56.0</v>
      </c>
      <c r="W358" s="14">
        <v>50.0</v>
      </c>
      <c r="X358" s="14">
        <v>120.0</v>
      </c>
      <c r="Y358" s="14">
        <v>120.0</v>
      </c>
      <c r="Z358" s="25">
        <v>50.0</v>
      </c>
      <c r="AA358" s="25"/>
      <c r="AB358" s="25">
        <v>63.0</v>
      </c>
      <c r="AC358" s="14">
        <v>120.0</v>
      </c>
      <c r="AD358" s="14"/>
      <c r="AE358" s="14">
        <v>120.0</v>
      </c>
      <c r="AF358" s="14">
        <v>120.0</v>
      </c>
      <c r="AG358" s="14">
        <v>120.0</v>
      </c>
      <c r="AH358" s="14">
        <v>54.0</v>
      </c>
      <c r="AI358" s="14">
        <v>57.0</v>
      </c>
      <c r="AJ358" s="14">
        <v>57.0</v>
      </c>
      <c r="AK358" s="14">
        <v>56.0</v>
      </c>
      <c r="AL358" s="14">
        <v>57.0</v>
      </c>
      <c r="AM358" s="14">
        <v>57.0</v>
      </c>
      <c r="AN358" s="14">
        <v>120.0</v>
      </c>
      <c r="AO358" s="14">
        <v>50.0</v>
      </c>
      <c r="AP358" s="14">
        <v>54.0</v>
      </c>
      <c r="AQ358" s="14">
        <v>54.0</v>
      </c>
      <c r="AR358" s="14"/>
      <c r="AS358" s="14">
        <v>56.0</v>
      </c>
      <c r="AT358" s="14">
        <v>57.0</v>
      </c>
      <c r="AU358" s="14">
        <v>53.0</v>
      </c>
      <c r="AV358" s="14">
        <v>54.0</v>
      </c>
      <c r="AW358" s="14">
        <v>50.0</v>
      </c>
      <c r="AX358" s="14">
        <v>50.0</v>
      </c>
      <c r="AY358" s="14">
        <v>50.0</v>
      </c>
      <c r="AZ358" s="26"/>
      <c r="BA358" s="26"/>
      <c r="BB358" s="26"/>
      <c r="BC358" s="26"/>
    </row>
    <row r="359">
      <c r="A359" s="27">
        <f>HYPERLINK("https://arcprize.org/play?task=db3e9e38", 348)</f>
        <v>348</v>
      </c>
      <c r="B359" s="14">
        <v>88.0</v>
      </c>
      <c r="C359" s="14">
        <v>221.0</v>
      </c>
      <c r="D359" s="14">
        <v>94.0</v>
      </c>
      <c r="E359" s="14">
        <v>206.0</v>
      </c>
      <c r="F359" s="22">
        <v>92.0</v>
      </c>
      <c r="G359" s="14">
        <v>216.0</v>
      </c>
      <c r="H359" s="15"/>
      <c r="I359" s="15"/>
      <c r="J359" s="23">
        <v>105.0</v>
      </c>
      <c r="K359" s="14">
        <v>103.0</v>
      </c>
      <c r="L359" s="14">
        <v>110.0</v>
      </c>
      <c r="M359" s="22">
        <v>110.0</v>
      </c>
      <c r="N359" s="15"/>
      <c r="O359" s="15"/>
      <c r="P359" s="15"/>
      <c r="Q359" s="14">
        <v>228.0</v>
      </c>
      <c r="R359" s="24">
        <v>114.0</v>
      </c>
      <c r="S359" s="15"/>
      <c r="T359" s="15"/>
      <c r="U359" s="14">
        <v>183.0</v>
      </c>
      <c r="V359" s="31"/>
      <c r="W359" s="14">
        <v>106.0</v>
      </c>
      <c r="X359" s="14">
        <v>221.0</v>
      </c>
      <c r="Y359" s="14">
        <v>221.0</v>
      </c>
      <c r="Z359" s="25">
        <v>106.0</v>
      </c>
      <c r="AA359" s="25"/>
      <c r="AB359" s="25">
        <v>155.0</v>
      </c>
      <c r="AC359" s="14">
        <v>206.0</v>
      </c>
      <c r="AD359" s="14"/>
      <c r="AE359" s="14">
        <v>206.0</v>
      </c>
      <c r="AF359" s="14">
        <v>221.0</v>
      </c>
      <c r="AG359" s="14">
        <v>221.0</v>
      </c>
      <c r="AH359" s="14">
        <v>119.0</v>
      </c>
      <c r="AI359" s="14">
        <v>119.0</v>
      </c>
      <c r="AJ359" s="14">
        <v>147.0</v>
      </c>
      <c r="AK359" s="14"/>
      <c r="AL359" s="14">
        <v>199.0</v>
      </c>
      <c r="AM359" s="14">
        <v>114.0</v>
      </c>
      <c r="AN359" s="14">
        <v>206.0</v>
      </c>
      <c r="AO359" s="14">
        <v>101.0</v>
      </c>
      <c r="AP359" s="14">
        <v>154.0</v>
      </c>
      <c r="AQ359" s="14">
        <v>126.0</v>
      </c>
      <c r="AR359" s="14"/>
      <c r="AS359" s="14">
        <v>109.0</v>
      </c>
      <c r="AT359" s="14">
        <v>144.0</v>
      </c>
      <c r="AU359" s="14">
        <v>101.0</v>
      </c>
      <c r="AV359" s="14">
        <v>101.0</v>
      </c>
      <c r="AW359" s="14">
        <v>103.0</v>
      </c>
      <c r="AX359" s="14">
        <v>110.0</v>
      </c>
      <c r="AY359" s="14">
        <v>88.0</v>
      </c>
      <c r="AZ359" s="26"/>
      <c r="BA359" s="26"/>
      <c r="BB359" s="26"/>
      <c r="BC359" s="26"/>
    </row>
    <row r="360">
      <c r="A360" s="27">
        <f>HYPERLINK("https://arcprize.org/play?task=db93a21d", 349)</f>
        <v>349</v>
      </c>
      <c r="B360" s="14">
        <v>172.0</v>
      </c>
      <c r="C360" s="14">
        <v>453.0</v>
      </c>
      <c r="D360" s="14">
        <v>203.0</v>
      </c>
      <c r="E360" s="14">
        <v>529.0</v>
      </c>
      <c r="F360" s="22">
        <v>192.0</v>
      </c>
      <c r="G360" s="14">
        <v>583.0</v>
      </c>
      <c r="H360" s="15"/>
      <c r="I360" s="15"/>
      <c r="J360" s="23">
        <v>228.0</v>
      </c>
      <c r="K360" s="14">
        <v>214.0</v>
      </c>
      <c r="L360" s="14">
        <v>303.0</v>
      </c>
      <c r="M360" s="22">
        <v>213.0</v>
      </c>
      <c r="N360" s="15"/>
      <c r="O360" s="15"/>
      <c r="P360" s="15"/>
      <c r="Q360" s="14">
        <v>330.0</v>
      </c>
      <c r="R360" s="24">
        <v>255.0</v>
      </c>
      <c r="S360" s="15"/>
      <c r="T360" s="15"/>
      <c r="U360" s="15"/>
      <c r="V360" s="31"/>
      <c r="W360" s="15"/>
      <c r="X360" s="14"/>
      <c r="Y360" s="14">
        <v>525.0</v>
      </c>
      <c r="Z360" s="25">
        <v>221.0</v>
      </c>
      <c r="AA360" s="25"/>
      <c r="AB360" s="25">
        <v>414.0</v>
      </c>
      <c r="AC360" s="14">
        <v>412.0</v>
      </c>
      <c r="AD360" s="14"/>
      <c r="AE360" s="14">
        <v>343.0</v>
      </c>
      <c r="AF360" s="14">
        <v>517.0</v>
      </c>
      <c r="AG360" s="14"/>
      <c r="AH360" s="14">
        <v>297.0</v>
      </c>
      <c r="AI360" s="14">
        <v>277.0</v>
      </c>
      <c r="AJ360" s="14">
        <v>318.0</v>
      </c>
      <c r="AK360" s="14"/>
      <c r="AL360" s="14">
        <v>309.0</v>
      </c>
      <c r="AM360" s="14">
        <v>310.0</v>
      </c>
      <c r="AN360" s="14">
        <v>469.0</v>
      </c>
      <c r="AO360" s="14">
        <v>214.0</v>
      </c>
      <c r="AP360" s="14">
        <v>323.0</v>
      </c>
      <c r="AQ360" s="14">
        <v>275.0</v>
      </c>
      <c r="AR360" s="14"/>
      <c r="AS360" s="14">
        <v>262.0</v>
      </c>
      <c r="AT360" s="14">
        <v>296.0</v>
      </c>
      <c r="AU360" s="14">
        <v>205.0</v>
      </c>
      <c r="AV360" s="14">
        <v>223.0</v>
      </c>
      <c r="AW360" s="14">
        <v>192.0</v>
      </c>
      <c r="AX360" s="14">
        <v>244.0</v>
      </c>
      <c r="AY360" s="14">
        <v>162.0</v>
      </c>
      <c r="AZ360" s="26"/>
      <c r="BA360" s="26"/>
      <c r="BB360" s="26"/>
      <c r="BC360" s="26"/>
    </row>
    <row r="361">
      <c r="A361" s="27">
        <f>HYPERLINK("https://arcprize.org/play?task=dbc1a6ce", 350)</f>
        <v>350</v>
      </c>
      <c r="B361" s="14">
        <v>91.0</v>
      </c>
      <c r="C361" s="14">
        <v>275.0</v>
      </c>
      <c r="D361" s="14">
        <v>89.0</v>
      </c>
      <c r="E361" s="14">
        <v>244.0</v>
      </c>
      <c r="F361" s="22">
        <v>92.0</v>
      </c>
      <c r="G361" s="14">
        <v>267.0</v>
      </c>
      <c r="H361" s="14"/>
      <c r="I361" s="15"/>
      <c r="J361" s="23">
        <v>100.0</v>
      </c>
      <c r="K361" s="14">
        <v>103.0</v>
      </c>
      <c r="L361" s="14">
        <v>100.0</v>
      </c>
      <c r="M361" s="22">
        <v>96.0</v>
      </c>
      <c r="N361" s="15"/>
      <c r="O361" s="15"/>
      <c r="P361" s="15"/>
      <c r="Q361" s="14">
        <v>276.0</v>
      </c>
      <c r="R361" s="24">
        <v>114.0</v>
      </c>
      <c r="S361" s="14">
        <v>153.0</v>
      </c>
      <c r="T361" s="15"/>
      <c r="U361" s="14">
        <v>348.0</v>
      </c>
      <c r="V361" s="29">
        <v>101.0</v>
      </c>
      <c r="W361" s="14">
        <v>96.0</v>
      </c>
      <c r="X361" s="14">
        <v>273.0</v>
      </c>
      <c r="Y361" s="14">
        <v>273.0</v>
      </c>
      <c r="Z361" s="25">
        <v>100.0</v>
      </c>
      <c r="AA361" s="25"/>
      <c r="AB361" s="25">
        <v>223.0</v>
      </c>
      <c r="AC361" s="14">
        <v>244.0</v>
      </c>
      <c r="AD361" s="14"/>
      <c r="AE361" s="14">
        <v>244.0</v>
      </c>
      <c r="AF361" s="14">
        <v>273.0</v>
      </c>
      <c r="AG361" s="14">
        <v>406.0</v>
      </c>
      <c r="AH361" s="14">
        <v>122.0</v>
      </c>
      <c r="AI361" s="14">
        <v>103.0</v>
      </c>
      <c r="AJ361" s="14">
        <v>184.0</v>
      </c>
      <c r="AK361" s="14"/>
      <c r="AL361" s="14">
        <v>158.0</v>
      </c>
      <c r="AM361" s="14">
        <v>105.0</v>
      </c>
      <c r="AN361" s="14">
        <v>244.0</v>
      </c>
      <c r="AO361" s="14">
        <v>99.0</v>
      </c>
      <c r="AP361" s="14">
        <v>147.0</v>
      </c>
      <c r="AQ361" s="14">
        <v>133.0</v>
      </c>
      <c r="AR361" s="14"/>
      <c r="AS361" s="14">
        <v>97.0</v>
      </c>
      <c r="AT361" s="14">
        <v>226.0</v>
      </c>
      <c r="AU361" s="14">
        <v>102.0</v>
      </c>
      <c r="AV361" s="14">
        <v>97.0</v>
      </c>
      <c r="AW361" s="14">
        <v>101.0</v>
      </c>
      <c r="AX361" s="14">
        <v>105.0</v>
      </c>
      <c r="AY361" s="14">
        <v>89.0</v>
      </c>
      <c r="AZ361" s="26"/>
      <c r="BA361" s="26"/>
      <c r="BB361" s="26"/>
      <c r="BC361" s="26"/>
    </row>
    <row r="362">
      <c r="A362" s="27">
        <f>HYPERLINK("https://arcprize.org/play?task=dc0a314f", 351)</f>
        <v>351</v>
      </c>
      <c r="B362" s="14">
        <v>67.0</v>
      </c>
      <c r="C362" s="14">
        <v>248.0</v>
      </c>
      <c r="D362" s="14">
        <v>66.0</v>
      </c>
      <c r="E362" s="14">
        <v>248.0</v>
      </c>
      <c r="F362" s="22">
        <v>67.0</v>
      </c>
      <c r="G362" s="14">
        <v>265.0</v>
      </c>
      <c r="H362" s="14">
        <v>93.0</v>
      </c>
      <c r="I362" s="15"/>
      <c r="J362" s="23">
        <v>67.0</v>
      </c>
      <c r="K362" s="14">
        <v>70.0</v>
      </c>
      <c r="L362" s="14">
        <v>80.0</v>
      </c>
      <c r="M362" s="22">
        <v>67.0</v>
      </c>
      <c r="N362" s="15"/>
      <c r="O362" s="15"/>
      <c r="P362" s="15"/>
      <c r="Q362" s="15">
        <v>82.0</v>
      </c>
      <c r="R362" s="24">
        <v>82.0</v>
      </c>
      <c r="S362" s="15"/>
      <c r="T362" s="14">
        <v>85.0</v>
      </c>
      <c r="U362" s="14">
        <v>423.0</v>
      </c>
      <c r="V362" s="29">
        <v>80.0</v>
      </c>
      <c r="W362" s="14">
        <v>69.0</v>
      </c>
      <c r="X362" s="14">
        <v>272.0</v>
      </c>
      <c r="Y362" s="14">
        <v>268.0</v>
      </c>
      <c r="Z362" s="25">
        <v>67.0</v>
      </c>
      <c r="AA362" s="25"/>
      <c r="AB362" s="25">
        <v>200.0</v>
      </c>
      <c r="AC362" s="14">
        <v>248.0</v>
      </c>
      <c r="AD362" s="14"/>
      <c r="AE362" s="14">
        <v>248.0</v>
      </c>
      <c r="AF362" s="14">
        <v>276.0</v>
      </c>
      <c r="AG362" s="14"/>
      <c r="AH362" s="14">
        <v>80.0</v>
      </c>
      <c r="AI362" s="14">
        <v>82.0</v>
      </c>
      <c r="AJ362" s="14">
        <v>246.0</v>
      </c>
      <c r="AK362" s="14"/>
      <c r="AL362" s="14">
        <v>86.0</v>
      </c>
      <c r="AM362" s="14">
        <v>69.0</v>
      </c>
      <c r="AN362" s="14">
        <v>248.0</v>
      </c>
      <c r="AO362" s="14">
        <v>67.0</v>
      </c>
      <c r="AP362" s="14">
        <v>183.0</v>
      </c>
      <c r="AQ362" s="14">
        <v>86.0</v>
      </c>
      <c r="AR362" s="14"/>
      <c r="AS362" s="14">
        <v>68.0</v>
      </c>
      <c r="AT362" s="14">
        <v>140.0</v>
      </c>
      <c r="AU362" s="14">
        <v>70.0</v>
      </c>
      <c r="AV362" s="14">
        <v>67.0</v>
      </c>
      <c r="AW362" s="14">
        <v>67.0</v>
      </c>
      <c r="AX362" s="14">
        <v>67.0</v>
      </c>
      <c r="AY362" s="14">
        <v>66.0</v>
      </c>
      <c r="AZ362" s="26"/>
      <c r="BA362" s="26"/>
      <c r="BB362" s="26"/>
      <c r="BC362" s="26"/>
    </row>
    <row r="363">
      <c r="A363" s="27">
        <f>HYPERLINK("https://arcprize.org/play?task=dc1df850", 352)</f>
        <v>352</v>
      </c>
      <c r="B363" s="14">
        <v>82.0</v>
      </c>
      <c r="C363" s="14">
        <v>228.0</v>
      </c>
      <c r="D363" s="14">
        <v>82.0</v>
      </c>
      <c r="E363" s="14">
        <v>211.0</v>
      </c>
      <c r="F363" s="22">
        <v>82.0</v>
      </c>
      <c r="G363" s="14">
        <v>179.0</v>
      </c>
      <c r="H363" s="14"/>
      <c r="I363" s="15"/>
      <c r="J363" s="23">
        <v>88.0</v>
      </c>
      <c r="K363" s="14">
        <v>105.0</v>
      </c>
      <c r="L363" s="14">
        <v>106.0</v>
      </c>
      <c r="M363" s="22">
        <v>83.0</v>
      </c>
      <c r="N363" s="15"/>
      <c r="O363" s="15"/>
      <c r="P363" s="15"/>
      <c r="Q363" s="14">
        <v>232.0</v>
      </c>
      <c r="R363" s="24">
        <v>108.0</v>
      </c>
      <c r="S363" s="15"/>
      <c r="T363" s="15"/>
      <c r="U363" s="14">
        <v>250.0</v>
      </c>
      <c r="V363" s="29">
        <v>112.0</v>
      </c>
      <c r="W363" s="14">
        <v>84.0</v>
      </c>
      <c r="X363" s="14">
        <v>231.0</v>
      </c>
      <c r="Y363" s="14">
        <v>228.0</v>
      </c>
      <c r="Z363" s="25">
        <v>91.0</v>
      </c>
      <c r="AA363" s="25"/>
      <c r="AB363" s="25">
        <v>148.0</v>
      </c>
      <c r="AC363" s="14">
        <v>211.0</v>
      </c>
      <c r="AD363" s="14"/>
      <c r="AE363" s="14">
        <v>211.0</v>
      </c>
      <c r="AF363" s="14">
        <v>231.0</v>
      </c>
      <c r="AG363" s="14">
        <v>223.0</v>
      </c>
      <c r="AH363" s="14">
        <v>108.0</v>
      </c>
      <c r="AI363" s="14">
        <v>170.0</v>
      </c>
      <c r="AJ363" s="14">
        <v>193.0</v>
      </c>
      <c r="AK363" s="14"/>
      <c r="AL363" s="14">
        <v>210.0</v>
      </c>
      <c r="AM363" s="14">
        <v>109.0</v>
      </c>
      <c r="AN363" s="14">
        <v>214.0</v>
      </c>
      <c r="AO363" s="14">
        <v>105.0</v>
      </c>
      <c r="AP363" s="14">
        <v>108.0</v>
      </c>
      <c r="AQ363" s="14">
        <v>119.0</v>
      </c>
      <c r="AR363" s="14"/>
      <c r="AS363" s="14">
        <v>118.0</v>
      </c>
      <c r="AT363" s="14">
        <v>137.0</v>
      </c>
      <c r="AU363" s="14">
        <v>90.0</v>
      </c>
      <c r="AV363" s="14">
        <v>90.0</v>
      </c>
      <c r="AW363" s="14">
        <v>91.0</v>
      </c>
      <c r="AX363" s="14">
        <v>108.0</v>
      </c>
      <c r="AY363" s="14">
        <v>82.0</v>
      </c>
      <c r="AZ363" s="26"/>
      <c r="BA363" s="26"/>
      <c r="BB363" s="26"/>
      <c r="BC363" s="26"/>
    </row>
    <row r="364">
      <c r="A364" s="27">
        <f>HYPERLINK("https://arcprize.org/play?task=dc433765", 353)</f>
        <v>353</v>
      </c>
      <c r="B364" s="14">
        <v>87.0</v>
      </c>
      <c r="C364" s="14">
        <v>144.0</v>
      </c>
      <c r="D364" s="14">
        <v>83.0</v>
      </c>
      <c r="E364" s="14">
        <v>144.0</v>
      </c>
      <c r="F364" s="22">
        <v>83.0</v>
      </c>
      <c r="G364" s="14">
        <v>144.0</v>
      </c>
      <c r="H364" s="14"/>
      <c r="I364" s="14">
        <v>140.0</v>
      </c>
      <c r="J364" s="23">
        <v>111.0</v>
      </c>
      <c r="K364" s="14">
        <v>125.0</v>
      </c>
      <c r="L364" s="14">
        <v>126.0</v>
      </c>
      <c r="M364" s="22">
        <v>85.0</v>
      </c>
      <c r="N364" s="14"/>
      <c r="O364" s="14"/>
      <c r="P364" s="14"/>
      <c r="Q364" s="14">
        <v>144.0</v>
      </c>
      <c r="R364" s="24">
        <v>125.0</v>
      </c>
      <c r="S364" s="14">
        <v>217.0</v>
      </c>
      <c r="T364" s="14">
        <v>126.0</v>
      </c>
      <c r="U364" s="14">
        <v>144.0</v>
      </c>
      <c r="V364" s="29">
        <v>126.0</v>
      </c>
      <c r="W364" s="14">
        <v>115.0</v>
      </c>
      <c r="X364" s="14">
        <v>144.0</v>
      </c>
      <c r="Y364" s="14">
        <v>144.0</v>
      </c>
      <c r="Z364" s="25">
        <v>126.0</v>
      </c>
      <c r="AA364" s="25"/>
      <c r="AB364" s="25">
        <v>144.0</v>
      </c>
      <c r="AC364" s="14">
        <v>144.0</v>
      </c>
      <c r="AD364" s="14"/>
      <c r="AE364" s="14">
        <v>144.0</v>
      </c>
      <c r="AF364" s="14">
        <v>144.0</v>
      </c>
      <c r="AG364" s="14">
        <v>144.0</v>
      </c>
      <c r="AH364" s="14">
        <v>127.0</v>
      </c>
      <c r="AI364" s="14">
        <v>128.0</v>
      </c>
      <c r="AJ364" s="14">
        <v>144.0</v>
      </c>
      <c r="AK364" s="14"/>
      <c r="AL364" s="14">
        <v>136.0</v>
      </c>
      <c r="AM364" s="14">
        <v>127.0</v>
      </c>
      <c r="AN364" s="14">
        <v>144.0</v>
      </c>
      <c r="AO364" s="14">
        <v>124.0</v>
      </c>
      <c r="AP364" s="14">
        <v>129.0</v>
      </c>
      <c r="AQ364" s="14">
        <v>131.0</v>
      </c>
      <c r="AR364" s="14"/>
      <c r="AS364" s="14">
        <v>127.0</v>
      </c>
      <c r="AT364" s="14">
        <v>144.0</v>
      </c>
      <c r="AU364" s="14">
        <v>107.0</v>
      </c>
      <c r="AV364" s="14">
        <v>123.0</v>
      </c>
      <c r="AW364" s="14">
        <v>124.0</v>
      </c>
      <c r="AX364" s="14">
        <v>126.0</v>
      </c>
      <c r="AY364" s="14">
        <v>83.0</v>
      </c>
      <c r="AZ364" s="26"/>
      <c r="BA364" s="26"/>
      <c r="BB364" s="26"/>
      <c r="BC364" s="26"/>
    </row>
    <row r="365">
      <c r="A365" s="27">
        <f>HYPERLINK("https://arcprize.org/play?task=ddf7fa4f", 354)</f>
        <v>354</v>
      </c>
      <c r="B365" s="14">
        <v>96.0</v>
      </c>
      <c r="C365" s="14">
        <v>216.0</v>
      </c>
      <c r="D365" s="14">
        <v>96.0</v>
      </c>
      <c r="E365" s="14">
        <v>217.0</v>
      </c>
      <c r="F365" s="22">
        <v>96.0</v>
      </c>
      <c r="G365" s="14">
        <v>227.0</v>
      </c>
      <c r="H365" s="14"/>
      <c r="I365" s="15"/>
      <c r="J365" s="23">
        <v>106.0</v>
      </c>
      <c r="K365" s="14">
        <v>107.0</v>
      </c>
      <c r="L365" s="14">
        <v>103.0</v>
      </c>
      <c r="M365" s="22">
        <v>106.0</v>
      </c>
      <c r="N365" s="15"/>
      <c r="O365" s="15"/>
      <c r="P365" s="15"/>
      <c r="Q365" s="14">
        <v>232.0</v>
      </c>
      <c r="R365" s="24">
        <v>108.0</v>
      </c>
      <c r="S365" s="14">
        <v>187.0</v>
      </c>
      <c r="T365" s="15"/>
      <c r="U365" s="14">
        <v>236.0</v>
      </c>
      <c r="V365" s="29">
        <v>112.0</v>
      </c>
      <c r="W365" s="14">
        <v>103.0</v>
      </c>
      <c r="X365" s="14">
        <v>227.0</v>
      </c>
      <c r="Y365" s="14">
        <v>227.0</v>
      </c>
      <c r="Z365" s="25">
        <v>111.0</v>
      </c>
      <c r="AA365" s="25"/>
      <c r="AB365" s="25">
        <v>227.0</v>
      </c>
      <c r="AC365" s="14">
        <v>217.0</v>
      </c>
      <c r="AD365" s="14"/>
      <c r="AE365" s="14">
        <v>217.0</v>
      </c>
      <c r="AF365" s="14">
        <v>227.0</v>
      </c>
      <c r="AG365" s="14">
        <v>244.0</v>
      </c>
      <c r="AH365" s="14">
        <v>117.0</v>
      </c>
      <c r="AI365" s="14">
        <v>110.0</v>
      </c>
      <c r="AJ365" s="14">
        <v>225.0</v>
      </c>
      <c r="AK365" s="14"/>
      <c r="AL365" s="14">
        <v>217.0</v>
      </c>
      <c r="AM365" s="14">
        <v>157.0</v>
      </c>
      <c r="AN365" s="14">
        <v>217.0</v>
      </c>
      <c r="AO365" s="14">
        <v>96.0</v>
      </c>
      <c r="AP365" s="14">
        <v>185.0</v>
      </c>
      <c r="AQ365" s="14">
        <v>113.0</v>
      </c>
      <c r="AR365" s="14"/>
      <c r="AS365" s="14">
        <v>121.0</v>
      </c>
      <c r="AT365" s="14">
        <v>216.0</v>
      </c>
      <c r="AU365" s="14">
        <v>101.0</v>
      </c>
      <c r="AV365" s="14">
        <v>92.0</v>
      </c>
      <c r="AW365" s="14">
        <v>92.0</v>
      </c>
      <c r="AX365" s="14">
        <v>108.0</v>
      </c>
      <c r="AY365" s="14">
        <v>91.0</v>
      </c>
      <c r="AZ365" s="26"/>
      <c r="BA365" s="26"/>
      <c r="BB365" s="26"/>
      <c r="BC365" s="26"/>
    </row>
    <row r="366">
      <c r="A366" s="27">
        <f>HYPERLINK("https://arcprize.org/play?task=de1cd16c", 355)</f>
        <v>355</v>
      </c>
      <c r="B366" s="14">
        <v>98.0</v>
      </c>
      <c r="C366" s="14">
        <v>305.0</v>
      </c>
      <c r="D366" s="14">
        <v>101.0</v>
      </c>
      <c r="E366" s="14">
        <v>272.0</v>
      </c>
      <c r="F366" s="22">
        <v>95.0</v>
      </c>
      <c r="G366" s="14">
        <v>298.0</v>
      </c>
      <c r="H366" s="15"/>
      <c r="I366" s="15"/>
      <c r="J366" s="23">
        <v>105.0</v>
      </c>
      <c r="K366" s="14">
        <v>112.0</v>
      </c>
      <c r="L366" s="14">
        <v>184.0</v>
      </c>
      <c r="M366" s="22">
        <v>110.0</v>
      </c>
      <c r="N366" s="15"/>
      <c r="O366" s="15"/>
      <c r="P366" s="15"/>
      <c r="Q366" s="14">
        <v>232.0</v>
      </c>
      <c r="R366" s="24">
        <v>131.0</v>
      </c>
      <c r="S366" s="15"/>
      <c r="T366" s="15"/>
      <c r="U366" s="15"/>
      <c r="V366" s="31"/>
      <c r="W366" s="14">
        <v>103.0</v>
      </c>
      <c r="X366" s="14"/>
      <c r="Y366" s="14">
        <v>407.0</v>
      </c>
      <c r="Z366" s="25">
        <v>118.0</v>
      </c>
      <c r="AA366" s="25"/>
      <c r="AB366" s="25">
        <v>219.0</v>
      </c>
      <c r="AC366" s="14">
        <v>272.0</v>
      </c>
      <c r="AD366" s="14"/>
      <c r="AE366" s="14">
        <v>272.0</v>
      </c>
      <c r="AF366" s="14">
        <v>364.0</v>
      </c>
      <c r="AG366" s="14"/>
      <c r="AH366" s="14">
        <v>227.0</v>
      </c>
      <c r="AI366" s="14">
        <v>166.0</v>
      </c>
      <c r="AJ366" s="14">
        <v>249.0</v>
      </c>
      <c r="AK366" s="14"/>
      <c r="AL366" s="14">
        <v>220.0</v>
      </c>
      <c r="AM366" s="14">
        <v>127.0</v>
      </c>
      <c r="AN366" s="14">
        <v>272.0</v>
      </c>
      <c r="AO366" s="14">
        <v>116.0</v>
      </c>
      <c r="AP366" s="14">
        <v>133.0</v>
      </c>
      <c r="AQ366" s="14">
        <v>146.0</v>
      </c>
      <c r="AR366" s="14"/>
      <c r="AS366" s="14">
        <v>110.0</v>
      </c>
      <c r="AT366" s="14">
        <v>272.0</v>
      </c>
      <c r="AU366" s="14">
        <v>103.0</v>
      </c>
      <c r="AV366" s="14">
        <v>102.0</v>
      </c>
      <c r="AW366" s="14">
        <v>110.0</v>
      </c>
      <c r="AX366" s="14">
        <v>112.0</v>
      </c>
      <c r="AY366" s="14">
        <v>95.0</v>
      </c>
      <c r="AZ366" s="26"/>
      <c r="BA366" s="26"/>
      <c r="BB366" s="26"/>
      <c r="BC366" s="26"/>
    </row>
    <row r="367">
      <c r="A367" s="27">
        <f>HYPERLINK("https://arcprize.org/play?task=ded97339", 356)</f>
        <v>356</v>
      </c>
      <c r="B367" s="14">
        <v>92.0</v>
      </c>
      <c r="C367" s="14">
        <v>249.0</v>
      </c>
      <c r="D367" s="14">
        <v>100.0</v>
      </c>
      <c r="E367" s="14">
        <v>238.0</v>
      </c>
      <c r="F367" s="22">
        <v>105.0</v>
      </c>
      <c r="G367" s="14">
        <v>256.0</v>
      </c>
      <c r="H367" s="14"/>
      <c r="I367" s="15"/>
      <c r="J367" s="23">
        <v>110.0</v>
      </c>
      <c r="K367" s="14">
        <v>108.0</v>
      </c>
      <c r="L367" s="14">
        <v>119.0</v>
      </c>
      <c r="M367" s="22">
        <v>105.0</v>
      </c>
      <c r="N367" s="15"/>
      <c r="O367" s="15"/>
      <c r="P367" s="15"/>
      <c r="Q367" s="14">
        <v>255.0</v>
      </c>
      <c r="R367" s="24">
        <v>108.0</v>
      </c>
      <c r="S367" s="15"/>
      <c r="T367" s="14">
        <v>319.0</v>
      </c>
      <c r="U367" s="14">
        <v>323.0</v>
      </c>
      <c r="V367" s="31"/>
      <c r="W367" s="14">
        <v>105.0</v>
      </c>
      <c r="X367" s="14">
        <v>256.0</v>
      </c>
      <c r="Y367" s="14">
        <v>263.0</v>
      </c>
      <c r="Z367" s="25">
        <v>105.0</v>
      </c>
      <c r="AA367" s="25"/>
      <c r="AB367" s="25">
        <v>210.0</v>
      </c>
      <c r="AC367" s="14">
        <v>230.0</v>
      </c>
      <c r="AD367" s="14"/>
      <c r="AE367" s="14">
        <v>238.0</v>
      </c>
      <c r="AF367" s="14">
        <v>256.0</v>
      </c>
      <c r="AG367" s="14">
        <v>344.0</v>
      </c>
      <c r="AH367" s="14">
        <v>142.0</v>
      </c>
      <c r="AI367" s="14">
        <v>181.0</v>
      </c>
      <c r="AJ367" s="14">
        <v>206.0</v>
      </c>
      <c r="AK367" s="14"/>
      <c r="AL367" s="14">
        <v>238.0</v>
      </c>
      <c r="AM367" s="14">
        <v>137.0</v>
      </c>
      <c r="AN367" s="14">
        <v>238.0</v>
      </c>
      <c r="AO367" s="14">
        <v>108.0</v>
      </c>
      <c r="AP367" s="14">
        <v>108.0</v>
      </c>
      <c r="AQ367" s="14">
        <v>117.0</v>
      </c>
      <c r="AR367" s="14"/>
      <c r="AS367" s="14">
        <v>114.0</v>
      </c>
      <c r="AT367" s="14">
        <v>238.0</v>
      </c>
      <c r="AU367" s="14">
        <v>105.0</v>
      </c>
      <c r="AV367" s="14">
        <v>108.0</v>
      </c>
      <c r="AW367" s="14">
        <v>108.0</v>
      </c>
      <c r="AX367" s="14">
        <v>108.0</v>
      </c>
      <c r="AY367" s="14">
        <v>92.0</v>
      </c>
      <c r="AZ367" s="26"/>
      <c r="BA367" s="26"/>
      <c r="BB367" s="26"/>
      <c r="BC367" s="26"/>
    </row>
    <row r="368">
      <c r="A368" s="27">
        <f>HYPERLINK("https://arcprize.org/play?task=e179c5f4", 357)</f>
        <v>357</v>
      </c>
      <c r="B368" s="14">
        <v>84.0</v>
      </c>
      <c r="C368" s="14">
        <v>141.0</v>
      </c>
      <c r="D368" s="14">
        <v>86.0</v>
      </c>
      <c r="E368" s="14">
        <v>175.0</v>
      </c>
      <c r="F368" s="22">
        <v>86.0</v>
      </c>
      <c r="G368" s="14">
        <v>176.0</v>
      </c>
      <c r="H368" s="15"/>
      <c r="I368" s="15"/>
      <c r="J368" s="23">
        <v>86.0</v>
      </c>
      <c r="K368" s="14">
        <v>85.0</v>
      </c>
      <c r="L368" s="14">
        <v>94.0</v>
      </c>
      <c r="M368" s="22">
        <v>93.0</v>
      </c>
      <c r="N368" s="15"/>
      <c r="O368" s="15"/>
      <c r="P368" s="15"/>
      <c r="Q368" s="14">
        <v>186.0</v>
      </c>
      <c r="R368" s="24">
        <v>103.0</v>
      </c>
      <c r="S368" s="15"/>
      <c r="T368" s="15"/>
      <c r="U368" s="14">
        <v>176.0</v>
      </c>
      <c r="V368" s="31"/>
      <c r="W368" s="14">
        <v>97.0</v>
      </c>
      <c r="X368" s="14">
        <v>176.0</v>
      </c>
      <c r="Y368" s="14">
        <v>176.0</v>
      </c>
      <c r="Z368" s="25">
        <v>88.0</v>
      </c>
      <c r="AA368" s="25"/>
      <c r="AB368" s="25">
        <v>125.0</v>
      </c>
      <c r="AC368" s="14">
        <v>175.0</v>
      </c>
      <c r="AD368" s="14"/>
      <c r="AE368" s="14">
        <v>175.0</v>
      </c>
      <c r="AF368" s="14">
        <v>179.0</v>
      </c>
      <c r="AG368" s="14">
        <v>179.0</v>
      </c>
      <c r="AH368" s="14">
        <v>86.0</v>
      </c>
      <c r="AI368" s="14">
        <v>102.0</v>
      </c>
      <c r="AJ368" s="14">
        <v>104.0</v>
      </c>
      <c r="AK368" s="14"/>
      <c r="AL368" s="14">
        <v>115.0</v>
      </c>
      <c r="AM368" s="14">
        <v>95.0</v>
      </c>
      <c r="AN368" s="14">
        <v>175.0</v>
      </c>
      <c r="AO368" s="14">
        <v>81.0</v>
      </c>
      <c r="AP368" s="14">
        <v>108.0</v>
      </c>
      <c r="AQ368" s="14">
        <v>97.0</v>
      </c>
      <c r="AR368" s="14"/>
      <c r="AS368" s="14">
        <v>99.0</v>
      </c>
      <c r="AT368" s="14">
        <v>132.0</v>
      </c>
      <c r="AU368" s="14">
        <v>94.0</v>
      </c>
      <c r="AV368" s="14">
        <v>85.0</v>
      </c>
      <c r="AW368" s="14">
        <v>85.0</v>
      </c>
      <c r="AX368" s="14">
        <v>85.0</v>
      </c>
      <c r="AY368" s="14">
        <v>81.0</v>
      </c>
      <c r="AZ368" s="26"/>
      <c r="BA368" s="26"/>
      <c r="BB368" s="26"/>
      <c r="BC368" s="26"/>
    </row>
    <row r="369">
      <c r="A369" s="27">
        <f>HYPERLINK("https://arcprize.org/play?task=e21d9049", 358)</f>
        <v>358</v>
      </c>
      <c r="B369" s="14">
        <v>90.0</v>
      </c>
      <c r="C369" s="14">
        <v>213.0</v>
      </c>
      <c r="D369" s="14">
        <v>91.0</v>
      </c>
      <c r="E369" s="14">
        <v>213.0</v>
      </c>
      <c r="F369" s="22">
        <v>91.0</v>
      </c>
      <c r="G369" s="14">
        <v>213.0</v>
      </c>
      <c r="H369" s="15"/>
      <c r="I369" s="15"/>
      <c r="J369" s="23">
        <v>111.0</v>
      </c>
      <c r="K369" s="14">
        <v>111.0</v>
      </c>
      <c r="L369" s="14">
        <v>111.0</v>
      </c>
      <c r="M369" s="22">
        <v>92.0</v>
      </c>
      <c r="N369" s="15"/>
      <c r="O369" s="15"/>
      <c r="P369" s="15"/>
      <c r="Q369" s="14">
        <v>219.0</v>
      </c>
      <c r="R369" s="24">
        <v>119.0</v>
      </c>
      <c r="S369" s="14">
        <v>319.0</v>
      </c>
      <c r="T369" s="15"/>
      <c r="U369" s="15"/>
      <c r="V369" s="29">
        <v>112.0</v>
      </c>
      <c r="W369" s="14">
        <v>114.0</v>
      </c>
      <c r="X369" s="14"/>
      <c r="Y369" s="14">
        <v>418.0</v>
      </c>
      <c r="Z369" s="25">
        <v>113.0</v>
      </c>
      <c r="AA369" s="25"/>
      <c r="AB369" s="25">
        <v>190.0</v>
      </c>
      <c r="AC369" s="14">
        <v>213.0</v>
      </c>
      <c r="AD369" s="14"/>
      <c r="AE369" s="14">
        <v>213.0</v>
      </c>
      <c r="AF369" s="14">
        <v>401.0</v>
      </c>
      <c r="AG369" s="14"/>
      <c r="AH369" s="14">
        <v>128.0</v>
      </c>
      <c r="AI369" s="14">
        <v>125.0</v>
      </c>
      <c r="AJ369" s="14">
        <v>213.0</v>
      </c>
      <c r="AK369" s="14"/>
      <c r="AL369" s="14">
        <v>195.0</v>
      </c>
      <c r="AM369" s="14">
        <v>112.0</v>
      </c>
      <c r="AN369" s="14">
        <v>213.0</v>
      </c>
      <c r="AO369" s="14">
        <v>110.0</v>
      </c>
      <c r="AP369" s="14">
        <v>126.0</v>
      </c>
      <c r="AQ369" s="14">
        <v>133.0</v>
      </c>
      <c r="AR369" s="14"/>
      <c r="AS369" s="14">
        <v>129.0</v>
      </c>
      <c r="AT369" s="14">
        <v>213.0</v>
      </c>
      <c r="AU369" s="14">
        <v>116.0</v>
      </c>
      <c r="AV369" s="14">
        <v>110.0</v>
      </c>
      <c r="AW369" s="14">
        <v>106.0</v>
      </c>
      <c r="AX369" s="14">
        <v>118.0</v>
      </c>
      <c r="AY369" s="14">
        <v>90.0</v>
      </c>
      <c r="AZ369" s="26"/>
      <c r="BA369" s="26"/>
      <c r="BB369" s="26"/>
      <c r="BC369" s="26"/>
    </row>
    <row r="370">
      <c r="A370" s="27">
        <f>HYPERLINK("https://arcprize.org/play?task=e26a3af2", 359)</f>
        <v>359</v>
      </c>
      <c r="B370" s="14">
        <v>64.0</v>
      </c>
      <c r="C370" s="14">
        <v>64.0</v>
      </c>
      <c r="D370" s="14">
        <v>64.0</v>
      </c>
      <c r="E370" s="14">
        <v>64.0</v>
      </c>
      <c r="F370" s="22">
        <v>64.0</v>
      </c>
      <c r="G370" s="14">
        <v>235.0</v>
      </c>
      <c r="H370" s="14"/>
      <c r="I370" s="14"/>
      <c r="J370" s="23">
        <v>64.0</v>
      </c>
      <c r="K370" s="14">
        <v>64.0</v>
      </c>
      <c r="L370" s="14">
        <v>64.0</v>
      </c>
      <c r="M370" s="22">
        <v>64.0</v>
      </c>
      <c r="N370" s="14"/>
      <c r="O370" s="14"/>
      <c r="P370" s="14"/>
      <c r="Q370" s="14">
        <v>207.0</v>
      </c>
      <c r="R370" s="24">
        <v>64.0</v>
      </c>
      <c r="S370" s="14"/>
      <c r="T370" s="14">
        <v>67.0</v>
      </c>
      <c r="U370" s="14"/>
      <c r="V370" s="29">
        <v>96.0</v>
      </c>
      <c r="W370" s="14">
        <v>64.0</v>
      </c>
      <c r="X370" s="14"/>
      <c r="Y370" s="14">
        <v>226.0</v>
      </c>
      <c r="Z370" s="25">
        <v>64.0</v>
      </c>
      <c r="AA370" s="25"/>
      <c r="AB370" s="25">
        <v>186.0</v>
      </c>
      <c r="AC370" s="14">
        <v>158.0</v>
      </c>
      <c r="AD370" s="14"/>
      <c r="AE370" s="14">
        <v>233.0</v>
      </c>
      <c r="AF370" s="14">
        <v>260.0</v>
      </c>
      <c r="AG370" s="14"/>
      <c r="AH370" s="14">
        <v>128.0</v>
      </c>
      <c r="AI370" s="14">
        <v>64.0</v>
      </c>
      <c r="AJ370" s="14">
        <v>186.0</v>
      </c>
      <c r="AK370" s="14"/>
      <c r="AL370" s="14">
        <v>64.0</v>
      </c>
      <c r="AM370" s="14">
        <v>64.0</v>
      </c>
      <c r="AN370" s="14">
        <v>64.0</v>
      </c>
      <c r="AO370" s="14">
        <v>64.0</v>
      </c>
      <c r="AP370" s="14">
        <v>64.0</v>
      </c>
      <c r="AQ370" s="14">
        <v>64.0</v>
      </c>
      <c r="AR370" s="14"/>
      <c r="AS370" s="14">
        <v>64.0</v>
      </c>
      <c r="AT370" s="14">
        <v>64.0</v>
      </c>
      <c r="AU370" s="14">
        <v>64.0</v>
      </c>
      <c r="AV370" s="14">
        <v>64.0</v>
      </c>
      <c r="AW370" s="14">
        <v>64.0</v>
      </c>
      <c r="AX370" s="14">
        <v>64.0</v>
      </c>
      <c r="AY370" s="14">
        <v>64.0</v>
      </c>
      <c r="AZ370" s="26"/>
      <c r="BA370" s="26"/>
      <c r="BB370" s="26"/>
      <c r="BC370" s="26"/>
    </row>
    <row r="371">
      <c r="A371" s="27">
        <f>HYPERLINK("https://arcprize.org/play?task=e3497940", 360)</f>
        <v>360</v>
      </c>
      <c r="B371" s="14">
        <v>45.0</v>
      </c>
      <c r="C371" s="14">
        <v>106.0</v>
      </c>
      <c r="D371" s="14">
        <v>45.0</v>
      </c>
      <c r="E371" s="14">
        <v>106.0</v>
      </c>
      <c r="F371" s="22">
        <v>45.0</v>
      </c>
      <c r="G371" s="14">
        <v>109.0</v>
      </c>
      <c r="H371" s="14">
        <v>45.0</v>
      </c>
      <c r="I371" s="14">
        <v>53.0</v>
      </c>
      <c r="J371" s="23">
        <v>45.0</v>
      </c>
      <c r="K371" s="14">
        <v>45.0</v>
      </c>
      <c r="L371" s="14">
        <v>45.0</v>
      </c>
      <c r="M371" s="22">
        <v>45.0</v>
      </c>
      <c r="N371" s="14"/>
      <c r="O371" s="14"/>
      <c r="P371" s="14"/>
      <c r="Q371" s="14">
        <v>55.0</v>
      </c>
      <c r="R371" s="24">
        <v>46.0</v>
      </c>
      <c r="S371" s="14">
        <v>53.0</v>
      </c>
      <c r="T371" s="14">
        <v>53.0</v>
      </c>
      <c r="U371" s="14">
        <v>109.0</v>
      </c>
      <c r="V371" s="29">
        <v>52.0</v>
      </c>
      <c r="W371" s="14">
        <v>45.0</v>
      </c>
      <c r="X371" s="14">
        <v>109.0</v>
      </c>
      <c r="Y371" s="14">
        <v>109.0</v>
      </c>
      <c r="Z371" s="30">
        <v>45.0</v>
      </c>
      <c r="AA371" s="25"/>
      <c r="AB371" s="25">
        <v>64.0</v>
      </c>
      <c r="AC371" s="14">
        <v>108.0</v>
      </c>
      <c r="AD371" s="14">
        <v>52.0</v>
      </c>
      <c r="AE371" s="14">
        <v>52.0</v>
      </c>
      <c r="AF371" s="14">
        <v>109.0</v>
      </c>
      <c r="AG371" s="14">
        <v>109.0</v>
      </c>
      <c r="AH371" s="14">
        <v>45.0</v>
      </c>
      <c r="AI371" s="14">
        <v>52.0</v>
      </c>
      <c r="AJ371" s="14">
        <v>83.0</v>
      </c>
      <c r="AK371" s="14">
        <v>52.0</v>
      </c>
      <c r="AL371" s="14">
        <v>55.0</v>
      </c>
      <c r="AM371" s="14">
        <v>45.0</v>
      </c>
      <c r="AN371" s="14">
        <v>108.0</v>
      </c>
      <c r="AO371" s="14">
        <v>45.0</v>
      </c>
      <c r="AP371" s="14">
        <v>45.0</v>
      </c>
      <c r="AQ371" s="14">
        <v>45.0</v>
      </c>
      <c r="AR371" s="14"/>
      <c r="AS371" s="14">
        <v>52.0</v>
      </c>
      <c r="AT371" s="14">
        <v>106.0</v>
      </c>
      <c r="AU371" s="14">
        <v>45.0</v>
      </c>
      <c r="AV371" s="14">
        <v>45.0</v>
      </c>
      <c r="AW371" s="14">
        <v>45.0</v>
      </c>
      <c r="AX371" s="14">
        <v>45.0</v>
      </c>
      <c r="AY371" s="14">
        <v>45.0</v>
      </c>
      <c r="AZ371" s="26"/>
      <c r="BA371" s="26"/>
      <c r="BB371" s="26"/>
      <c r="BC371" s="26"/>
    </row>
    <row r="372">
      <c r="A372" s="27">
        <f>HYPERLINK("https://arcprize.org/play?task=e40b9e2f", 361)</f>
        <v>361</v>
      </c>
      <c r="B372" s="14">
        <v>203.0</v>
      </c>
      <c r="C372" s="14">
        <v>221.0</v>
      </c>
      <c r="D372" s="14">
        <v>185.0</v>
      </c>
      <c r="E372" s="14">
        <v>221.0</v>
      </c>
      <c r="F372" s="22">
        <v>186.0</v>
      </c>
      <c r="G372" s="14">
        <v>221.0</v>
      </c>
      <c r="H372" s="15"/>
      <c r="I372" s="15"/>
      <c r="J372" s="23">
        <v>194.0</v>
      </c>
      <c r="K372" s="14">
        <v>196.0</v>
      </c>
      <c r="L372" s="14">
        <v>221.0</v>
      </c>
      <c r="M372" s="22">
        <v>193.0</v>
      </c>
      <c r="N372" s="15"/>
      <c r="O372" s="15"/>
      <c r="P372" s="15"/>
      <c r="Q372" s="14">
        <v>229.0</v>
      </c>
      <c r="R372" s="24">
        <v>219.0</v>
      </c>
      <c r="S372" s="15"/>
      <c r="T372" s="15"/>
      <c r="U372" s="14">
        <v>847.0</v>
      </c>
      <c r="V372" s="31"/>
      <c r="W372" s="14"/>
      <c r="X372" s="14">
        <v>472.0</v>
      </c>
      <c r="Y372" s="14">
        <v>478.0</v>
      </c>
      <c r="Z372" s="25">
        <v>219.0</v>
      </c>
      <c r="AA372" s="25">
        <v>221.0</v>
      </c>
      <c r="AB372" s="25">
        <v>228.0</v>
      </c>
      <c r="AC372" s="14">
        <v>221.0</v>
      </c>
      <c r="AD372" s="14"/>
      <c r="AE372" s="14">
        <v>221.0</v>
      </c>
      <c r="AF372" s="14">
        <v>472.0</v>
      </c>
      <c r="AG372" s="14"/>
      <c r="AH372" s="14">
        <v>236.0</v>
      </c>
      <c r="AI372" s="14">
        <v>221.0</v>
      </c>
      <c r="AJ372" s="14">
        <v>221.0</v>
      </c>
      <c r="AK372" s="14"/>
      <c r="AL372" s="14">
        <v>221.0</v>
      </c>
      <c r="AM372" s="14">
        <v>236.0</v>
      </c>
      <c r="AN372" s="14">
        <v>221.0</v>
      </c>
      <c r="AO372" s="14">
        <v>204.0</v>
      </c>
      <c r="AP372" s="14">
        <v>220.0</v>
      </c>
      <c r="AQ372" s="14">
        <v>225.0</v>
      </c>
      <c r="AR372" s="14"/>
      <c r="AS372" s="14">
        <v>221.0</v>
      </c>
      <c r="AT372" s="14">
        <v>221.0</v>
      </c>
      <c r="AU372" s="14">
        <v>211.0</v>
      </c>
      <c r="AV372" s="14">
        <v>208.0</v>
      </c>
      <c r="AW372" s="14">
        <v>205.0</v>
      </c>
      <c r="AX372" s="14">
        <v>215.0</v>
      </c>
      <c r="AY372" s="14">
        <v>183.0</v>
      </c>
      <c r="AZ372" s="26"/>
      <c r="BA372" s="26"/>
      <c r="BB372" s="26"/>
      <c r="BC372" s="26"/>
    </row>
    <row r="373">
      <c r="A373" s="27">
        <f>HYPERLINK("https://arcprize.org/play?task=e48d4e1a", 362)</f>
        <v>362</v>
      </c>
      <c r="B373" s="14">
        <v>69.0</v>
      </c>
      <c r="C373" s="14">
        <v>127.0</v>
      </c>
      <c r="D373" s="14">
        <v>69.0</v>
      </c>
      <c r="E373" s="14">
        <v>127.0</v>
      </c>
      <c r="F373" s="22">
        <v>69.0</v>
      </c>
      <c r="G373" s="14">
        <v>219.0</v>
      </c>
      <c r="H373" s="15"/>
      <c r="I373" s="15"/>
      <c r="J373" s="23">
        <v>69.0</v>
      </c>
      <c r="K373" s="14">
        <v>82.0</v>
      </c>
      <c r="L373" s="14">
        <v>81.0</v>
      </c>
      <c r="M373" s="22">
        <v>73.0</v>
      </c>
      <c r="N373" s="15"/>
      <c r="O373" s="15"/>
      <c r="P373" s="15"/>
      <c r="Q373" s="14">
        <v>144.0</v>
      </c>
      <c r="R373" s="24">
        <v>90.0</v>
      </c>
      <c r="S373" s="14">
        <v>100.0</v>
      </c>
      <c r="T373" s="14">
        <v>118.0</v>
      </c>
      <c r="U373" s="15"/>
      <c r="V373" s="29">
        <v>90.0</v>
      </c>
      <c r="W373" s="14">
        <v>77.0</v>
      </c>
      <c r="X373" s="14"/>
      <c r="Y373" s="14">
        <v>258.0</v>
      </c>
      <c r="Z373" s="25">
        <v>76.0</v>
      </c>
      <c r="AA373" s="25"/>
      <c r="AB373" s="25">
        <v>223.0</v>
      </c>
      <c r="AC373" s="14">
        <v>209.0</v>
      </c>
      <c r="AD373" s="14"/>
      <c r="AE373" s="14">
        <v>95.0</v>
      </c>
      <c r="AF373" s="14">
        <v>283.0</v>
      </c>
      <c r="AG373" s="14"/>
      <c r="AH373" s="14">
        <v>89.0</v>
      </c>
      <c r="AI373" s="14">
        <v>104.0</v>
      </c>
      <c r="AJ373" s="14">
        <v>134.0</v>
      </c>
      <c r="AK373" s="14"/>
      <c r="AL373" s="14">
        <v>127.0</v>
      </c>
      <c r="AM373" s="14">
        <v>77.0</v>
      </c>
      <c r="AN373" s="14">
        <v>127.0</v>
      </c>
      <c r="AO373" s="14">
        <v>67.0</v>
      </c>
      <c r="AP373" s="14">
        <v>124.0</v>
      </c>
      <c r="AQ373" s="14">
        <v>90.0</v>
      </c>
      <c r="AR373" s="14"/>
      <c r="AS373" s="14">
        <v>74.0</v>
      </c>
      <c r="AT373" s="14">
        <v>127.0</v>
      </c>
      <c r="AU373" s="14">
        <v>75.0</v>
      </c>
      <c r="AV373" s="14">
        <v>72.0</v>
      </c>
      <c r="AW373" s="14">
        <v>67.0</v>
      </c>
      <c r="AX373" s="14">
        <v>87.0</v>
      </c>
      <c r="AY373" s="14">
        <v>67.0</v>
      </c>
      <c r="AZ373" s="26"/>
      <c r="BA373" s="26"/>
      <c r="BB373" s="26"/>
      <c r="BC373" s="26"/>
    </row>
    <row r="374">
      <c r="A374" s="27">
        <f>HYPERLINK("https://arcprize.org/play?task=e5062a87", 363)</f>
        <v>363</v>
      </c>
      <c r="B374" s="14">
        <v>175.0</v>
      </c>
      <c r="C374" s="14">
        <v>420.0</v>
      </c>
      <c r="D374" s="14">
        <v>204.0</v>
      </c>
      <c r="E374" s="14">
        <v>381.0</v>
      </c>
      <c r="F374" s="22">
        <v>203.0</v>
      </c>
      <c r="G374" s="14">
        <v>408.0</v>
      </c>
      <c r="H374" s="15"/>
      <c r="I374" s="15"/>
      <c r="J374" s="23">
        <v>217.0</v>
      </c>
      <c r="K374" s="14">
        <v>261.0</v>
      </c>
      <c r="L374" s="14">
        <v>217.0</v>
      </c>
      <c r="M374" s="22">
        <v>217.0</v>
      </c>
      <c r="N374" s="15"/>
      <c r="O374" s="15"/>
      <c r="P374" s="15"/>
      <c r="Q374" s="14">
        <v>418.0</v>
      </c>
      <c r="R374" s="24">
        <v>278.0</v>
      </c>
      <c r="S374" s="15"/>
      <c r="T374" s="15"/>
      <c r="U374" s="14">
        <v>517.0</v>
      </c>
      <c r="V374" s="31"/>
      <c r="W374" s="15"/>
      <c r="X374" s="14">
        <v>420.0</v>
      </c>
      <c r="Y374" s="14">
        <v>418.0</v>
      </c>
      <c r="Z374" s="25">
        <v>253.0</v>
      </c>
      <c r="AA374" s="25"/>
      <c r="AB374" s="25">
        <v>352.0</v>
      </c>
      <c r="AC374" s="14">
        <v>381.0</v>
      </c>
      <c r="AD374" s="14"/>
      <c r="AE374" s="14">
        <v>384.0</v>
      </c>
      <c r="AF374" s="14">
        <v>420.0</v>
      </c>
      <c r="AG374" s="14">
        <v>559.0</v>
      </c>
      <c r="AH374" s="14">
        <v>320.0</v>
      </c>
      <c r="AI374" s="14">
        <v>303.0</v>
      </c>
      <c r="AJ374" s="14">
        <v>311.0</v>
      </c>
      <c r="AK374" s="14"/>
      <c r="AL374" s="14">
        <v>364.0</v>
      </c>
      <c r="AM374" s="14">
        <v>277.0</v>
      </c>
      <c r="AN374" s="14">
        <v>384.0</v>
      </c>
      <c r="AO374" s="14">
        <v>214.0</v>
      </c>
      <c r="AP374" s="14">
        <v>319.0</v>
      </c>
      <c r="AQ374" s="14">
        <v>289.0</v>
      </c>
      <c r="AR374" s="14"/>
      <c r="AS374" s="14">
        <v>239.0</v>
      </c>
      <c r="AT374" s="14">
        <v>326.0</v>
      </c>
      <c r="AU374" s="14">
        <v>205.0</v>
      </c>
      <c r="AV374" s="14">
        <v>210.0</v>
      </c>
      <c r="AW374" s="14">
        <v>216.0</v>
      </c>
      <c r="AX374" s="14">
        <v>238.0</v>
      </c>
      <c r="AY374" s="14">
        <v>175.0</v>
      </c>
      <c r="AZ374" s="26"/>
      <c r="BA374" s="26"/>
      <c r="BB374" s="26"/>
      <c r="BC374" s="26"/>
    </row>
    <row r="375">
      <c r="A375" s="27">
        <f>HYPERLINK("https://arcprize.org/play?task=e509e548", 364)</f>
        <v>364</v>
      </c>
      <c r="B375" s="14">
        <v>133.0</v>
      </c>
      <c r="C375" s="14">
        <v>621.0</v>
      </c>
      <c r="D375" s="14">
        <v>134.0</v>
      </c>
      <c r="E375" s="14">
        <v>612.0</v>
      </c>
      <c r="F375" s="22">
        <v>149.0</v>
      </c>
      <c r="G375" s="14">
        <v>651.0</v>
      </c>
      <c r="H375" s="15"/>
      <c r="I375" s="15"/>
      <c r="J375" s="23">
        <v>171.0</v>
      </c>
      <c r="K375" s="14">
        <v>222.0</v>
      </c>
      <c r="L375" s="14">
        <v>233.0</v>
      </c>
      <c r="M375" s="22">
        <v>179.0</v>
      </c>
      <c r="N375" s="15"/>
      <c r="O375" s="15"/>
      <c r="P375" s="15"/>
      <c r="Q375" s="14">
        <v>385.0</v>
      </c>
      <c r="R375" s="24">
        <v>217.0</v>
      </c>
      <c r="S375" s="15"/>
      <c r="T375" s="15"/>
      <c r="U375" s="15"/>
      <c r="V375" s="31"/>
      <c r="W375" s="15"/>
      <c r="X375" s="14"/>
      <c r="Y375" s="14">
        <v>479.0</v>
      </c>
      <c r="Z375" s="25">
        <v>226.0</v>
      </c>
      <c r="AA375" s="25"/>
      <c r="AB375" s="25">
        <v>344.0</v>
      </c>
      <c r="AC375" s="14">
        <v>433.0</v>
      </c>
      <c r="AD375" s="14"/>
      <c r="AE375" s="14">
        <v>233.0</v>
      </c>
      <c r="AF375" s="14">
        <v>362.0</v>
      </c>
      <c r="AG375" s="14"/>
      <c r="AH375" s="14">
        <v>284.0</v>
      </c>
      <c r="AI375" s="14">
        <v>287.0</v>
      </c>
      <c r="AJ375" s="14">
        <v>358.0</v>
      </c>
      <c r="AK375" s="14"/>
      <c r="AL375" s="14">
        <v>311.0</v>
      </c>
      <c r="AM375" s="14">
        <v>241.0</v>
      </c>
      <c r="AN375" s="14">
        <v>457.0</v>
      </c>
      <c r="AO375" s="14">
        <v>149.0</v>
      </c>
      <c r="AP375" s="14">
        <v>339.0</v>
      </c>
      <c r="AQ375" s="14">
        <v>268.0</v>
      </c>
      <c r="AR375" s="14"/>
      <c r="AS375" s="14">
        <v>232.0</v>
      </c>
      <c r="AT375" s="14">
        <v>347.0</v>
      </c>
      <c r="AU375" s="14">
        <v>156.0</v>
      </c>
      <c r="AV375" s="14">
        <v>219.0</v>
      </c>
      <c r="AW375" s="14">
        <v>242.0</v>
      </c>
      <c r="AX375" s="14">
        <v>166.0</v>
      </c>
      <c r="AY375" s="14">
        <v>133.0</v>
      </c>
      <c r="AZ375" s="26"/>
      <c r="BA375" s="26"/>
      <c r="BB375" s="26"/>
      <c r="BC375" s="26"/>
    </row>
    <row r="376">
      <c r="A376" s="27">
        <f>HYPERLINK("https://arcprize.org/play?task=e50d258f", 365)</f>
        <v>365</v>
      </c>
      <c r="B376" s="14">
        <v>111.0</v>
      </c>
      <c r="C376" s="14">
        <v>250.0</v>
      </c>
      <c r="D376" s="14">
        <v>111.0</v>
      </c>
      <c r="E376" s="14">
        <v>176.0</v>
      </c>
      <c r="F376" s="22">
        <v>112.0</v>
      </c>
      <c r="G376" s="14">
        <v>266.0</v>
      </c>
      <c r="H376" s="15"/>
      <c r="I376" s="15"/>
      <c r="J376" s="23">
        <v>123.0</v>
      </c>
      <c r="K376" s="14">
        <v>141.0</v>
      </c>
      <c r="L376" s="14">
        <v>164.0</v>
      </c>
      <c r="M376" s="22">
        <v>137.0</v>
      </c>
      <c r="N376" s="15"/>
      <c r="O376" s="15"/>
      <c r="P376" s="15"/>
      <c r="Q376" s="14">
        <v>266.0</v>
      </c>
      <c r="R376" s="24">
        <v>130.0</v>
      </c>
      <c r="S376" s="15"/>
      <c r="T376" s="15"/>
      <c r="U376" s="14">
        <v>309.0</v>
      </c>
      <c r="V376" s="31"/>
      <c r="W376" s="14">
        <v>123.0</v>
      </c>
      <c r="X376" s="14">
        <v>266.0</v>
      </c>
      <c r="Y376" s="14">
        <v>270.0</v>
      </c>
      <c r="Z376" s="25">
        <v>123.0</v>
      </c>
      <c r="AA376" s="25"/>
      <c r="AB376" s="25">
        <v>285.0</v>
      </c>
      <c r="AC376" s="14">
        <v>243.0</v>
      </c>
      <c r="AD376" s="14"/>
      <c r="AE376" s="14">
        <v>243.0</v>
      </c>
      <c r="AF376" s="14">
        <v>266.0</v>
      </c>
      <c r="AG376" s="14"/>
      <c r="AH376" s="14">
        <v>160.0</v>
      </c>
      <c r="AI376" s="14">
        <v>176.0</v>
      </c>
      <c r="AJ376" s="14">
        <v>251.0</v>
      </c>
      <c r="AK376" s="14"/>
      <c r="AL376" s="14">
        <v>243.0</v>
      </c>
      <c r="AM376" s="14">
        <v>157.0</v>
      </c>
      <c r="AN376" s="14">
        <v>243.0</v>
      </c>
      <c r="AO376" s="14">
        <v>119.0</v>
      </c>
      <c r="AP376" s="14">
        <v>176.0</v>
      </c>
      <c r="AQ376" s="14">
        <v>209.0</v>
      </c>
      <c r="AR376" s="14"/>
      <c r="AS376" s="14">
        <v>132.0</v>
      </c>
      <c r="AT376" s="14">
        <v>176.0</v>
      </c>
      <c r="AU376" s="14">
        <v>121.0</v>
      </c>
      <c r="AV376" s="14">
        <v>126.0</v>
      </c>
      <c r="AW376" s="14">
        <v>126.0</v>
      </c>
      <c r="AX376" s="14">
        <v>150.0</v>
      </c>
      <c r="AY376" s="14">
        <v>111.0</v>
      </c>
      <c r="AZ376" s="26"/>
      <c r="BA376" s="26"/>
      <c r="BB376" s="26"/>
      <c r="BC376" s="26"/>
    </row>
    <row r="377">
      <c r="A377" s="27">
        <f>HYPERLINK("https://arcprize.org/play?task=e6721834", 366)</f>
        <v>366</v>
      </c>
      <c r="B377" s="14">
        <v>331.0</v>
      </c>
      <c r="C377" s="14">
        <v>385.0</v>
      </c>
      <c r="D377" s="14">
        <v>301.0</v>
      </c>
      <c r="E377" s="14">
        <v>374.0</v>
      </c>
      <c r="F377" s="22">
        <v>337.0</v>
      </c>
      <c r="G377" s="14">
        <v>374.0</v>
      </c>
      <c r="H377" s="15"/>
      <c r="I377" s="15"/>
      <c r="J377" s="23">
        <v>374.0</v>
      </c>
      <c r="K377" s="14">
        <v>374.0</v>
      </c>
      <c r="L377" s="14">
        <v>374.0</v>
      </c>
      <c r="M377" s="22">
        <v>374.0</v>
      </c>
      <c r="N377" s="15"/>
      <c r="O377" s="15"/>
      <c r="P377" s="15"/>
      <c r="Q377" s="14">
        <v>388.0</v>
      </c>
      <c r="R377" s="24">
        <v>372.0</v>
      </c>
      <c r="S377" s="15"/>
      <c r="T377" s="15"/>
      <c r="U377" s="15"/>
      <c r="V377" s="31"/>
      <c r="W377" s="15"/>
      <c r="X377" s="14"/>
      <c r="Y377" s="14">
        <v>1058.0</v>
      </c>
      <c r="Z377" s="25">
        <v>372.0</v>
      </c>
      <c r="AA377" s="25">
        <v>374.0</v>
      </c>
      <c r="AB377" s="25">
        <v>764.0</v>
      </c>
      <c r="AC377" s="14">
        <v>374.0</v>
      </c>
      <c r="AD377" s="14"/>
      <c r="AE377" s="14">
        <v>374.0</v>
      </c>
      <c r="AF377" s="14">
        <v>385.0</v>
      </c>
      <c r="AG377" s="14"/>
      <c r="AH377" s="14">
        <v>429.0</v>
      </c>
      <c r="AI377" s="14">
        <v>374.0</v>
      </c>
      <c r="AJ377" s="14">
        <v>374.0</v>
      </c>
      <c r="AK377" s="14"/>
      <c r="AL377" s="14">
        <v>374.0</v>
      </c>
      <c r="AM377" s="14">
        <v>401.0</v>
      </c>
      <c r="AN377" s="14">
        <v>374.0</v>
      </c>
      <c r="AO377" s="14">
        <v>372.0</v>
      </c>
      <c r="AP377" s="14">
        <v>372.0</v>
      </c>
      <c r="AQ377" s="14">
        <v>382.0</v>
      </c>
      <c r="AR377" s="14"/>
      <c r="AS377" s="14">
        <v>374.0</v>
      </c>
      <c r="AT377" s="14">
        <v>374.0</v>
      </c>
      <c r="AU377" s="14">
        <v>328.0</v>
      </c>
      <c r="AV377" s="14">
        <v>367.0</v>
      </c>
      <c r="AW377" s="14">
        <v>370.0</v>
      </c>
      <c r="AX377" s="14">
        <v>370.0</v>
      </c>
      <c r="AY377" s="14">
        <v>295.0</v>
      </c>
      <c r="AZ377" s="26"/>
      <c r="BA377" s="26"/>
      <c r="BB377" s="26"/>
      <c r="BC377" s="26"/>
    </row>
    <row r="378">
      <c r="A378" s="27">
        <f>HYPERLINK("https://arcprize.org/play?task=e73095fd", 367)</f>
        <v>367</v>
      </c>
      <c r="B378" s="14">
        <v>135.0</v>
      </c>
      <c r="C378" s="14">
        <v>604.0</v>
      </c>
      <c r="D378" s="14">
        <v>126.0</v>
      </c>
      <c r="E378" s="14">
        <v>558.0</v>
      </c>
      <c r="F378" s="22">
        <v>128.0</v>
      </c>
      <c r="G378" s="14">
        <v>586.0</v>
      </c>
      <c r="H378" s="15"/>
      <c r="I378" s="15"/>
      <c r="J378" s="23">
        <v>129.0</v>
      </c>
      <c r="K378" s="14">
        <v>230.0</v>
      </c>
      <c r="L378" s="14">
        <v>256.0</v>
      </c>
      <c r="M378" s="22">
        <v>127.0</v>
      </c>
      <c r="N378" s="15"/>
      <c r="O378" s="15"/>
      <c r="P378" s="15"/>
      <c r="Q378" s="15"/>
      <c r="R378" s="24">
        <v>136.0</v>
      </c>
      <c r="S378" s="15"/>
      <c r="T378" s="15"/>
      <c r="U378" s="15"/>
      <c r="V378" s="31"/>
      <c r="W378" s="15"/>
      <c r="X378" s="14"/>
      <c r="Y378" s="14">
        <v>629.0</v>
      </c>
      <c r="Z378" s="25">
        <v>131.0</v>
      </c>
      <c r="AA378" s="25"/>
      <c r="AB378" s="25">
        <v>321.0</v>
      </c>
      <c r="AC378" s="14">
        <v>511.0</v>
      </c>
      <c r="AD378" s="14"/>
      <c r="AE378" s="14">
        <v>398.0</v>
      </c>
      <c r="AF378" s="14">
        <v>442.0</v>
      </c>
      <c r="AG378" s="14"/>
      <c r="AH378" s="14">
        <v>405.0</v>
      </c>
      <c r="AI378" s="14">
        <v>201.0</v>
      </c>
      <c r="AJ378" s="14">
        <v>382.0</v>
      </c>
      <c r="AK378" s="14"/>
      <c r="AL378" s="14">
        <v>266.0</v>
      </c>
      <c r="AM378" s="14">
        <v>318.0</v>
      </c>
      <c r="AN378" s="14">
        <v>511.0</v>
      </c>
      <c r="AO378" s="14">
        <v>126.0</v>
      </c>
      <c r="AP378" s="14">
        <v>275.0</v>
      </c>
      <c r="AQ378" s="14">
        <v>256.0</v>
      </c>
      <c r="AR378" s="14"/>
      <c r="AS378" s="14">
        <v>204.0</v>
      </c>
      <c r="AT378" s="14">
        <v>558.0</v>
      </c>
      <c r="AU378" s="14">
        <v>129.0</v>
      </c>
      <c r="AV378" s="14">
        <v>130.0</v>
      </c>
      <c r="AW378" s="14">
        <v>223.0</v>
      </c>
      <c r="AX378" s="14">
        <v>137.0</v>
      </c>
      <c r="AY378" s="14">
        <v>125.0</v>
      </c>
      <c r="AZ378" s="26"/>
      <c r="BA378" s="26"/>
      <c r="BB378" s="26"/>
      <c r="BC378" s="26"/>
    </row>
    <row r="379">
      <c r="A379" s="27">
        <f>HYPERLINK("https://arcprize.org/play?task=e76a88a6", 368)</f>
        <v>368</v>
      </c>
      <c r="B379" s="14">
        <v>135.0</v>
      </c>
      <c r="C379" s="14">
        <v>283.0</v>
      </c>
      <c r="D379" s="14">
        <v>129.0</v>
      </c>
      <c r="E379" s="14">
        <v>261.0</v>
      </c>
      <c r="F379" s="22">
        <v>136.0</v>
      </c>
      <c r="G379" s="14">
        <v>274.0</v>
      </c>
      <c r="H379" s="14"/>
      <c r="I379" s="15"/>
      <c r="J379" s="23">
        <v>172.0</v>
      </c>
      <c r="K379" s="14">
        <v>150.0</v>
      </c>
      <c r="L379" s="14">
        <v>143.0</v>
      </c>
      <c r="M379" s="22">
        <v>143.0</v>
      </c>
      <c r="N379" s="15"/>
      <c r="O379" s="15"/>
      <c r="P379" s="15"/>
      <c r="Q379" s="14">
        <v>285.0</v>
      </c>
      <c r="R379" s="24">
        <v>175.0</v>
      </c>
      <c r="S379" s="15"/>
      <c r="T379" s="14">
        <v>293.0</v>
      </c>
      <c r="U379" s="14">
        <v>366.0</v>
      </c>
      <c r="V379" s="31"/>
      <c r="W379" s="14">
        <v>173.0</v>
      </c>
      <c r="X379" s="14">
        <v>280.0</v>
      </c>
      <c r="Y379" s="14">
        <v>283.0</v>
      </c>
      <c r="Z379" s="25">
        <v>167.0</v>
      </c>
      <c r="AA379" s="25"/>
      <c r="AB379" s="25">
        <v>280.0</v>
      </c>
      <c r="AC379" s="14">
        <v>261.0</v>
      </c>
      <c r="AD379" s="14"/>
      <c r="AE379" s="14">
        <v>261.0</v>
      </c>
      <c r="AF379" s="14">
        <v>280.0</v>
      </c>
      <c r="AG379" s="14">
        <v>334.0</v>
      </c>
      <c r="AH379" s="14">
        <v>165.0</v>
      </c>
      <c r="AI379" s="14">
        <v>233.0</v>
      </c>
      <c r="AJ379" s="14">
        <v>274.0</v>
      </c>
      <c r="AK379" s="14"/>
      <c r="AL379" s="14">
        <v>261.0</v>
      </c>
      <c r="AM379" s="14">
        <v>241.0</v>
      </c>
      <c r="AN379" s="14">
        <v>261.0</v>
      </c>
      <c r="AO379" s="14">
        <v>142.0</v>
      </c>
      <c r="AP379" s="14">
        <v>211.0</v>
      </c>
      <c r="AQ379" s="14">
        <v>224.0</v>
      </c>
      <c r="AR379" s="14"/>
      <c r="AS379" s="14">
        <v>161.0</v>
      </c>
      <c r="AT379" s="14">
        <v>260.0</v>
      </c>
      <c r="AU379" s="14">
        <v>149.0</v>
      </c>
      <c r="AV379" s="14">
        <v>140.0</v>
      </c>
      <c r="AW379" s="14">
        <v>152.0</v>
      </c>
      <c r="AX379" s="14">
        <v>145.0</v>
      </c>
      <c r="AY379" s="14">
        <v>123.0</v>
      </c>
      <c r="AZ379" s="26"/>
      <c r="BA379" s="26"/>
      <c r="BB379" s="26"/>
      <c r="BC379" s="26"/>
    </row>
    <row r="380">
      <c r="A380" s="27">
        <f>HYPERLINK("https://arcprize.org/play?task=e8593010", 369)</f>
        <v>369</v>
      </c>
      <c r="B380" s="14">
        <v>109.0</v>
      </c>
      <c r="C380" s="14">
        <v>266.0</v>
      </c>
      <c r="D380" s="14">
        <v>109.0</v>
      </c>
      <c r="E380" s="14">
        <v>262.0</v>
      </c>
      <c r="F380" s="22">
        <v>109.0</v>
      </c>
      <c r="G380" s="14">
        <v>282.0</v>
      </c>
      <c r="H380" s="15"/>
      <c r="I380" s="15"/>
      <c r="J380" s="23">
        <v>129.0</v>
      </c>
      <c r="K380" s="14">
        <v>136.0</v>
      </c>
      <c r="L380" s="14">
        <v>150.0</v>
      </c>
      <c r="M380" s="22">
        <v>112.0</v>
      </c>
      <c r="N380" s="15"/>
      <c r="O380" s="15"/>
      <c r="P380" s="15"/>
      <c r="Q380" s="14">
        <v>306.0</v>
      </c>
      <c r="R380" s="24">
        <v>144.0</v>
      </c>
      <c r="S380" s="15"/>
      <c r="T380" s="14">
        <v>227.0</v>
      </c>
      <c r="U380" s="14">
        <v>338.0</v>
      </c>
      <c r="V380" s="31"/>
      <c r="W380" s="14">
        <v>125.0</v>
      </c>
      <c r="X380" s="14">
        <v>302.0</v>
      </c>
      <c r="Y380" s="14">
        <v>306.0</v>
      </c>
      <c r="Z380" s="25">
        <v>121.0</v>
      </c>
      <c r="AA380" s="25"/>
      <c r="AB380" s="25">
        <v>249.0</v>
      </c>
      <c r="AC380" s="14">
        <v>272.0</v>
      </c>
      <c r="AD380" s="14"/>
      <c r="AE380" s="14">
        <v>272.0</v>
      </c>
      <c r="AF380" s="14">
        <v>302.0</v>
      </c>
      <c r="AG380" s="14"/>
      <c r="AH380" s="14">
        <v>209.0</v>
      </c>
      <c r="AI380" s="14">
        <v>189.0</v>
      </c>
      <c r="AJ380" s="14">
        <v>229.0</v>
      </c>
      <c r="AK380" s="14"/>
      <c r="AL380" s="14">
        <v>248.0</v>
      </c>
      <c r="AM380" s="14">
        <v>211.0</v>
      </c>
      <c r="AN380" s="14">
        <v>272.0</v>
      </c>
      <c r="AO380" s="14">
        <v>131.0</v>
      </c>
      <c r="AP380" s="14">
        <v>210.0</v>
      </c>
      <c r="AQ380" s="14">
        <v>194.0</v>
      </c>
      <c r="AR380" s="14"/>
      <c r="AS380" s="14">
        <v>143.0</v>
      </c>
      <c r="AT380" s="14">
        <v>236.0</v>
      </c>
      <c r="AU380" s="14">
        <v>124.0</v>
      </c>
      <c r="AV380" s="14">
        <v>141.0</v>
      </c>
      <c r="AW380" s="14">
        <v>124.0</v>
      </c>
      <c r="AX380" s="14">
        <v>136.0</v>
      </c>
      <c r="AY380" s="14">
        <v>109.0</v>
      </c>
      <c r="AZ380" s="26"/>
      <c r="BA380" s="26"/>
      <c r="BB380" s="26"/>
      <c r="BC380" s="26"/>
    </row>
    <row r="381">
      <c r="A381" s="27">
        <f>HYPERLINK("https://arcprize.org/play?task=e8dc4411", 370)</f>
        <v>370</v>
      </c>
      <c r="B381" s="14">
        <v>159.0</v>
      </c>
      <c r="C381" s="14">
        <v>527.0</v>
      </c>
      <c r="D381" s="14">
        <v>227.0</v>
      </c>
      <c r="E381" s="14">
        <v>547.0</v>
      </c>
      <c r="F381" s="22">
        <v>164.0</v>
      </c>
      <c r="G381" s="14">
        <v>719.0</v>
      </c>
      <c r="H381" s="15"/>
      <c r="I381" s="15"/>
      <c r="J381" s="23">
        <v>266.0</v>
      </c>
      <c r="K381" s="14">
        <v>250.0</v>
      </c>
      <c r="L381" s="14">
        <v>256.0</v>
      </c>
      <c r="M381" s="22">
        <v>255.0</v>
      </c>
      <c r="N381" s="15"/>
      <c r="O381" s="15"/>
      <c r="P381" s="15"/>
      <c r="Q381" s="14">
        <v>344.0</v>
      </c>
      <c r="R381" s="24">
        <v>257.0</v>
      </c>
      <c r="S381" s="15"/>
      <c r="T381" s="15"/>
      <c r="U381" s="15"/>
      <c r="V381" s="31"/>
      <c r="W381" s="15"/>
      <c r="X381" s="14"/>
      <c r="Y381" s="14">
        <v>658.0</v>
      </c>
      <c r="Z381" s="25">
        <v>230.0</v>
      </c>
      <c r="AA381" s="25"/>
      <c r="AB381" s="25">
        <v>426.0</v>
      </c>
      <c r="AC381" s="14">
        <v>539.0</v>
      </c>
      <c r="AD381" s="14"/>
      <c r="AE381" s="14">
        <v>256.0</v>
      </c>
      <c r="AF381" s="14">
        <v>368.0</v>
      </c>
      <c r="AG381" s="14"/>
      <c r="AH381" s="14">
        <v>277.0</v>
      </c>
      <c r="AI381" s="14">
        <v>271.0</v>
      </c>
      <c r="AJ381" s="14">
        <v>324.0</v>
      </c>
      <c r="AK381" s="14"/>
      <c r="AL381" s="14">
        <v>355.0</v>
      </c>
      <c r="AM381" s="14">
        <v>256.0</v>
      </c>
      <c r="AN381" s="14">
        <v>559.0</v>
      </c>
      <c r="AO381" s="14">
        <v>208.0</v>
      </c>
      <c r="AP381" s="14">
        <v>412.0</v>
      </c>
      <c r="AQ381" s="14">
        <v>265.0</v>
      </c>
      <c r="AR381" s="14"/>
      <c r="AS381" s="14">
        <v>266.0</v>
      </c>
      <c r="AT381" s="14">
        <v>316.0</v>
      </c>
      <c r="AU381" s="14">
        <v>249.0</v>
      </c>
      <c r="AV381" s="14">
        <v>247.0</v>
      </c>
      <c r="AW381" s="14">
        <v>208.0</v>
      </c>
      <c r="AX381" s="14">
        <v>286.0</v>
      </c>
      <c r="AY381" s="14">
        <v>159.0</v>
      </c>
      <c r="AZ381" s="26"/>
      <c r="BA381" s="26"/>
      <c r="BB381" s="26"/>
      <c r="BC381" s="26"/>
    </row>
    <row r="382">
      <c r="A382" s="27">
        <f>HYPERLINK("https://arcprize.org/play?task=e9614598", 371)</f>
        <v>371</v>
      </c>
      <c r="B382" s="14">
        <v>102.0</v>
      </c>
      <c r="C382" s="14">
        <v>159.0</v>
      </c>
      <c r="D382" s="14">
        <v>109.0</v>
      </c>
      <c r="E382" s="14">
        <v>159.0</v>
      </c>
      <c r="F382" s="22">
        <v>109.0</v>
      </c>
      <c r="G382" s="14">
        <v>159.0</v>
      </c>
      <c r="H382" s="14"/>
      <c r="I382" s="14"/>
      <c r="J382" s="23">
        <v>125.0</v>
      </c>
      <c r="K382" s="14">
        <v>111.0</v>
      </c>
      <c r="L382" s="14">
        <v>135.0</v>
      </c>
      <c r="M382" s="22">
        <v>129.0</v>
      </c>
      <c r="N382" s="14"/>
      <c r="O382" s="14"/>
      <c r="P382" s="14"/>
      <c r="Q382" s="14">
        <v>162.0</v>
      </c>
      <c r="R382" s="24">
        <v>118.0</v>
      </c>
      <c r="S382" s="14"/>
      <c r="T382" s="14">
        <v>142.0</v>
      </c>
      <c r="U382" s="14">
        <v>159.0</v>
      </c>
      <c r="V382" s="33"/>
      <c r="W382" s="14">
        <v>123.0</v>
      </c>
      <c r="X382" s="14">
        <v>159.0</v>
      </c>
      <c r="Y382" s="14">
        <v>159.0</v>
      </c>
      <c r="Z382" s="25">
        <v>117.0</v>
      </c>
      <c r="AA382" s="25"/>
      <c r="AB382" s="25">
        <v>159.0</v>
      </c>
      <c r="AC382" s="14">
        <v>159.0</v>
      </c>
      <c r="AD382" s="14"/>
      <c r="AE382" s="14">
        <v>159.0</v>
      </c>
      <c r="AF382" s="14">
        <v>159.0</v>
      </c>
      <c r="AG382" s="14">
        <v>159.0</v>
      </c>
      <c r="AH382" s="14">
        <v>126.0</v>
      </c>
      <c r="AI382" s="14">
        <v>159.0</v>
      </c>
      <c r="AJ382" s="14">
        <v>159.0</v>
      </c>
      <c r="AK382" s="14"/>
      <c r="AL382" s="14">
        <v>148.0</v>
      </c>
      <c r="AM382" s="14">
        <v>115.0</v>
      </c>
      <c r="AN382" s="14">
        <v>159.0</v>
      </c>
      <c r="AO382" s="14">
        <v>109.0</v>
      </c>
      <c r="AP382" s="14">
        <v>142.0</v>
      </c>
      <c r="AQ382" s="14">
        <v>127.0</v>
      </c>
      <c r="AR382" s="14"/>
      <c r="AS382" s="14">
        <v>142.0</v>
      </c>
      <c r="AT382" s="14">
        <v>159.0</v>
      </c>
      <c r="AU382" s="14">
        <v>124.0</v>
      </c>
      <c r="AV382" s="14">
        <v>109.0</v>
      </c>
      <c r="AW382" s="14">
        <v>109.0</v>
      </c>
      <c r="AX382" s="14">
        <v>118.0</v>
      </c>
      <c r="AY382" s="14">
        <v>102.0</v>
      </c>
      <c r="AZ382" s="26"/>
      <c r="BA382" s="26"/>
      <c r="BB382" s="26"/>
      <c r="BC382" s="26"/>
    </row>
    <row r="383">
      <c r="A383" s="27">
        <f>HYPERLINK("https://arcprize.org/play?task=e98196ab", 372)</f>
        <v>372</v>
      </c>
      <c r="B383" s="14">
        <v>47.0</v>
      </c>
      <c r="C383" s="14">
        <v>67.0</v>
      </c>
      <c r="D383" s="14">
        <v>48.0</v>
      </c>
      <c r="E383" s="14">
        <v>67.0</v>
      </c>
      <c r="F383" s="22">
        <v>47.0</v>
      </c>
      <c r="G383" s="14">
        <v>69.0</v>
      </c>
      <c r="H383" s="14">
        <v>48.0</v>
      </c>
      <c r="I383" s="14">
        <v>53.0</v>
      </c>
      <c r="J383" s="23">
        <v>48.0</v>
      </c>
      <c r="K383" s="14">
        <v>48.0</v>
      </c>
      <c r="L383" s="14">
        <v>48.0</v>
      </c>
      <c r="M383" s="22">
        <v>48.0</v>
      </c>
      <c r="N383" s="14"/>
      <c r="O383" s="14"/>
      <c r="P383" s="14"/>
      <c r="Q383" s="14">
        <v>63.0</v>
      </c>
      <c r="R383" s="24">
        <v>48.0</v>
      </c>
      <c r="S383" s="14">
        <v>66.0</v>
      </c>
      <c r="T383" s="14">
        <v>63.0</v>
      </c>
      <c r="U383" s="14">
        <v>69.0</v>
      </c>
      <c r="V383" s="29">
        <v>52.0</v>
      </c>
      <c r="W383" s="14">
        <v>47.0</v>
      </c>
      <c r="X383" s="14">
        <v>69.0</v>
      </c>
      <c r="Y383" s="14">
        <v>69.0</v>
      </c>
      <c r="Z383" s="25">
        <v>48.0</v>
      </c>
      <c r="AA383" s="25"/>
      <c r="AB383" s="25">
        <v>69.0</v>
      </c>
      <c r="AC383" s="14">
        <v>69.0</v>
      </c>
      <c r="AD383" s="14">
        <v>60.0</v>
      </c>
      <c r="AE383" s="14">
        <v>69.0</v>
      </c>
      <c r="AF383" s="14">
        <v>69.0</v>
      </c>
      <c r="AG383" s="14">
        <v>69.0</v>
      </c>
      <c r="AH383" s="14">
        <v>48.0</v>
      </c>
      <c r="AI383" s="14">
        <v>63.0</v>
      </c>
      <c r="AJ383" s="14">
        <v>63.0</v>
      </c>
      <c r="AK383" s="14">
        <v>53.0</v>
      </c>
      <c r="AL383" s="14">
        <v>51.0</v>
      </c>
      <c r="AM383" s="14">
        <v>48.0</v>
      </c>
      <c r="AN383" s="14">
        <v>69.0</v>
      </c>
      <c r="AO383" s="14">
        <v>48.0</v>
      </c>
      <c r="AP383" s="14">
        <v>48.0</v>
      </c>
      <c r="AQ383" s="14">
        <v>48.0</v>
      </c>
      <c r="AR383" s="14"/>
      <c r="AS383" s="14">
        <v>53.0</v>
      </c>
      <c r="AT383" s="14">
        <v>67.0</v>
      </c>
      <c r="AU383" s="14">
        <v>48.0</v>
      </c>
      <c r="AV383" s="14">
        <v>48.0</v>
      </c>
      <c r="AW383" s="14">
        <v>48.0</v>
      </c>
      <c r="AX383" s="14">
        <v>48.0</v>
      </c>
      <c r="AY383" s="14">
        <v>47.0</v>
      </c>
      <c r="AZ383" s="26"/>
      <c r="BA383" s="26"/>
      <c r="BB383" s="26"/>
      <c r="BC383" s="26"/>
    </row>
    <row r="384">
      <c r="A384" s="27">
        <f>HYPERLINK("https://arcprize.org/play?task=e9afcf9a", 373)</f>
        <v>373</v>
      </c>
      <c r="B384" s="14">
        <v>38.0</v>
      </c>
      <c r="C384" s="14">
        <v>73.0</v>
      </c>
      <c r="D384" s="14">
        <v>38.0</v>
      </c>
      <c r="E384" s="14">
        <v>73.0</v>
      </c>
      <c r="F384" s="22">
        <v>38.0</v>
      </c>
      <c r="G384" s="14">
        <v>56.0</v>
      </c>
      <c r="H384" s="14">
        <v>40.0</v>
      </c>
      <c r="I384" s="14">
        <v>47.0</v>
      </c>
      <c r="J384" s="23">
        <v>39.0</v>
      </c>
      <c r="K384" s="14">
        <v>39.0</v>
      </c>
      <c r="L384" s="14">
        <v>43.0</v>
      </c>
      <c r="M384" s="22">
        <v>39.0</v>
      </c>
      <c r="N384" s="14"/>
      <c r="O384" s="14"/>
      <c r="P384" s="14"/>
      <c r="Q384" s="14">
        <v>58.0</v>
      </c>
      <c r="R384" s="24">
        <v>39.0</v>
      </c>
      <c r="S384" s="14">
        <v>43.0</v>
      </c>
      <c r="T384" s="14">
        <v>58.0</v>
      </c>
      <c r="U384" s="14">
        <v>73.0</v>
      </c>
      <c r="V384" s="33"/>
      <c r="W384" s="14">
        <v>39.0</v>
      </c>
      <c r="X384" s="14">
        <v>73.0</v>
      </c>
      <c r="Y384" s="14">
        <v>73.0</v>
      </c>
      <c r="Z384" s="25">
        <v>38.0</v>
      </c>
      <c r="AA384" s="25"/>
      <c r="AB384" s="25">
        <v>59.0</v>
      </c>
      <c r="AC384" s="14">
        <v>73.0</v>
      </c>
      <c r="AD384" s="14">
        <v>48.0</v>
      </c>
      <c r="AE384" s="14">
        <v>73.0</v>
      </c>
      <c r="AF384" s="14">
        <v>73.0</v>
      </c>
      <c r="AG384" s="14">
        <v>73.0</v>
      </c>
      <c r="AH384" s="14">
        <v>40.0</v>
      </c>
      <c r="AI384" s="14">
        <v>58.0</v>
      </c>
      <c r="AJ384" s="14">
        <v>63.0</v>
      </c>
      <c r="AK384" s="14">
        <v>39.0</v>
      </c>
      <c r="AL384" s="14">
        <v>60.0</v>
      </c>
      <c r="AM384" s="14">
        <v>46.0</v>
      </c>
      <c r="AN384" s="14">
        <v>73.0</v>
      </c>
      <c r="AO384" s="14">
        <v>38.0</v>
      </c>
      <c r="AP384" s="14">
        <v>38.0</v>
      </c>
      <c r="AQ384" s="14">
        <v>64.0</v>
      </c>
      <c r="AR384" s="14"/>
      <c r="AS384" s="14">
        <v>46.0</v>
      </c>
      <c r="AT384" s="14">
        <v>73.0</v>
      </c>
      <c r="AU384" s="14">
        <v>39.0</v>
      </c>
      <c r="AV384" s="14">
        <v>38.0</v>
      </c>
      <c r="AW384" s="14">
        <v>38.0</v>
      </c>
      <c r="AX384" s="14">
        <v>39.0</v>
      </c>
      <c r="AY384" s="14">
        <v>38.0</v>
      </c>
      <c r="AZ384" s="26"/>
      <c r="BA384" s="26"/>
      <c r="BB384" s="26"/>
      <c r="BC384" s="26"/>
    </row>
    <row r="385">
      <c r="A385" s="27">
        <f>HYPERLINK("https://arcprize.org/play?task=ea32f347", 374)</f>
        <v>374</v>
      </c>
      <c r="B385" s="14">
        <v>103.0</v>
      </c>
      <c r="C385" s="14">
        <v>312.0</v>
      </c>
      <c r="D385" s="14">
        <v>107.0</v>
      </c>
      <c r="E385" s="14">
        <v>272.0</v>
      </c>
      <c r="F385" s="22">
        <v>106.0</v>
      </c>
      <c r="G385" s="14">
        <v>273.0</v>
      </c>
      <c r="H385" s="15"/>
      <c r="I385" s="15"/>
      <c r="J385" s="23">
        <v>116.0</v>
      </c>
      <c r="K385" s="14">
        <v>140.0</v>
      </c>
      <c r="L385" s="14">
        <v>132.0</v>
      </c>
      <c r="M385" s="22">
        <v>108.0</v>
      </c>
      <c r="N385" s="15"/>
      <c r="O385" s="14"/>
      <c r="P385" s="15"/>
      <c r="Q385" s="14">
        <v>307.0</v>
      </c>
      <c r="R385" s="24">
        <v>122.0</v>
      </c>
      <c r="S385" s="15"/>
      <c r="T385" s="15"/>
      <c r="U385" s="14">
        <v>367.0</v>
      </c>
      <c r="V385" s="31"/>
      <c r="W385" s="15"/>
      <c r="X385" s="14">
        <v>304.0</v>
      </c>
      <c r="Y385" s="14">
        <v>312.0</v>
      </c>
      <c r="Z385" s="25">
        <v>129.0</v>
      </c>
      <c r="AA385" s="25"/>
      <c r="AB385" s="25">
        <v>296.0</v>
      </c>
      <c r="AC385" s="14">
        <v>272.0</v>
      </c>
      <c r="AD385" s="14"/>
      <c r="AE385" s="14">
        <v>272.0</v>
      </c>
      <c r="AF385" s="14">
        <v>304.0</v>
      </c>
      <c r="AG385" s="14"/>
      <c r="AH385" s="14">
        <v>280.0</v>
      </c>
      <c r="AI385" s="14">
        <v>134.0</v>
      </c>
      <c r="AJ385" s="14">
        <v>272.0</v>
      </c>
      <c r="AK385" s="14"/>
      <c r="AL385" s="14">
        <v>259.0</v>
      </c>
      <c r="AM385" s="14">
        <v>172.0</v>
      </c>
      <c r="AN385" s="14">
        <v>272.0</v>
      </c>
      <c r="AO385" s="14">
        <v>124.0</v>
      </c>
      <c r="AP385" s="14">
        <v>262.0</v>
      </c>
      <c r="AQ385" s="14">
        <v>243.0</v>
      </c>
      <c r="AR385" s="14"/>
      <c r="AS385" s="14">
        <v>208.0</v>
      </c>
      <c r="AT385" s="14">
        <v>123.0</v>
      </c>
      <c r="AU385" s="14">
        <v>106.0</v>
      </c>
      <c r="AV385" s="14">
        <v>148.0</v>
      </c>
      <c r="AW385" s="14">
        <v>111.0</v>
      </c>
      <c r="AX385" s="14">
        <v>146.0</v>
      </c>
      <c r="AY385" s="14">
        <v>103.0</v>
      </c>
      <c r="AZ385" s="26"/>
      <c r="BA385" s="26"/>
      <c r="BB385" s="26"/>
      <c r="BC385" s="26"/>
    </row>
    <row r="386">
      <c r="A386" s="27">
        <f>HYPERLINK("https://arcprize.org/play?task=ea786f4a", 375)</f>
        <v>375</v>
      </c>
      <c r="B386" s="14">
        <v>53.0</v>
      </c>
      <c r="C386" s="14">
        <v>64.0</v>
      </c>
      <c r="D386" s="14">
        <v>53.0</v>
      </c>
      <c r="E386" s="14">
        <v>64.0</v>
      </c>
      <c r="F386" s="22">
        <v>53.0</v>
      </c>
      <c r="G386" s="14">
        <v>64.0</v>
      </c>
      <c r="H386" s="14">
        <v>64.0</v>
      </c>
      <c r="I386" s="14">
        <v>64.0</v>
      </c>
      <c r="J386" s="23">
        <v>53.0</v>
      </c>
      <c r="K386" s="14">
        <v>53.0</v>
      </c>
      <c r="L386" s="14">
        <v>53.0</v>
      </c>
      <c r="M386" s="22">
        <v>53.0</v>
      </c>
      <c r="N386" s="14"/>
      <c r="O386" s="14"/>
      <c r="P386" s="14"/>
      <c r="Q386" s="14">
        <v>66.0</v>
      </c>
      <c r="R386" s="24">
        <v>53.0</v>
      </c>
      <c r="S386" s="14">
        <v>88.0</v>
      </c>
      <c r="T386" s="14">
        <v>91.0</v>
      </c>
      <c r="U386" s="14">
        <v>64.0</v>
      </c>
      <c r="V386" s="29">
        <v>53.0</v>
      </c>
      <c r="W386" s="14">
        <v>53.0</v>
      </c>
      <c r="X386" s="14">
        <v>64.0</v>
      </c>
      <c r="Y386" s="14">
        <v>64.0</v>
      </c>
      <c r="Z386" s="25">
        <v>53.0</v>
      </c>
      <c r="AA386" s="25"/>
      <c r="AB386" s="25">
        <v>64.0</v>
      </c>
      <c r="AC386" s="14">
        <v>64.0</v>
      </c>
      <c r="AD386" s="14">
        <v>62.0</v>
      </c>
      <c r="AE386" s="14">
        <v>64.0</v>
      </c>
      <c r="AF386" s="14">
        <v>64.0</v>
      </c>
      <c r="AG386" s="14">
        <v>64.0</v>
      </c>
      <c r="AH386" s="14">
        <v>59.0</v>
      </c>
      <c r="AI386" s="14">
        <v>59.0</v>
      </c>
      <c r="AJ386" s="14">
        <v>61.0</v>
      </c>
      <c r="AK386" s="14">
        <v>62.0</v>
      </c>
      <c r="AL386" s="14">
        <v>62.0</v>
      </c>
      <c r="AM386" s="14">
        <v>64.0</v>
      </c>
      <c r="AN386" s="14">
        <v>64.0</v>
      </c>
      <c r="AO386" s="14">
        <v>53.0</v>
      </c>
      <c r="AP386" s="14">
        <v>54.0</v>
      </c>
      <c r="AQ386" s="14">
        <v>53.0</v>
      </c>
      <c r="AR386" s="14"/>
      <c r="AS386" s="14">
        <v>53.0</v>
      </c>
      <c r="AT386" s="14">
        <v>64.0</v>
      </c>
      <c r="AU386" s="14">
        <v>53.0</v>
      </c>
      <c r="AV386" s="14">
        <v>53.0</v>
      </c>
      <c r="AW386" s="14">
        <v>53.0</v>
      </c>
      <c r="AX386" s="14">
        <v>53.0</v>
      </c>
      <c r="AY386" s="14">
        <v>53.0</v>
      </c>
      <c r="AZ386" s="26"/>
      <c r="BA386" s="26"/>
      <c r="BB386" s="26"/>
      <c r="BC386" s="26"/>
    </row>
    <row r="387">
      <c r="A387" s="27">
        <f>HYPERLINK("https://arcprize.org/play?task=eb281b96", 376)</f>
        <v>376</v>
      </c>
      <c r="B387" s="14">
        <v>30.0</v>
      </c>
      <c r="C387" s="14">
        <v>33.0</v>
      </c>
      <c r="D387" s="14">
        <v>30.0</v>
      </c>
      <c r="E387" s="14">
        <v>33.0</v>
      </c>
      <c r="F387" s="22">
        <v>30.0</v>
      </c>
      <c r="G387" s="14">
        <v>30.0</v>
      </c>
      <c r="H387" s="14">
        <v>33.0</v>
      </c>
      <c r="I387" s="14">
        <v>33.0</v>
      </c>
      <c r="J387" s="23">
        <v>30.0</v>
      </c>
      <c r="K387" s="14">
        <v>30.0</v>
      </c>
      <c r="L387" s="14">
        <v>32.0</v>
      </c>
      <c r="M387" s="22">
        <v>30.0</v>
      </c>
      <c r="N387" s="14"/>
      <c r="O387" s="14"/>
      <c r="P387" s="14"/>
      <c r="Q387" s="14">
        <v>33.0</v>
      </c>
      <c r="R387" s="24">
        <v>33.0</v>
      </c>
      <c r="S387" s="14">
        <v>75.0</v>
      </c>
      <c r="T387" s="14">
        <v>33.0</v>
      </c>
      <c r="U387" s="14">
        <v>33.0</v>
      </c>
      <c r="V387" s="29">
        <v>32.0</v>
      </c>
      <c r="W387" s="14">
        <v>33.0</v>
      </c>
      <c r="X387" s="14">
        <v>33.0</v>
      </c>
      <c r="Y387" s="14">
        <v>33.0</v>
      </c>
      <c r="Z387" s="25">
        <v>30.0</v>
      </c>
      <c r="AA387" s="25"/>
      <c r="AB387" s="25">
        <v>33.0</v>
      </c>
      <c r="AC387" s="14">
        <v>33.0</v>
      </c>
      <c r="AD387" s="14">
        <v>33.0</v>
      </c>
      <c r="AE387" s="14">
        <v>33.0</v>
      </c>
      <c r="AF387" s="14">
        <v>33.0</v>
      </c>
      <c r="AG387" s="14">
        <v>33.0</v>
      </c>
      <c r="AH387" s="14">
        <v>30.0</v>
      </c>
      <c r="AI387" s="14">
        <v>30.0</v>
      </c>
      <c r="AJ387" s="14">
        <v>33.0</v>
      </c>
      <c r="AK387" s="14">
        <v>30.0</v>
      </c>
      <c r="AL387" s="14">
        <v>33.0</v>
      </c>
      <c r="AM387" s="14">
        <v>33.0</v>
      </c>
      <c r="AN387" s="14">
        <v>33.0</v>
      </c>
      <c r="AO387" s="14">
        <v>30.0</v>
      </c>
      <c r="AP387" s="14">
        <v>33.0</v>
      </c>
      <c r="AQ387" s="14">
        <v>30.0</v>
      </c>
      <c r="AR387" s="14"/>
      <c r="AS387" s="14">
        <v>30.0</v>
      </c>
      <c r="AT387" s="14">
        <v>33.0</v>
      </c>
      <c r="AU387" s="14">
        <v>30.0</v>
      </c>
      <c r="AV387" s="14">
        <v>30.0</v>
      </c>
      <c r="AW387" s="14">
        <v>30.0</v>
      </c>
      <c r="AX387" s="14">
        <v>33.0</v>
      </c>
      <c r="AY387" s="14">
        <v>30.0</v>
      </c>
      <c r="AZ387" s="26"/>
      <c r="BA387" s="26"/>
      <c r="BB387" s="26"/>
      <c r="BC387" s="26"/>
    </row>
    <row r="388">
      <c r="A388" s="27">
        <f>HYPERLINK("https://arcprize.org/play?task=eb5a1d5d", 377)</f>
        <v>377</v>
      </c>
      <c r="B388" s="14">
        <v>55.0</v>
      </c>
      <c r="C388" s="14">
        <v>73.0</v>
      </c>
      <c r="D388" s="14">
        <v>55.0</v>
      </c>
      <c r="E388" s="14">
        <v>68.0</v>
      </c>
      <c r="F388" s="22">
        <v>55.0</v>
      </c>
      <c r="G388" s="14">
        <v>248.0</v>
      </c>
      <c r="H388" s="14"/>
      <c r="I388" s="14"/>
      <c r="J388" s="23">
        <v>59.0</v>
      </c>
      <c r="K388" s="14">
        <v>68.0</v>
      </c>
      <c r="L388" s="14">
        <v>68.0</v>
      </c>
      <c r="M388" s="22">
        <v>55.0</v>
      </c>
      <c r="N388" s="14"/>
      <c r="O388" s="14"/>
      <c r="P388" s="14"/>
      <c r="Q388" s="14">
        <v>236.0</v>
      </c>
      <c r="R388" s="24">
        <v>64.0</v>
      </c>
      <c r="S388" s="14">
        <v>110.0</v>
      </c>
      <c r="T388" s="14">
        <v>168.0</v>
      </c>
      <c r="U388" s="14"/>
      <c r="V388" s="29">
        <v>145.0</v>
      </c>
      <c r="W388" s="14">
        <v>55.0</v>
      </c>
      <c r="X388" s="14"/>
      <c r="Y388" s="14">
        <v>258.0</v>
      </c>
      <c r="Z388" s="25">
        <v>59.0</v>
      </c>
      <c r="AA388" s="25"/>
      <c r="AB388" s="25">
        <v>253.0</v>
      </c>
      <c r="AC388" s="14">
        <v>159.0</v>
      </c>
      <c r="AD388" s="14"/>
      <c r="AE388" s="14">
        <v>239.0</v>
      </c>
      <c r="AF388" s="14">
        <v>253.0</v>
      </c>
      <c r="AG388" s="14"/>
      <c r="AH388" s="14">
        <v>117.0</v>
      </c>
      <c r="AI388" s="14">
        <v>68.0</v>
      </c>
      <c r="AJ388" s="14">
        <v>188.0</v>
      </c>
      <c r="AK388" s="14">
        <v>65.0</v>
      </c>
      <c r="AL388" s="14">
        <v>73.0</v>
      </c>
      <c r="AM388" s="14">
        <v>65.0</v>
      </c>
      <c r="AN388" s="14">
        <v>73.0</v>
      </c>
      <c r="AO388" s="14">
        <v>60.0</v>
      </c>
      <c r="AP388" s="14">
        <v>68.0</v>
      </c>
      <c r="AQ388" s="14">
        <v>68.0</v>
      </c>
      <c r="AR388" s="14"/>
      <c r="AS388" s="14">
        <v>73.0</v>
      </c>
      <c r="AT388" s="14">
        <v>73.0</v>
      </c>
      <c r="AU388" s="14">
        <v>59.0</v>
      </c>
      <c r="AV388" s="14">
        <v>60.0</v>
      </c>
      <c r="AW388" s="14">
        <v>60.0</v>
      </c>
      <c r="AX388" s="14">
        <v>64.0</v>
      </c>
      <c r="AY388" s="14">
        <v>55.0</v>
      </c>
      <c r="AZ388" s="26"/>
      <c r="BA388" s="26"/>
      <c r="BB388" s="26"/>
      <c r="BC388" s="26"/>
    </row>
    <row r="389">
      <c r="A389" s="27">
        <f>HYPERLINK("https://arcprize.org/play?task=ec883f72", 378)</f>
        <v>378</v>
      </c>
      <c r="B389" s="14">
        <v>140.0</v>
      </c>
      <c r="C389" s="14">
        <v>296.0</v>
      </c>
      <c r="D389" s="14">
        <v>138.0</v>
      </c>
      <c r="E389" s="14">
        <v>274.0</v>
      </c>
      <c r="F389" s="22">
        <v>131.0</v>
      </c>
      <c r="G389" s="14">
        <v>277.0</v>
      </c>
      <c r="H389" s="15"/>
      <c r="I389" s="15"/>
      <c r="J389" s="23">
        <v>145.0</v>
      </c>
      <c r="K389" s="14">
        <v>197.0</v>
      </c>
      <c r="L389" s="14">
        <v>239.0</v>
      </c>
      <c r="M389" s="22">
        <v>153.0</v>
      </c>
      <c r="N389" s="15"/>
      <c r="O389" s="15"/>
      <c r="P389" s="15"/>
      <c r="Q389" s="14">
        <v>295.0</v>
      </c>
      <c r="R389" s="24">
        <v>164.0</v>
      </c>
      <c r="S389" s="15"/>
      <c r="T389" s="15"/>
      <c r="U389" s="14">
        <v>371.0</v>
      </c>
      <c r="V389" s="31"/>
      <c r="W389" s="15"/>
      <c r="X389" s="14">
        <v>296.0</v>
      </c>
      <c r="Y389" s="14">
        <v>296.0</v>
      </c>
      <c r="Z389" s="25">
        <v>141.0</v>
      </c>
      <c r="AA389" s="25"/>
      <c r="AB389" s="25">
        <v>267.0</v>
      </c>
      <c r="AC389" s="14">
        <v>274.0</v>
      </c>
      <c r="AD389" s="14"/>
      <c r="AE389" s="14">
        <v>274.0</v>
      </c>
      <c r="AF389" s="14">
        <v>296.0</v>
      </c>
      <c r="AG389" s="14">
        <v>347.0</v>
      </c>
      <c r="AH389" s="14">
        <v>246.0</v>
      </c>
      <c r="AI389" s="14">
        <v>207.0</v>
      </c>
      <c r="AJ389" s="14">
        <v>277.0</v>
      </c>
      <c r="AK389" s="14"/>
      <c r="AL389" s="14">
        <v>274.0</v>
      </c>
      <c r="AM389" s="14">
        <v>233.0</v>
      </c>
      <c r="AN389" s="14">
        <v>274.0</v>
      </c>
      <c r="AO389" s="14">
        <v>155.0</v>
      </c>
      <c r="AP389" s="14">
        <v>227.0</v>
      </c>
      <c r="AQ389" s="14">
        <v>228.0</v>
      </c>
      <c r="AR389" s="14"/>
      <c r="AS389" s="14">
        <v>177.0</v>
      </c>
      <c r="AT389" s="14">
        <v>274.0</v>
      </c>
      <c r="AU389" s="14">
        <v>159.0</v>
      </c>
      <c r="AV389" s="14">
        <v>154.0</v>
      </c>
      <c r="AW389" s="14">
        <v>142.0</v>
      </c>
      <c r="AX389" s="14">
        <v>145.0</v>
      </c>
      <c r="AY389" s="14">
        <v>131.0</v>
      </c>
      <c r="AZ389" s="26"/>
      <c r="BA389" s="26"/>
      <c r="BB389" s="26"/>
      <c r="BC389" s="26"/>
    </row>
    <row r="390">
      <c r="A390" s="27">
        <f>HYPERLINK("https://arcprize.org/play?task=ecdecbb3", 379)</f>
        <v>379</v>
      </c>
      <c r="B390" s="14">
        <v>137.0</v>
      </c>
      <c r="C390" s="14">
        <v>407.0</v>
      </c>
      <c r="D390" s="14">
        <v>141.0</v>
      </c>
      <c r="E390" s="14">
        <v>369.0</v>
      </c>
      <c r="F390" s="22">
        <v>135.0</v>
      </c>
      <c r="G390" s="14">
        <v>398.0</v>
      </c>
      <c r="H390" s="15"/>
      <c r="I390" s="14">
        <v>263.0</v>
      </c>
      <c r="J390" s="23">
        <v>170.0</v>
      </c>
      <c r="K390" s="14">
        <v>233.0</v>
      </c>
      <c r="L390" s="14">
        <v>256.0</v>
      </c>
      <c r="M390" s="22">
        <v>137.0</v>
      </c>
      <c r="N390" s="15"/>
      <c r="O390" s="15"/>
      <c r="P390" s="15"/>
      <c r="Q390" s="14">
        <v>322.0</v>
      </c>
      <c r="R390" s="24">
        <v>170.0</v>
      </c>
      <c r="S390" s="15"/>
      <c r="T390" s="15"/>
      <c r="U390" s="15"/>
      <c r="V390" s="31"/>
      <c r="W390" s="14">
        <v>155.0</v>
      </c>
      <c r="X390" s="14"/>
      <c r="Y390" s="14">
        <v>419.0</v>
      </c>
      <c r="Z390" s="25">
        <v>179.0</v>
      </c>
      <c r="AA390" s="25"/>
      <c r="AB390" s="25">
        <v>336.0</v>
      </c>
      <c r="AC390" s="14">
        <v>369.0</v>
      </c>
      <c r="AD390" s="14"/>
      <c r="AE390" s="14">
        <v>256.0</v>
      </c>
      <c r="AF390" s="14">
        <v>334.0</v>
      </c>
      <c r="AG390" s="14"/>
      <c r="AH390" s="14">
        <v>319.0</v>
      </c>
      <c r="AI390" s="14">
        <v>266.0</v>
      </c>
      <c r="AJ390" s="14">
        <v>282.0</v>
      </c>
      <c r="AK390" s="14"/>
      <c r="AL390" s="14">
        <v>305.0</v>
      </c>
      <c r="AM390" s="14">
        <v>262.0</v>
      </c>
      <c r="AN390" s="14">
        <v>371.0</v>
      </c>
      <c r="AO390" s="14">
        <v>185.0</v>
      </c>
      <c r="AP390" s="14">
        <v>326.0</v>
      </c>
      <c r="AQ390" s="14">
        <v>271.0</v>
      </c>
      <c r="AR390" s="14"/>
      <c r="AS390" s="14">
        <v>187.0</v>
      </c>
      <c r="AT390" s="14">
        <v>351.0</v>
      </c>
      <c r="AU390" s="14">
        <v>190.0</v>
      </c>
      <c r="AV390" s="14">
        <v>163.0</v>
      </c>
      <c r="AW390" s="14">
        <v>147.0</v>
      </c>
      <c r="AX390" s="14">
        <v>183.0</v>
      </c>
      <c r="AY390" s="14">
        <v>135.0</v>
      </c>
      <c r="AZ390" s="26"/>
      <c r="BA390" s="26"/>
      <c r="BB390" s="26"/>
      <c r="BC390" s="26"/>
    </row>
    <row r="391">
      <c r="A391" s="27">
        <f>HYPERLINK("https://arcprize.org/play?task=ed36ccf7", 380)</f>
        <v>380</v>
      </c>
      <c r="B391" s="14">
        <v>27.0</v>
      </c>
      <c r="C391" s="14">
        <v>27.0</v>
      </c>
      <c r="D391" s="14">
        <v>27.0</v>
      </c>
      <c r="E391" s="14">
        <v>27.0</v>
      </c>
      <c r="F391" s="22">
        <v>27.0</v>
      </c>
      <c r="G391" s="14">
        <v>27.0</v>
      </c>
      <c r="H391" s="14">
        <v>27.0</v>
      </c>
      <c r="I391" s="14">
        <v>27.0</v>
      </c>
      <c r="J391" s="23">
        <v>27.0</v>
      </c>
      <c r="K391" s="14">
        <v>27.0</v>
      </c>
      <c r="L391" s="14">
        <v>27.0</v>
      </c>
      <c r="M391" s="22">
        <v>27.0</v>
      </c>
      <c r="N391" s="14"/>
      <c r="O391" s="14"/>
      <c r="P391" s="14"/>
      <c r="Q391" s="14">
        <v>37.0</v>
      </c>
      <c r="R391" s="24">
        <v>27.0</v>
      </c>
      <c r="S391" s="14">
        <v>37.0</v>
      </c>
      <c r="T391" s="14">
        <v>37.0</v>
      </c>
      <c r="U391" s="14">
        <v>37.0</v>
      </c>
      <c r="V391" s="14">
        <v>27.0</v>
      </c>
      <c r="W391" s="14">
        <v>27.0</v>
      </c>
      <c r="X391" s="14">
        <v>37.0</v>
      </c>
      <c r="Y391" s="14">
        <v>37.0</v>
      </c>
      <c r="Z391" s="30">
        <v>27.0</v>
      </c>
      <c r="AA391" s="25"/>
      <c r="AB391" s="25">
        <v>37.0</v>
      </c>
      <c r="AC391" s="14">
        <v>27.0</v>
      </c>
      <c r="AD391" s="14">
        <v>27.0</v>
      </c>
      <c r="AE391" s="14">
        <v>27.0</v>
      </c>
      <c r="AF391" s="14">
        <v>27.0</v>
      </c>
      <c r="AG391" s="14">
        <v>37.0</v>
      </c>
      <c r="AH391" s="14">
        <v>27.0</v>
      </c>
      <c r="AI391" s="14">
        <v>27.0</v>
      </c>
      <c r="AJ391" s="14">
        <v>27.0</v>
      </c>
      <c r="AK391" s="14">
        <v>27.0</v>
      </c>
      <c r="AL391" s="14">
        <v>27.0</v>
      </c>
      <c r="AM391" s="14">
        <v>27.0</v>
      </c>
      <c r="AN391" s="14">
        <v>27.0</v>
      </c>
      <c r="AO391" s="14">
        <v>27.0</v>
      </c>
      <c r="AP391" s="14">
        <v>27.0</v>
      </c>
      <c r="AQ391" s="14">
        <v>27.0</v>
      </c>
      <c r="AR391" s="14"/>
      <c r="AS391" s="14">
        <v>27.0</v>
      </c>
      <c r="AT391" s="14">
        <v>27.0</v>
      </c>
      <c r="AU391" s="14">
        <v>27.0</v>
      </c>
      <c r="AV391" s="14">
        <v>27.0</v>
      </c>
      <c r="AW391" s="14">
        <v>27.0</v>
      </c>
      <c r="AX391" s="14">
        <v>27.0</v>
      </c>
      <c r="AY391" s="14">
        <v>27.0</v>
      </c>
      <c r="AZ391" s="26"/>
      <c r="BA391" s="26"/>
      <c r="BB391" s="26"/>
      <c r="BC391" s="26"/>
    </row>
    <row r="392">
      <c r="A392" s="27">
        <f>HYPERLINK("https://arcprize.org/play?task=ef135b50", 381)</f>
        <v>381</v>
      </c>
      <c r="B392" s="14">
        <v>79.0</v>
      </c>
      <c r="C392" s="14">
        <v>205.0</v>
      </c>
      <c r="D392" s="14">
        <v>79.0</v>
      </c>
      <c r="E392" s="14">
        <v>201.0</v>
      </c>
      <c r="F392" s="22">
        <v>79.0</v>
      </c>
      <c r="G392" s="14">
        <v>205.0</v>
      </c>
      <c r="H392" s="14"/>
      <c r="I392" s="15"/>
      <c r="J392" s="23">
        <v>90.0</v>
      </c>
      <c r="K392" s="14">
        <v>90.0</v>
      </c>
      <c r="L392" s="14">
        <v>86.0</v>
      </c>
      <c r="M392" s="22">
        <v>86.0</v>
      </c>
      <c r="N392" s="15"/>
      <c r="O392" s="15"/>
      <c r="P392" s="15"/>
      <c r="Q392" s="14">
        <v>214.0</v>
      </c>
      <c r="R392" s="24">
        <v>91.0</v>
      </c>
      <c r="S392" s="15"/>
      <c r="T392" s="15"/>
      <c r="U392" s="14">
        <v>205.0</v>
      </c>
      <c r="V392" s="29">
        <v>92.0</v>
      </c>
      <c r="W392" s="14">
        <v>89.0</v>
      </c>
      <c r="X392" s="14">
        <v>205.0</v>
      </c>
      <c r="Y392" s="14">
        <v>205.0</v>
      </c>
      <c r="Z392" s="25">
        <v>89.0</v>
      </c>
      <c r="AA392" s="25"/>
      <c r="AB392" s="25">
        <v>115.0</v>
      </c>
      <c r="AC392" s="14">
        <v>201.0</v>
      </c>
      <c r="AD392" s="14"/>
      <c r="AE392" s="14">
        <v>201.0</v>
      </c>
      <c r="AF392" s="14">
        <v>115.0</v>
      </c>
      <c r="AG392" s="14">
        <v>205.0</v>
      </c>
      <c r="AH392" s="14">
        <v>103.0</v>
      </c>
      <c r="AI392" s="14">
        <v>99.0</v>
      </c>
      <c r="AJ392" s="14">
        <v>120.0</v>
      </c>
      <c r="AK392" s="14"/>
      <c r="AL392" s="14">
        <v>172.0</v>
      </c>
      <c r="AM392" s="14">
        <v>96.0</v>
      </c>
      <c r="AN392" s="14">
        <v>201.0</v>
      </c>
      <c r="AO392" s="14">
        <v>88.0</v>
      </c>
      <c r="AP392" s="14">
        <v>111.0</v>
      </c>
      <c r="AQ392" s="14">
        <v>112.0</v>
      </c>
      <c r="AR392" s="14"/>
      <c r="AS392" s="14">
        <v>90.0</v>
      </c>
      <c r="AT392" s="14">
        <v>116.0</v>
      </c>
      <c r="AU392" s="14">
        <v>89.0</v>
      </c>
      <c r="AV392" s="14">
        <v>86.0</v>
      </c>
      <c r="AW392" s="14">
        <v>90.0</v>
      </c>
      <c r="AX392" s="14">
        <v>90.0</v>
      </c>
      <c r="AY392" s="14">
        <v>79.0</v>
      </c>
      <c r="AZ392" s="26"/>
      <c r="BA392" s="26"/>
      <c r="BB392" s="26"/>
      <c r="BC392" s="26"/>
    </row>
    <row r="393">
      <c r="A393" s="27">
        <f>HYPERLINK("https://arcprize.org/play?task=f15e1fac", 382)</f>
        <v>382</v>
      </c>
      <c r="B393" s="14">
        <v>133.0</v>
      </c>
      <c r="C393" s="14">
        <v>265.0</v>
      </c>
      <c r="D393" s="14">
        <v>124.0</v>
      </c>
      <c r="E393" s="14">
        <v>243.0</v>
      </c>
      <c r="F393" s="22">
        <v>129.0</v>
      </c>
      <c r="G393" s="14">
        <v>247.0</v>
      </c>
      <c r="H393" s="15"/>
      <c r="I393" s="15"/>
      <c r="J393" s="34">
        <v>179.0</v>
      </c>
      <c r="K393" s="14">
        <v>157.0</v>
      </c>
      <c r="L393" s="14">
        <v>189.0</v>
      </c>
      <c r="M393" s="22">
        <v>145.0</v>
      </c>
      <c r="N393" s="15"/>
      <c r="O393" s="15"/>
      <c r="P393" s="15"/>
      <c r="Q393" s="14">
        <v>238.0</v>
      </c>
      <c r="R393" s="24">
        <v>175.0</v>
      </c>
      <c r="S393" s="15"/>
      <c r="T393" s="15"/>
      <c r="U393" s="15"/>
      <c r="V393" s="31"/>
      <c r="W393" s="14"/>
      <c r="X393" s="14"/>
      <c r="Y393" s="14">
        <v>334.0</v>
      </c>
      <c r="Z393" s="25">
        <v>142.0</v>
      </c>
      <c r="AA393" s="25"/>
      <c r="AB393" s="25">
        <v>262.0</v>
      </c>
      <c r="AC393" s="14">
        <v>243.0</v>
      </c>
      <c r="AD393" s="14"/>
      <c r="AE393" s="14">
        <v>243.0</v>
      </c>
      <c r="AF393" s="14">
        <v>354.0</v>
      </c>
      <c r="AG393" s="14"/>
      <c r="AH393" s="14">
        <v>261.0</v>
      </c>
      <c r="AI393" s="14">
        <v>226.0</v>
      </c>
      <c r="AJ393" s="14">
        <v>241.0</v>
      </c>
      <c r="AK393" s="14"/>
      <c r="AL393" s="14">
        <v>243.0</v>
      </c>
      <c r="AM393" s="14">
        <v>232.0</v>
      </c>
      <c r="AN393" s="14">
        <v>243.0</v>
      </c>
      <c r="AO393" s="14">
        <v>167.0</v>
      </c>
      <c r="AP393" s="14">
        <v>239.0</v>
      </c>
      <c r="AQ393" s="14">
        <v>231.0</v>
      </c>
      <c r="AR393" s="14"/>
      <c r="AS393" s="14">
        <v>138.0</v>
      </c>
      <c r="AT393" s="14">
        <v>243.0</v>
      </c>
      <c r="AU393" s="14">
        <v>146.0</v>
      </c>
      <c r="AV393" s="14">
        <v>138.0</v>
      </c>
      <c r="AW393" s="14">
        <v>152.0</v>
      </c>
      <c r="AX393" s="14">
        <v>196.0</v>
      </c>
      <c r="AY393" s="14">
        <v>119.0</v>
      </c>
      <c r="AZ393" s="26"/>
      <c r="BA393" s="26"/>
      <c r="BB393" s="26"/>
      <c r="BC393" s="26"/>
    </row>
    <row r="394">
      <c r="A394" s="27">
        <f>HYPERLINK("https://arcprize.org/play?task=f1cefba8", 383)</f>
        <v>383</v>
      </c>
      <c r="B394" s="14">
        <v>123.0</v>
      </c>
      <c r="C394" s="14">
        <v>396.0</v>
      </c>
      <c r="D394" s="14">
        <v>121.0</v>
      </c>
      <c r="E394" s="14">
        <v>406.0</v>
      </c>
      <c r="F394" s="22">
        <v>120.0</v>
      </c>
      <c r="G394" s="14">
        <v>480.0</v>
      </c>
      <c r="H394" s="15"/>
      <c r="I394" s="15"/>
      <c r="J394" s="23">
        <v>129.0</v>
      </c>
      <c r="K394" s="14">
        <v>151.0</v>
      </c>
      <c r="L394" s="14">
        <v>159.0</v>
      </c>
      <c r="M394" s="22">
        <v>133.0</v>
      </c>
      <c r="N394" s="15"/>
      <c r="O394" s="15"/>
      <c r="P394" s="15"/>
      <c r="Q394" s="14">
        <v>313.0</v>
      </c>
      <c r="R394" s="24">
        <v>131.0</v>
      </c>
      <c r="S394" s="15"/>
      <c r="T394" s="15"/>
      <c r="U394" s="15"/>
      <c r="V394" s="31"/>
      <c r="W394" s="14"/>
      <c r="X394" s="14"/>
      <c r="Y394" s="14">
        <v>373.0</v>
      </c>
      <c r="Z394" s="25">
        <v>167.0</v>
      </c>
      <c r="AA394" s="25"/>
      <c r="AB394" s="25">
        <v>372.0</v>
      </c>
      <c r="AC394" s="14">
        <v>431.0</v>
      </c>
      <c r="AD394" s="14"/>
      <c r="AE394" s="14">
        <v>238.0</v>
      </c>
      <c r="AF394" s="14">
        <v>413.0</v>
      </c>
      <c r="AG394" s="14"/>
      <c r="AH394" s="14">
        <v>250.0</v>
      </c>
      <c r="AI394" s="14">
        <v>228.0</v>
      </c>
      <c r="AJ394" s="14">
        <v>380.0</v>
      </c>
      <c r="AK394" s="14"/>
      <c r="AL394" s="14">
        <v>257.0</v>
      </c>
      <c r="AM394" s="14">
        <v>281.0</v>
      </c>
      <c r="AN394" s="14">
        <v>359.0</v>
      </c>
      <c r="AO394" s="14">
        <v>121.0</v>
      </c>
      <c r="AP394" s="14">
        <v>317.0</v>
      </c>
      <c r="AQ394" s="14">
        <v>258.0</v>
      </c>
      <c r="AR394" s="14"/>
      <c r="AS394" s="14">
        <v>139.0</v>
      </c>
      <c r="AT394" s="14">
        <v>257.0</v>
      </c>
      <c r="AU394" s="14">
        <v>128.0</v>
      </c>
      <c r="AV394" s="14">
        <v>130.0</v>
      </c>
      <c r="AW394" s="14">
        <v>124.0</v>
      </c>
      <c r="AX394" s="14">
        <v>142.0</v>
      </c>
      <c r="AY394" s="14">
        <v>120.0</v>
      </c>
      <c r="AZ394" s="26"/>
      <c r="BA394" s="26"/>
      <c r="BB394" s="26"/>
      <c r="BC394" s="26"/>
    </row>
    <row r="395">
      <c r="A395" s="27">
        <f>HYPERLINK("https://arcprize.org/play?task=f25fbde4", 384)</f>
        <v>384</v>
      </c>
      <c r="B395" s="14">
        <v>62.0</v>
      </c>
      <c r="C395" s="14">
        <v>203.0</v>
      </c>
      <c r="D395" s="14">
        <v>62.0</v>
      </c>
      <c r="E395" s="14">
        <v>199.0</v>
      </c>
      <c r="F395" s="22">
        <v>61.0</v>
      </c>
      <c r="G395" s="14">
        <v>200.0</v>
      </c>
      <c r="H395" s="14">
        <v>72.0</v>
      </c>
      <c r="I395" s="15"/>
      <c r="J395" s="23">
        <v>68.0</v>
      </c>
      <c r="K395" s="14">
        <v>68.0</v>
      </c>
      <c r="L395" s="14">
        <v>87.0</v>
      </c>
      <c r="M395" s="22">
        <v>64.0</v>
      </c>
      <c r="N395" s="15"/>
      <c r="O395" s="15"/>
      <c r="P395" s="15"/>
      <c r="Q395" s="15">
        <v>123.0</v>
      </c>
      <c r="R395" s="24">
        <v>70.0</v>
      </c>
      <c r="S395" s="14">
        <v>112.0</v>
      </c>
      <c r="T395" s="14">
        <v>89.0</v>
      </c>
      <c r="U395" s="14">
        <v>223.0</v>
      </c>
      <c r="V395" s="31"/>
      <c r="W395" s="14">
        <v>66.0</v>
      </c>
      <c r="X395" s="14">
        <v>217.0</v>
      </c>
      <c r="Y395" s="14">
        <v>217.0</v>
      </c>
      <c r="Z395" s="25">
        <v>65.0</v>
      </c>
      <c r="AA395" s="25"/>
      <c r="AB395" s="25">
        <v>217.0</v>
      </c>
      <c r="AC395" s="14">
        <v>199.0</v>
      </c>
      <c r="AD395" s="14"/>
      <c r="AE395" s="14">
        <v>199.0</v>
      </c>
      <c r="AF395" s="14">
        <v>166.0</v>
      </c>
      <c r="AG395" s="14">
        <v>89.0</v>
      </c>
      <c r="AH395" s="14">
        <v>89.0</v>
      </c>
      <c r="AI395" s="14">
        <v>79.0</v>
      </c>
      <c r="AJ395" s="14">
        <v>200.0</v>
      </c>
      <c r="AK395" s="14"/>
      <c r="AL395" s="14">
        <v>99.0</v>
      </c>
      <c r="AM395" s="14">
        <v>85.0</v>
      </c>
      <c r="AN395" s="14">
        <v>199.0</v>
      </c>
      <c r="AO395" s="14">
        <v>63.0</v>
      </c>
      <c r="AP395" s="14">
        <v>90.0</v>
      </c>
      <c r="AQ395" s="14">
        <v>85.0</v>
      </c>
      <c r="AR395" s="14"/>
      <c r="AS395" s="14">
        <v>82.0</v>
      </c>
      <c r="AT395" s="14">
        <v>199.0</v>
      </c>
      <c r="AU395" s="14">
        <v>69.0</v>
      </c>
      <c r="AV395" s="14">
        <v>67.0</v>
      </c>
      <c r="AW395" s="14">
        <v>65.0</v>
      </c>
      <c r="AX395" s="14">
        <v>71.0</v>
      </c>
      <c r="AY395" s="14">
        <v>61.0</v>
      </c>
      <c r="AZ395" s="26"/>
      <c r="BA395" s="26"/>
      <c r="BB395" s="26"/>
      <c r="BC395" s="26"/>
    </row>
    <row r="396">
      <c r="A396" s="27">
        <f>HYPERLINK("https://arcprize.org/play?task=f25ffba3", 385)</f>
        <v>385</v>
      </c>
      <c r="B396" s="14">
        <v>25.0</v>
      </c>
      <c r="C396" s="14">
        <v>88.0</v>
      </c>
      <c r="D396" s="14">
        <v>25.0</v>
      </c>
      <c r="E396" s="14">
        <v>88.0</v>
      </c>
      <c r="F396" s="22">
        <v>25.0</v>
      </c>
      <c r="G396" s="14">
        <v>25.0</v>
      </c>
      <c r="H396" s="14">
        <v>25.0</v>
      </c>
      <c r="I396" s="14">
        <v>25.0</v>
      </c>
      <c r="J396" s="23">
        <v>25.0</v>
      </c>
      <c r="K396" s="14">
        <v>25.0</v>
      </c>
      <c r="L396" s="14">
        <v>25.0</v>
      </c>
      <c r="M396" s="22">
        <v>25.0</v>
      </c>
      <c r="N396" s="14"/>
      <c r="O396" s="14"/>
      <c r="P396" s="14"/>
      <c r="Q396" s="14">
        <v>25.0</v>
      </c>
      <c r="R396" s="24">
        <v>26.0</v>
      </c>
      <c r="S396" s="14"/>
      <c r="T396" s="14">
        <v>25.0</v>
      </c>
      <c r="U396" s="14">
        <v>107.0</v>
      </c>
      <c r="V396" s="29">
        <v>25.0</v>
      </c>
      <c r="W396" s="14">
        <v>25.0</v>
      </c>
      <c r="X396" s="14">
        <v>107.0</v>
      </c>
      <c r="Y396" s="14">
        <v>107.0</v>
      </c>
      <c r="Z396" s="30">
        <v>25.0</v>
      </c>
      <c r="AA396" s="25"/>
      <c r="AB396" s="25">
        <v>45.0</v>
      </c>
      <c r="AC396" s="14">
        <v>107.0</v>
      </c>
      <c r="AD396" s="14">
        <v>25.0</v>
      </c>
      <c r="AE396" s="14">
        <v>25.0</v>
      </c>
      <c r="AF396" s="14">
        <v>42.0</v>
      </c>
      <c r="AG396" s="14">
        <v>107.0</v>
      </c>
      <c r="AH396" s="14">
        <v>25.0</v>
      </c>
      <c r="AI396" s="14">
        <v>25.0</v>
      </c>
      <c r="AJ396" s="14">
        <v>67.0</v>
      </c>
      <c r="AK396" s="14">
        <v>25.0</v>
      </c>
      <c r="AL396" s="14">
        <v>28.0</v>
      </c>
      <c r="AM396" s="14">
        <v>25.0</v>
      </c>
      <c r="AN396" s="14">
        <v>107.0</v>
      </c>
      <c r="AO396" s="14">
        <v>25.0</v>
      </c>
      <c r="AP396" s="14">
        <v>25.0</v>
      </c>
      <c r="AQ396" s="14">
        <v>25.0</v>
      </c>
      <c r="AR396" s="14"/>
      <c r="AS396" s="14">
        <v>26.0</v>
      </c>
      <c r="AT396" s="14">
        <v>107.0</v>
      </c>
      <c r="AU396" s="14">
        <v>25.0</v>
      </c>
      <c r="AV396" s="14">
        <v>25.0</v>
      </c>
      <c r="AW396" s="14">
        <v>25.0</v>
      </c>
      <c r="AX396" s="14">
        <v>25.0</v>
      </c>
      <c r="AY396" s="14">
        <v>25.0</v>
      </c>
      <c r="AZ396" s="26"/>
      <c r="BA396" s="26"/>
      <c r="BB396" s="26"/>
      <c r="BC396" s="26"/>
    </row>
    <row r="397">
      <c r="A397" s="27">
        <f>HYPERLINK("https://arcprize.org/play?task=f2829549", 386)</f>
        <v>386</v>
      </c>
      <c r="B397" s="14">
        <v>50.0</v>
      </c>
      <c r="C397" s="14">
        <v>141.0</v>
      </c>
      <c r="D397" s="14">
        <v>52.0</v>
      </c>
      <c r="E397" s="14">
        <v>141.0</v>
      </c>
      <c r="F397" s="22">
        <v>50.0</v>
      </c>
      <c r="G397" s="14">
        <v>56.0</v>
      </c>
      <c r="H397" s="14">
        <v>57.0</v>
      </c>
      <c r="I397" s="14">
        <v>56.0</v>
      </c>
      <c r="J397" s="23">
        <v>52.0</v>
      </c>
      <c r="K397" s="14">
        <v>52.0</v>
      </c>
      <c r="L397" s="14">
        <v>57.0</v>
      </c>
      <c r="M397" s="22">
        <v>52.0</v>
      </c>
      <c r="N397" s="14"/>
      <c r="O397" s="14"/>
      <c r="P397" s="14"/>
      <c r="Q397" s="14">
        <v>56.0</v>
      </c>
      <c r="R397" s="24">
        <v>57.0</v>
      </c>
      <c r="S397" s="14">
        <v>57.0</v>
      </c>
      <c r="T397" s="14">
        <v>57.0</v>
      </c>
      <c r="U397" s="14">
        <v>141.0</v>
      </c>
      <c r="V397" s="29">
        <v>57.0</v>
      </c>
      <c r="W397" s="14">
        <v>55.0</v>
      </c>
      <c r="X397" s="14">
        <v>141.0</v>
      </c>
      <c r="Y397" s="14">
        <v>141.0</v>
      </c>
      <c r="Z397" s="25">
        <v>52.0</v>
      </c>
      <c r="AA397" s="25"/>
      <c r="AB397" s="25">
        <v>88.0</v>
      </c>
      <c r="AC397" s="14">
        <v>123.0</v>
      </c>
      <c r="AD397" s="14">
        <v>57.0</v>
      </c>
      <c r="AE397" s="14">
        <v>58.0</v>
      </c>
      <c r="AF397" s="14">
        <v>85.0</v>
      </c>
      <c r="AG397" s="14">
        <v>141.0</v>
      </c>
      <c r="AH397" s="14">
        <v>57.0</v>
      </c>
      <c r="AI397" s="14">
        <v>56.0</v>
      </c>
      <c r="AJ397" s="14">
        <v>58.0</v>
      </c>
      <c r="AK397" s="14">
        <v>54.0</v>
      </c>
      <c r="AL397" s="14">
        <v>65.0</v>
      </c>
      <c r="AM397" s="14">
        <v>57.0</v>
      </c>
      <c r="AN397" s="14">
        <v>141.0</v>
      </c>
      <c r="AO397" s="14">
        <v>52.0</v>
      </c>
      <c r="AP397" s="14">
        <v>57.0</v>
      </c>
      <c r="AQ397" s="14">
        <v>57.0</v>
      </c>
      <c r="AR397" s="14"/>
      <c r="AS397" s="14">
        <v>58.0</v>
      </c>
      <c r="AT397" s="14">
        <v>59.0</v>
      </c>
      <c r="AU397" s="14">
        <v>53.0</v>
      </c>
      <c r="AV397" s="14">
        <v>52.0</v>
      </c>
      <c r="AW397" s="14">
        <v>50.0</v>
      </c>
      <c r="AX397" s="14">
        <v>53.0</v>
      </c>
      <c r="AY397" s="14">
        <v>50.0</v>
      </c>
      <c r="AZ397" s="26"/>
      <c r="BA397" s="26"/>
      <c r="BB397" s="26"/>
      <c r="BC397" s="26"/>
    </row>
    <row r="398">
      <c r="A398" s="27">
        <f>HYPERLINK("https://arcprize.org/play?task=f35d900a", 387)</f>
        <v>387</v>
      </c>
      <c r="B398" s="14">
        <v>192.0</v>
      </c>
      <c r="C398" s="14">
        <v>420.0</v>
      </c>
      <c r="D398" s="14">
        <v>205.0</v>
      </c>
      <c r="E398" s="14">
        <v>401.0</v>
      </c>
      <c r="F398" s="22">
        <v>201.0</v>
      </c>
      <c r="G398" s="14">
        <v>438.0</v>
      </c>
      <c r="H398" s="15"/>
      <c r="I398" s="15"/>
      <c r="J398" s="23">
        <v>215.0</v>
      </c>
      <c r="K398" s="14">
        <v>221.0</v>
      </c>
      <c r="L398" s="14">
        <v>285.0</v>
      </c>
      <c r="M398" s="22">
        <v>245.0</v>
      </c>
      <c r="N398" s="15"/>
      <c r="O398" s="15"/>
      <c r="P398" s="15"/>
      <c r="Q398" s="14">
        <v>409.0</v>
      </c>
      <c r="R398" s="24">
        <v>244.0</v>
      </c>
      <c r="S398" s="15"/>
      <c r="T398" s="15"/>
      <c r="U398" s="15"/>
      <c r="V398" s="31"/>
      <c r="W398" s="14">
        <v>225.0</v>
      </c>
      <c r="X398" s="14"/>
      <c r="Y398" s="14">
        <v>356.0</v>
      </c>
      <c r="Z398" s="25">
        <v>238.0</v>
      </c>
      <c r="AA398" s="25"/>
      <c r="AB398" s="25">
        <v>356.0</v>
      </c>
      <c r="AC398" s="14">
        <v>401.0</v>
      </c>
      <c r="AD398" s="14"/>
      <c r="AE398" s="14">
        <v>285.0</v>
      </c>
      <c r="AF398" s="14">
        <v>291.0</v>
      </c>
      <c r="AG398" s="14"/>
      <c r="AH398" s="14">
        <v>283.0</v>
      </c>
      <c r="AI398" s="14">
        <v>282.0</v>
      </c>
      <c r="AJ398" s="14">
        <v>307.0</v>
      </c>
      <c r="AK398" s="14"/>
      <c r="AL398" s="14">
        <v>333.0</v>
      </c>
      <c r="AM398" s="14">
        <v>256.0</v>
      </c>
      <c r="AN398" s="14">
        <v>401.0</v>
      </c>
      <c r="AO398" s="14">
        <v>231.0</v>
      </c>
      <c r="AP398" s="14">
        <v>298.0</v>
      </c>
      <c r="AQ398" s="14">
        <v>262.0</v>
      </c>
      <c r="AR398" s="14"/>
      <c r="AS398" s="14">
        <v>244.0</v>
      </c>
      <c r="AT398" s="14">
        <v>347.0</v>
      </c>
      <c r="AU398" s="14">
        <v>222.0</v>
      </c>
      <c r="AV398" s="14">
        <v>230.0</v>
      </c>
      <c r="AW398" s="14">
        <v>235.0</v>
      </c>
      <c r="AX398" s="14">
        <v>238.0</v>
      </c>
      <c r="AY398" s="14">
        <v>183.0</v>
      </c>
      <c r="AZ398" s="26"/>
      <c r="BA398" s="26"/>
      <c r="BB398" s="26"/>
      <c r="BC398" s="26"/>
    </row>
    <row r="399">
      <c r="A399" s="27">
        <f>HYPERLINK("https://arcprize.org/play?task=f5b8619d", 388)</f>
        <v>388</v>
      </c>
      <c r="B399" s="14">
        <v>61.0</v>
      </c>
      <c r="C399" s="14">
        <v>188.0</v>
      </c>
      <c r="D399" s="14">
        <v>62.0</v>
      </c>
      <c r="E399" s="14">
        <v>174.0</v>
      </c>
      <c r="F399" s="22">
        <v>61.0</v>
      </c>
      <c r="G399" s="14">
        <v>159.0</v>
      </c>
      <c r="H399" s="14">
        <v>62.0</v>
      </c>
      <c r="I399" s="14">
        <v>78.0</v>
      </c>
      <c r="J399" s="23">
        <v>61.0</v>
      </c>
      <c r="K399" s="14">
        <v>62.0</v>
      </c>
      <c r="L399" s="14">
        <v>67.0</v>
      </c>
      <c r="M399" s="22">
        <v>62.0</v>
      </c>
      <c r="N399" s="14"/>
      <c r="O399" s="14"/>
      <c r="P399" s="14"/>
      <c r="Q399" s="14">
        <v>70.0</v>
      </c>
      <c r="R399" s="24">
        <v>63.0</v>
      </c>
      <c r="S399" s="14">
        <v>81.0</v>
      </c>
      <c r="T399" s="14">
        <v>78.0</v>
      </c>
      <c r="U399" s="14">
        <v>190.0</v>
      </c>
      <c r="V399" s="29">
        <v>67.0</v>
      </c>
      <c r="W399" s="29">
        <v>62.0</v>
      </c>
      <c r="X399" s="14">
        <v>189.0</v>
      </c>
      <c r="Y399" s="14">
        <v>189.0</v>
      </c>
      <c r="Z399" s="25">
        <v>62.0</v>
      </c>
      <c r="AA399" s="25"/>
      <c r="AB399" s="25">
        <v>113.0</v>
      </c>
      <c r="AC399" s="14">
        <v>174.0</v>
      </c>
      <c r="AD399" s="14"/>
      <c r="AE399" s="14">
        <v>174.0</v>
      </c>
      <c r="AF399" s="14">
        <v>97.0</v>
      </c>
      <c r="AG399" s="14">
        <v>190.0</v>
      </c>
      <c r="AH399" s="14">
        <v>62.0</v>
      </c>
      <c r="AI399" s="14">
        <v>70.0</v>
      </c>
      <c r="AJ399" s="14">
        <v>83.0</v>
      </c>
      <c r="AK399" s="14"/>
      <c r="AL399" s="14">
        <v>135.0</v>
      </c>
      <c r="AM399" s="14">
        <v>66.0</v>
      </c>
      <c r="AN399" s="14">
        <v>174.0</v>
      </c>
      <c r="AO399" s="14">
        <v>62.0</v>
      </c>
      <c r="AP399" s="14">
        <v>62.0</v>
      </c>
      <c r="AQ399" s="14">
        <v>62.0</v>
      </c>
      <c r="AR399" s="14"/>
      <c r="AS399" s="14">
        <v>67.0</v>
      </c>
      <c r="AT399" s="14">
        <v>108.0</v>
      </c>
      <c r="AU399" s="14">
        <v>62.0</v>
      </c>
      <c r="AV399" s="14">
        <v>62.0</v>
      </c>
      <c r="AW399" s="14">
        <v>61.0</v>
      </c>
      <c r="AX399" s="14">
        <v>62.0</v>
      </c>
      <c r="AY399" s="14">
        <v>61.0</v>
      </c>
      <c r="AZ399" s="26"/>
      <c r="BA399" s="26"/>
      <c r="BB399" s="26"/>
      <c r="BC399" s="26"/>
    </row>
    <row r="400">
      <c r="A400" s="27">
        <f>HYPERLINK("https://arcprize.org/play?task=f76d97a5", 389)</f>
        <v>389</v>
      </c>
      <c r="B400" s="14">
        <v>57.0</v>
      </c>
      <c r="C400" s="14">
        <v>94.0</v>
      </c>
      <c r="D400" s="14">
        <v>57.0</v>
      </c>
      <c r="E400" s="14">
        <v>128.0</v>
      </c>
      <c r="F400" s="22">
        <v>57.0</v>
      </c>
      <c r="G400" s="14">
        <v>130.0</v>
      </c>
      <c r="H400" s="14"/>
      <c r="I400" s="14">
        <v>64.0</v>
      </c>
      <c r="J400" s="23">
        <v>57.0</v>
      </c>
      <c r="K400" s="14">
        <v>57.0</v>
      </c>
      <c r="L400" s="14">
        <v>63.0</v>
      </c>
      <c r="M400" s="22">
        <v>61.0</v>
      </c>
      <c r="N400" s="14"/>
      <c r="O400" s="14"/>
      <c r="P400" s="14"/>
      <c r="Q400" s="14">
        <v>77.0</v>
      </c>
      <c r="R400" s="24">
        <v>63.0</v>
      </c>
      <c r="S400" s="14">
        <v>64.0</v>
      </c>
      <c r="T400" s="14">
        <v>74.0</v>
      </c>
      <c r="U400" s="14">
        <v>130.0</v>
      </c>
      <c r="V400" s="29">
        <v>63.0</v>
      </c>
      <c r="W400" s="14">
        <v>57.0</v>
      </c>
      <c r="X400" s="14">
        <v>130.0</v>
      </c>
      <c r="Y400" s="14">
        <v>130.0</v>
      </c>
      <c r="Z400" s="25">
        <v>57.0</v>
      </c>
      <c r="AA400" s="25"/>
      <c r="AB400" s="25">
        <v>83.0</v>
      </c>
      <c r="AC400" s="14">
        <v>128.0</v>
      </c>
      <c r="AD400" s="14">
        <v>69.0</v>
      </c>
      <c r="AE400" s="14">
        <v>128.0</v>
      </c>
      <c r="AF400" s="14">
        <v>63.0</v>
      </c>
      <c r="AG400" s="14">
        <v>130.0</v>
      </c>
      <c r="AH400" s="14">
        <v>58.0</v>
      </c>
      <c r="AI400" s="14">
        <v>62.0</v>
      </c>
      <c r="AJ400" s="14">
        <v>88.0</v>
      </c>
      <c r="AK400" s="14"/>
      <c r="AL400" s="14">
        <v>97.0</v>
      </c>
      <c r="AM400" s="14">
        <v>72.0</v>
      </c>
      <c r="AN400" s="14">
        <v>128.0</v>
      </c>
      <c r="AO400" s="14">
        <v>57.0</v>
      </c>
      <c r="AP400" s="14">
        <v>62.0</v>
      </c>
      <c r="AQ400" s="14">
        <v>63.0</v>
      </c>
      <c r="AR400" s="14"/>
      <c r="AS400" s="14">
        <v>63.0</v>
      </c>
      <c r="AT400" s="14">
        <v>63.0</v>
      </c>
      <c r="AU400" s="14">
        <v>61.0</v>
      </c>
      <c r="AV400" s="14">
        <v>58.0</v>
      </c>
      <c r="AW400" s="14">
        <v>57.0</v>
      </c>
      <c r="AX400" s="14">
        <v>61.0</v>
      </c>
      <c r="AY400" s="14">
        <v>57.0</v>
      </c>
      <c r="AZ400" s="26"/>
      <c r="BA400" s="26"/>
      <c r="BB400" s="26"/>
      <c r="BC400" s="26"/>
    </row>
    <row r="401">
      <c r="A401" s="27">
        <f>HYPERLINK("https://arcprize.org/play?task=f8a8fe49", 390)</f>
        <v>390</v>
      </c>
      <c r="B401" s="14">
        <v>98.0</v>
      </c>
      <c r="C401" s="14">
        <v>361.0</v>
      </c>
      <c r="D401" s="14">
        <v>100.0</v>
      </c>
      <c r="E401" s="14">
        <v>374.0</v>
      </c>
      <c r="F401" s="22">
        <v>98.0</v>
      </c>
      <c r="G401" s="14">
        <v>420.0</v>
      </c>
      <c r="H401" s="15"/>
      <c r="I401" s="15"/>
      <c r="J401" s="23">
        <v>107.0</v>
      </c>
      <c r="K401" s="14">
        <v>119.0</v>
      </c>
      <c r="L401" s="14">
        <v>108.0</v>
      </c>
      <c r="M401" s="22">
        <v>101.0</v>
      </c>
      <c r="N401" s="15"/>
      <c r="O401" s="15"/>
      <c r="P401" s="15"/>
      <c r="Q401" s="14">
        <v>281.0</v>
      </c>
      <c r="R401" s="24">
        <v>122.0</v>
      </c>
      <c r="S401" s="15"/>
      <c r="T401" s="14">
        <v>181.0</v>
      </c>
      <c r="U401" s="15"/>
      <c r="V401" s="31"/>
      <c r="W401" s="14">
        <v>126.0</v>
      </c>
      <c r="X401" s="14"/>
      <c r="Y401" s="14">
        <v>291.0</v>
      </c>
      <c r="Z401" s="25">
        <v>113.0</v>
      </c>
      <c r="AA401" s="25"/>
      <c r="AB401" s="25">
        <v>301.0</v>
      </c>
      <c r="AC401" s="14">
        <v>291.0</v>
      </c>
      <c r="AD401" s="14"/>
      <c r="AE401" s="14">
        <v>132.0</v>
      </c>
      <c r="AF401" s="14">
        <v>391.0</v>
      </c>
      <c r="AG401" s="14"/>
      <c r="AH401" s="14">
        <v>265.0</v>
      </c>
      <c r="AI401" s="14">
        <v>129.0</v>
      </c>
      <c r="AJ401" s="14">
        <v>187.0</v>
      </c>
      <c r="AK401" s="14"/>
      <c r="AL401" s="14">
        <v>217.0</v>
      </c>
      <c r="AM401" s="14">
        <v>218.0</v>
      </c>
      <c r="AN401" s="14">
        <v>365.0</v>
      </c>
      <c r="AO401" s="14">
        <v>103.0</v>
      </c>
      <c r="AP401" s="14">
        <v>268.0</v>
      </c>
      <c r="AQ401" s="14">
        <v>195.0</v>
      </c>
      <c r="AR401" s="14"/>
      <c r="AS401" s="14">
        <v>133.0</v>
      </c>
      <c r="AT401" s="14">
        <v>283.0</v>
      </c>
      <c r="AU401" s="14">
        <v>113.0</v>
      </c>
      <c r="AV401" s="14">
        <v>121.0</v>
      </c>
      <c r="AW401" s="14">
        <v>116.0</v>
      </c>
      <c r="AX401" s="14">
        <v>120.0</v>
      </c>
      <c r="AY401" s="14">
        <v>98.0</v>
      </c>
      <c r="AZ401" s="26"/>
      <c r="BA401" s="26"/>
      <c r="BB401" s="26"/>
      <c r="BC401" s="26"/>
    </row>
    <row r="402">
      <c r="A402" s="27">
        <f>HYPERLINK("https://arcprize.org/play?task=f8b3ba0a", 391)</f>
        <v>391</v>
      </c>
      <c r="B402" s="14">
        <v>63.0</v>
      </c>
      <c r="C402" s="14">
        <v>103.0</v>
      </c>
      <c r="D402" s="14">
        <v>63.0</v>
      </c>
      <c r="E402" s="14">
        <v>104.0</v>
      </c>
      <c r="F402" s="22">
        <v>63.0</v>
      </c>
      <c r="G402" s="14">
        <v>104.0</v>
      </c>
      <c r="H402" s="14">
        <v>63.0</v>
      </c>
      <c r="I402" s="14">
        <v>74.0</v>
      </c>
      <c r="J402" s="23">
        <v>63.0</v>
      </c>
      <c r="K402" s="14">
        <v>63.0</v>
      </c>
      <c r="L402" s="14">
        <v>66.0</v>
      </c>
      <c r="M402" s="22">
        <v>63.0</v>
      </c>
      <c r="N402" s="15"/>
      <c r="O402" s="15"/>
      <c r="P402" s="15"/>
      <c r="Q402" s="15">
        <v>75.0</v>
      </c>
      <c r="R402" s="24">
        <v>63.0</v>
      </c>
      <c r="S402" s="15"/>
      <c r="T402" s="14">
        <v>74.0</v>
      </c>
      <c r="U402" s="14">
        <v>104.0</v>
      </c>
      <c r="V402" s="29">
        <v>73.0</v>
      </c>
      <c r="W402" s="29">
        <v>63.0</v>
      </c>
      <c r="X402" s="14">
        <v>104.0</v>
      </c>
      <c r="Y402" s="14">
        <v>104.0</v>
      </c>
      <c r="Z402" s="25">
        <v>63.0</v>
      </c>
      <c r="AA402" s="25"/>
      <c r="AB402" s="25">
        <v>104.0</v>
      </c>
      <c r="AC402" s="14">
        <v>104.0</v>
      </c>
      <c r="AD402" s="14">
        <v>72.0</v>
      </c>
      <c r="AE402" s="14">
        <v>66.0</v>
      </c>
      <c r="AF402" s="14">
        <v>73.0</v>
      </c>
      <c r="AG402" s="14">
        <v>104.0</v>
      </c>
      <c r="AH402" s="14">
        <v>64.0</v>
      </c>
      <c r="AI402" s="14">
        <v>66.0</v>
      </c>
      <c r="AJ402" s="14">
        <v>70.0</v>
      </c>
      <c r="AK402" s="14"/>
      <c r="AL402" s="14">
        <v>90.0</v>
      </c>
      <c r="AM402" s="14">
        <v>72.0</v>
      </c>
      <c r="AN402" s="14">
        <v>104.0</v>
      </c>
      <c r="AO402" s="14">
        <v>63.0</v>
      </c>
      <c r="AP402" s="14">
        <v>64.0</v>
      </c>
      <c r="AQ402" s="14">
        <v>66.0</v>
      </c>
      <c r="AR402" s="14"/>
      <c r="AS402" s="14">
        <v>72.0</v>
      </c>
      <c r="AT402" s="14">
        <v>104.0</v>
      </c>
      <c r="AU402" s="14">
        <v>63.0</v>
      </c>
      <c r="AV402" s="14">
        <v>63.0</v>
      </c>
      <c r="AW402" s="14">
        <v>63.0</v>
      </c>
      <c r="AX402" s="14">
        <v>63.0</v>
      </c>
      <c r="AY402" s="14">
        <v>63.0</v>
      </c>
      <c r="AZ402" s="26"/>
      <c r="BA402" s="26"/>
      <c r="BB402" s="26"/>
      <c r="BC402" s="26"/>
    </row>
    <row r="403">
      <c r="A403" s="27">
        <f>HYPERLINK("https://arcprize.org/play?task=f8c80d96", 392)</f>
        <v>392</v>
      </c>
      <c r="B403" s="14">
        <v>135.0</v>
      </c>
      <c r="C403" s="14">
        <v>161.0</v>
      </c>
      <c r="D403" s="14">
        <v>152.0</v>
      </c>
      <c r="E403" s="14">
        <v>161.0</v>
      </c>
      <c r="F403" s="22">
        <v>149.0</v>
      </c>
      <c r="G403" s="14">
        <v>161.0</v>
      </c>
      <c r="H403" s="15"/>
      <c r="I403" s="15"/>
      <c r="J403" s="23">
        <v>156.0</v>
      </c>
      <c r="K403" s="14">
        <v>158.0</v>
      </c>
      <c r="L403" s="14">
        <v>161.0</v>
      </c>
      <c r="M403" s="22">
        <v>157.0</v>
      </c>
      <c r="N403" s="15"/>
      <c r="O403" s="15"/>
      <c r="P403" s="15"/>
      <c r="Q403" s="14">
        <v>162.0</v>
      </c>
      <c r="R403" s="24">
        <v>156.0</v>
      </c>
      <c r="S403" s="15"/>
      <c r="T403" s="15"/>
      <c r="U403" s="15"/>
      <c r="V403" s="29">
        <v>161.0</v>
      </c>
      <c r="W403" s="14">
        <v>149.0</v>
      </c>
      <c r="X403" s="14"/>
      <c r="Y403" s="14">
        <v>328.0</v>
      </c>
      <c r="Z403" s="25">
        <v>158.0</v>
      </c>
      <c r="AA403" s="25">
        <v>161.0</v>
      </c>
      <c r="AB403" s="25">
        <v>161.0</v>
      </c>
      <c r="AC403" s="14">
        <v>161.0</v>
      </c>
      <c r="AD403" s="14">
        <v>161.0</v>
      </c>
      <c r="AE403" s="14">
        <v>161.0</v>
      </c>
      <c r="AF403" s="14">
        <v>358.0</v>
      </c>
      <c r="AG403" s="14"/>
      <c r="AH403" s="14">
        <v>160.0</v>
      </c>
      <c r="AI403" s="14">
        <v>161.0</v>
      </c>
      <c r="AJ403" s="14">
        <v>161.0</v>
      </c>
      <c r="AK403" s="14"/>
      <c r="AL403" s="14">
        <v>161.0</v>
      </c>
      <c r="AM403" s="14">
        <v>156.0</v>
      </c>
      <c r="AN403" s="14">
        <v>161.0</v>
      </c>
      <c r="AO403" s="14">
        <v>174.0</v>
      </c>
      <c r="AP403" s="14">
        <v>161.0</v>
      </c>
      <c r="AQ403" s="14">
        <v>159.0</v>
      </c>
      <c r="AR403" s="14"/>
      <c r="AS403" s="14">
        <v>161.0</v>
      </c>
      <c r="AT403" s="14">
        <v>161.0</v>
      </c>
      <c r="AU403" s="14">
        <v>158.0</v>
      </c>
      <c r="AV403" s="14">
        <v>152.0</v>
      </c>
      <c r="AW403" s="14">
        <v>156.0</v>
      </c>
      <c r="AX403" s="14">
        <v>155.0</v>
      </c>
      <c r="AY403" s="14">
        <v>135.0</v>
      </c>
      <c r="AZ403" s="26"/>
      <c r="BA403" s="26"/>
      <c r="BB403" s="26"/>
      <c r="BC403" s="26"/>
    </row>
    <row r="404">
      <c r="A404" s="27">
        <f>HYPERLINK("https://arcprize.org/play?task=f8ff0b80", 393)</f>
        <v>393</v>
      </c>
      <c r="B404" s="14">
        <v>63.0</v>
      </c>
      <c r="C404" s="14">
        <v>103.0</v>
      </c>
      <c r="D404" s="14">
        <v>63.0</v>
      </c>
      <c r="E404" s="14">
        <v>104.0</v>
      </c>
      <c r="F404" s="22">
        <v>63.0</v>
      </c>
      <c r="G404" s="14">
        <v>104.0</v>
      </c>
      <c r="H404" s="14"/>
      <c r="I404" s="14">
        <v>76.0</v>
      </c>
      <c r="J404" s="23">
        <v>63.0</v>
      </c>
      <c r="K404" s="14">
        <v>63.0</v>
      </c>
      <c r="L404" s="14">
        <v>63.0</v>
      </c>
      <c r="M404" s="22">
        <v>63.0</v>
      </c>
      <c r="N404" s="15"/>
      <c r="O404" s="15"/>
      <c r="P404" s="15"/>
      <c r="Q404" s="15">
        <v>75.0</v>
      </c>
      <c r="R404" s="24">
        <v>66.0</v>
      </c>
      <c r="S404" s="15"/>
      <c r="T404" s="14">
        <v>74.0</v>
      </c>
      <c r="U404" s="14">
        <v>104.0</v>
      </c>
      <c r="V404" s="29">
        <v>63.0</v>
      </c>
      <c r="W404" s="14">
        <v>63.0</v>
      </c>
      <c r="X404" s="14">
        <v>104.0</v>
      </c>
      <c r="Y404" s="14">
        <v>104.0</v>
      </c>
      <c r="Z404" s="25">
        <v>63.0</v>
      </c>
      <c r="AA404" s="25"/>
      <c r="AB404" s="25">
        <v>93.0</v>
      </c>
      <c r="AC404" s="14">
        <v>104.0</v>
      </c>
      <c r="AD404" s="14">
        <v>72.0</v>
      </c>
      <c r="AE404" s="14">
        <v>104.0</v>
      </c>
      <c r="AF404" s="14">
        <v>75.0</v>
      </c>
      <c r="AG404" s="14">
        <v>104.0</v>
      </c>
      <c r="AH404" s="14">
        <v>64.0</v>
      </c>
      <c r="AI404" s="14">
        <v>66.0</v>
      </c>
      <c r="AJ404" s="14">
        <v>70.0</v>
      </c>
      <c r="AK404" s="14"/>
      <c r="AL404" s="14">
        <v>85.0</v>
      </c>
      <c r="AM404" s="14">
        <v>75.0</v>
      </c>
      <c r="AN404" s="14">
        <v>104.0</v>
      </c>
      <c r="AO404" s="14">
        <v>63.0</v>
      </c>
      <c r="AP404" s="14">
        <v>66.0</v>
      </c>
      <c r="AQ404" s="14">
        <v>63.0</v>
      </c>
      <c r="AR404" s="14"/>
      <c r="AS404" s="14">
        <v>72.0</v>
      </c>
      <c r="AT404" s="14">
        <v>72.0</v>
      </c>
      <c r="AU404" s="14">
        <v>63.0</v>
      </c>
      <c r="AV404" s="14">
        <v>63.0</v>
      </c>
      <c r="AW404" s="14">
        <v>63.0</v>
      </c>
      <c r="AX404" s="14">
        <v>63.0</v>
      </c>
      <c r="AY404" s="14">
        <v>63.0</v>
      </c>
      <c r="AZ404" s="26"/>
      <c r="BA404" s="26"/>
      <c r="BB404" s="26"/>
      <c r="BC404" s="26"/>
    </row>
    <row r="405">
      <c r="A405" s="27">
        <f>HYPERLINK("https://arcprize.org/play?task=f9012d9b", 394)</f>
        <v>394</v>
      </c>
      <c r="B405" s="14">
        <v>91.0</v>
      </c>
      <c r="C405" s="14">
        <v>301.0</v>
      </c>
      <c r="D405" s="14">
        <v>85.0</v>
      </c>
      <c r="E405" s="14">
        <v>362.0</v>
      </c>
      <c r="F405" s="22">
        <v>85.0</v>
      </c>
      <c r="G405" s="14">
        <v>378.0</v>
      </c>
      <c r="H405" s="15"/>
      <c r="I405" s="15"/>
      <c r="J405" s="23">
        <v>95.0</v>
      </c>
      <c r="K405" s="14">
        <v>94.0</v>
      </c>
      <c r="L405" s="14">
        <v>95.0</v>
      </c>
      <c r="M405" s="22">
        <v>95.0</v>
      </c>
      <c r="N405" s="15"/>
      <c r="O405" s="15"/>
      <c r="P405" s="15"/>
      <c r="Q405" s="14">
        <v>261.0</v>
      </c>
      <c r="R405" s="24">
        <v>92.0</v>
      </c>
      <c r="S405" s="15"/>
      <c r="T405" s="15"/>
      <c r="U405" s="15"/>
      <c r="V405" s="29">
        <v>102.0</v>
      </c>
      <c r="W405" s="14">
        <v>92.0</v>
      </c>
      <c r="X405" s="14"/>
      <c r="Y405" s="14">
        <v>332.0</v>
      </c>
      <c r="Z405" s="25">
        <v>101.0</v>
      </c>
      <c r="AA405" s="25"/>
      <c r="AB405" s="25">
        <v>255.0</v>
      </c>
      <c r="AC405" s="14">
        <v>336.0</v>
      </c>
      <c r="AD405" s="14"/>
      <c r="AE405" s="14">
        <v>95.0</v>
      </c>
      <c r="AF405" s="14">
        <v>222.0</v>
      </c>
      <c r="AG405" s="14"/>
      <c r="AH405" s="14">
        <v>133.0</v>
      </c>
      <c r="AI405" s="14">
        <v>156.0</v>
      </c>
      <c r="AJ405" s="14">
        <v>240.0</v>
      </c>
      <c r="AK405" s="14"/>
      <c r="AL405" s="14">
        <v>198.0</v>
      </c>
      <c r="AM405" s="14">
        <v>127.0</v>
      </c>
      <c r="AN405" s="14">
        <v>365.0</v>
      </c>
      <c r="AO405" s="14">
        <v>113.0</v>
      </c>
      <c r="AP405" s="14">
        <v>282.0</v>
      </c>
      <c r="AQ405" s="14">
        <v>132.0</v>
      </c>
      <c r="AR405" s="14"/>
      <c r="AS405" s="14">
        <v>110.0</v>
      </c>
      <c r="AT405" s="14">
        <v>237.0</v>
      </c>
      <c r="AU405" s="14">
        <v>94.0</v>
      </c>
      <c r="AV405" s="14">
        <v>90.0</v>
      </c>
      <c r="AW405" s="14">
        <v>85.0</v>
      </c>
      <c r="AX405" s="14">
        <v>128.0</v>
      </c>
      <c r="AY405" s="14">
        <v>85.0</v>
      </c>
      <c r="AZ405" s="26"/>
      <c r="BA405" s="26"/>
      <c r="BB405" s="26"/>
      <c r="BC405" s="26"/>
    </row>
    <row r="406">
      <c r="A406" s="27">
        <f>HYPERLINK("https://arcprize.org/play?task=fafffa47", 395)</f>
        <v>395</v>
      </c>
      <c r="B406" s="14">
        <v>53.0</v>
      </c>
      <c r="C406" s="14">
        <v>69.0</v>
      </c>
      <c r="D406" s="14">
        <v>53.0</v>
      </c>
      <c r="E406" s="14">
        <v>98.0</v>
      </c>
      <c r="F406" s="22">
        <v>53.0</v>
      </c>
      <c r="G406" s="14">
        <v>69.0</v>
      </c>
      <c r="H406" s="14"/>
      <c r="I406" s="14">
        <v>63.0</v>
      </c>
      <c r="J406" s="23">
        <v>59.0</v>
      </c>
      <c r="K406" s="14">
        <v>59.0</v>
      </c>
      <c r="L406" s="14">
        <v>61.0</v>
      </c>
      <c r="M406" s="22">
        <v>56.0</v>
      </c>
      <c r="N406" s="14"/>
      <c r="O406" s="14"/>
      <c r="P406" s="14"/>
      <c r="Q406" s="14">
        <v>67.0</v>
      </c>
      <c r="R406" s="24">
        <v>61.0</v>
      </c>
      <c r="S406" s="14"/>
      <c r="T406" s="14">
        <v>68.0</v>
      </c>
      <c r="U406" s="14">
        <v>98.0</v>
      </c>
      <c r="V406" s="29">
        <v>63.0</v>
      </c>
      <c r="W406" s="14">
        <v>61.0</v>
      </c>
      <c r="X406" s="14">
        <v>98.0</v>
      </c>
      <c r="Y406" s="14">
        <v>98.0</v>
      </c>
      <c r="Z406" s="25">
        <v>60.0</v>
      </c>
      <c r="AA406" s="25"/>
      <c r="AB406" s="25">
        <v>68.0</v>
      </c>
      <c r="AC406" s="14">
        <v>98.0</v>
      </c>
      <c r="AD406" s="14"/>
      <c r="AE406" s="14">
        <v>98.0</v>
      </c>
      <c r="AF406" s="14">
        <v>63.0</v>
      </c>
      <c r="AG406" s="14">
        <v>98.0</v>
      </c>
      <c r="AH406" s="14">
        <v>61.0</v>
      </c>
      <c r="AI406" s="14">
        <v>67.0</v>
      </c>
      <c r="AJ406" s="14">
        <v>71.0</v>
      </c>
      <c r="AK406" s="14">
        <v>61.0</v>
      </c>
      <c r="AL406" s="14">
        <v>70.0</v>
      </c>
      <c r="AM406" s="14">
        <v>62.0</v>
      </c>
      <c r="AN406" s="14">
        <v>98.0</v>
      </c>
      <c r="AO406" s="14">
        <v>56.0</v>
      </c>
      <c r="AP406" s="14">
        <v>70.0</v>
      </c>
      <c r="AQ406" s="14">
        <v>64.0</v>
      </c>
      <c r="AR406" s="14"/>
      <c r="AS406" s="14">
        <v>62.0</v>
      </c>
      <c r="AT406" s="14">
        <v>94.0</v>
      </c>
      <c r="AU406" s="14">
        <v>56.0</v>
      </c>
      <c r="AV406" s="14">
        <v>58.0</v>
      </c>
      <c r="AW406" s="14">
        <v>53.0</v>
      </c>
      <c r="AX406" s="14">
        <v>60.0</v>
      </c>
      <c r="AY406" s="14">
        <v>53.0</v>
      </c>
      <c r="AZ406" s="26"/>
      <c r="BA406" s="26"/>
      <c r="BB406" s="26"/>
      <c r="BC406" s="26"/>
    </row>
    <row r="407">
      <c r="A407" s="27">
        <f>HYPERLINK("https://arcprize.org/play?task=fcb5c309", 396)</f>
        <v>396</v>
      </c>
      <c r="B407" s="14">
        <v>177.0</v>
      </c>
      <c r="C407" s="14">
        <v>341.0</v>
      </c>
      <c r="D407" s="14">
        <v>139.0</v>
      </c>
      <c r="E407" s="14">
        <v>318.0</v>
      </c>
      <c r="F407" s="22">
        <v>167.0</v>
      </c>
      <c r="G407" s="14">
        <v>337.0</v>
      </c>
      <c r="H407" s="15"/>
      <c r="I407" s="15"/>
      <c r="J407" s="23">
        <v>218.0</v>
      </c>
      <c r="K407" s="14">
        <v>205.0</v>
      </c>
      <c r="L407" s="14">
        <v>250.0</v>
      </c>
      <c r="M407" s="22">
        <v>225.0</v>
      </c>
      <c r="N407" s="15"/>
      <c r="O407" s="15"/>
      <c r="P407" s="15"/>
      <c r="Q407" s="14">
        <v>344.0</v>
      </c>
      <c r="R407" s="24">
        <v>228.0</v>
      </c>
      <c r="S407" s="15"/>
      <c r="T407" s="15"/>
      <c r="U407" s="14">
        <v>552.0</v>
      </c>
      <c r="V407" s="31"/>
      <c r="W407" s="14">
        <v>193.0</v>
      </c>
      <c r="X407" s="14">
        <v>337.0</v>
      </c>
      <c r="Y407" s="14">
        <v>341.0</v>
      </c>
      <c r="Z407" s="25">
        <v>226.0</v>
      </c>
      <c r="AA407" s="25"/>
      <c r="AB407" s="25">
        <v>337.0</v>
      </c>
      <c r="AC407" s="14">
        <v>318.0</v>
      </c>
      <c r="AD407" s="14"/>
      <c r="AE407" s="14">
        <v>319.0</v>
      </c>
      <c r="AF407" s="14">
        <v>280.0</v>
      </c>
      <c r="AG407" s="14"/>
      <c r="AH407" s="14">
        <v>290.0</v>
      </c>
      <c r="AI407" s="14">
        <v>281.0</v>
      </c>
      <c r="AJ407" s="14">
        <v>337.0</v>
      </c>
      <c r="AK407" s="14"/>
      <c r="AL407" s="14">
        <v>292.0</v>
      </c>
      <c r="AM407" s="14">
        <v>272.0</v>
      </c>
      <c r="AN407" s="14">
        <v>317.0</v>
      </c>
      <c r="AO407" s="14">
        <v>203.0</v>
      </c>
      <c r="AP407" s="14">
        <v>307.0</v>
      </c>
      <c r="AQ407" s="14">
        <v>246.0</v>
      </c>
      <c r="AR407" s="14"/>
      <c r="AS407" s="14">
        <v>239.0</v>
      </c>
      <c r="AT407" s="14">
        <v>296.0</v>
      </c>
      <c r="AU407" s="14">
        <v>171.0</v>
      </c>
      <c r="AV407" s="14">
        <v>201.0</v>
      </c>
      <c r="AW407" s="14">
        <v>194.0</v>
      </c>
      <c r="AX407" s="14">
        <v>198.0</v>
      </c>
      <c r="AY407" s="14">
        <v>138.0</v>
      </c>
      <c r="AZ407" s="26"/>
      <c r="BA407" s="26"/>
      <c r="BB407" s="26"/>
      <c r="BC407" s="26"/>
    </row>
    <row r="408">
      <c r="A408" s="27">
        <f>HYPERLINK("https://arcprize.org/play?task=fcc82909", 397)</f>
        <v>397</v>
      </c>
      <c r="B408" s="14">
        <v>117.0</v>
      </c>
      <c r="C408" s="14">
        <v>226.0</v>
      </c>
      <c r="D408" s="14">
        <v>113.0</v>
      </c>
      <c r="E408" s="14">
        <v>212.0</v>
      </c>
      <c r="F408" s="22">
        <v>110.0</v>
      </c>
      <c r="G408" s="14">
        <v>213.0</v>
      </c>
      <c r="H408" s="14"/>
      <c r="I408" s="15"/>
      <c r="J408" s="23">
        <v>132.0</v>
      </c>
      <c r="K408" s="14">
        <v>130.0</v>
      </c>
      <c r="L408" s="14">
        <v>177.0</v>
      </c>
      <c r="M408" s="22">
        <v>142.0</v>
      </c>
      <c r="N408" s="15"/>
      <c r="O408" s="15"/>
      <c r="P408" s="15"/>
      <c r="Q408" s="14">
        <v>234.0</v>
      </c>
      <c r="R408" s="24">
        <v>138.0</v>
      </c>
      <c r="S408" s="14">
        <v>159.0</v>
      </c>
      <c r="T408" s="15"/>
      <c r="U408" s="14">
        <v>225.0</v>
      </c>
      <c r="V408" s="31"/>
      <c r="W408" s="14">
        <v>133.0</v>
      </c>
      <c r="X408" s="14">
        <v>226.0</v>
      </c>
      <c r="Y408" s="14">
        <v>226.0</v>
      </c>
      <c r="Z408" s="25">
        <v>140.0</v>
      </c>
      <c r="AA408" s="25"/>
      <c r="AB408" s="25">
        <v>202.0</v>
      </c>
      <c r="AC408" s="14">
        <v>212.0</v>
      </c>
      <c r="AD408" s="14"/>
      <c r="AE408" s="14">
        <v>212.0</v>
      </c>
      <c r="AF408" s="14">
        <v>224.0</v>
      </c>
      <c r="AG408" s="14"/>
      <c r="AH408" s="14">
        <v>151.0</v>
      </c>
      <c r="AI408" s="14">
        <v>152.0</v>
      </c>
      <c r="AJ408" s="14">
        <v>182.0</v>
      </c>
      <c r="AK408" s="14"/>
      <c r="AL408" s="14">
        <v>212.0</v>
      </c>
      <c r="AM408" s="14">
        <v>140.0</v>
      </c>
      <c r="AN408" s="14">
        <v>212.0</v>
      </c>
      <c r="AO408" s="14">
        <v>124.0</v>
      </c>
      <c r="AP408" s="14">
        <v>141.0</v>
      </c>
      <c r="AQ408" s="14">
        <v>137.0</v>
      </c>
      <c r="AR408" s="14"/>
      <c r="AS408" s="14">
        <v>143.0</v>
      </c>
      <c r="AT408" s="14">
        <v>212.0</v>
      </c>
      <c r="AU408" s="14">
        <v>145.0</v>
      </c>
      <c r="AV408" s="14">
        <v>126.0</v>
      </c>
      <c r="AW408" s="14">
        <v>124.0</v>
      </c>
      <c r="AX408" s="14">
        <v>133.0</v>
      </c>
      <c r="AY408" s="14">
        <v>110.0</v>
      </c>
      <c r="AZ408" s="26"/>
      <c r="BA408" s="26"/>
      <c r="BB408" s="26"/>
      <c r="BC408" s="26"/>
    </row>
    <row r="409">
      <c r="A409" s="27">
        <f>HYPERLINK("https://arcprize.org/play?task=feca6190", 398)</f>
        <v>398</v>
      </c>
      <c r="B409" s="14">
        <v>78.0</v>
      </c>
      <c r="C409" s="14">
        <v>191.0</v>
      </c>
      <c r="D409" s="14">
        <v>73.0</v>
      </c>
      <c r="E409" s="14">
        <v>82.0</v>
      </c>
      <c r="F409" s="22">
        <v>77.0</v>
      </c>
      <c r="G409" s="14">
        <v>192.0</v>
      </c>
      <c r="H409" s="15"/>
      <c r="I409" s="14">
        <v>83.0</v>
      </c>
      <c r="J409" s="23">
        <v>79.0</v>
      </c>
      <c r="K409" s="14">
        <v>79.0</v>
      </c>
      <c r="L409" s="14">
        <v>81.0</v>
      </c>
      <c r="M409" s="22">
        <v>80.0</v>
      </c>
      <c r="N409" s="15"/>
      <c r="O409" s="15"/>
      <c r="P409" s="15"/>
      <c r="Q409" s="14">
        <v>91.0</v>
      </c>
      <c r="R409" s="24">
        <v>81.0</v>
      </c>
      <c r="S409" s="14">
        <v>106.0</v>
      </c>
      <c r="T409" s="14">
        <v>92.0</v>
      </c>
      <c r="U409" s="15"/>
      <c r="V409" s="29">
        <v>83.0</v>
      </c>
      <c r="W409" s="29">
        <v>81.0</v>
      </c>
      <c r="X409" s="14"/>
      <c r="Y409" s="14">
        <v>192.0</v>
      </c>
      <c r="Z409" s="25">
        <v>80.0</v>
      </c>
      <c r="AA409" s="25"/>
      <c r="AB409" s="25">
        <v>130.0</v>
      </c>
      <c r="AC409" s="14">
        <v>118.0</v>
      </c>
      <c r="AD409" s="14"/>
      <c r="AE409" s="14">
        <v>191.0</v>
      </c>
      <c r="AF409" s="14">
        <v>97.0</v>
      </c>
      <c r="AG409" s="14">
        <v>196.0</v>
      </c>
      <c r="AH409" s="14">
        <v>82.0</v>
      </c>
      <c r="AI409" s="14">
        <v>82.0</v>
      </c>
      <c r="AJ409" s="14">
        <v>145.0</v>
      </c>
      <c r="AK409" s="14"/>
      <c r="AL409" s="14">
        <v>117.0</v>
      </c>
      <c r="AM409" s="14">
        <v>81.0</v>
      </c>
      <c r="AN409" s="14">
        <v>191.0</v>
      </c>
      <c r="AO409" s="14">
        <v>72.0</v>
      </c>
      <c r="AP409" s="14">
        <v>81.0</v>
      </c>
      <c r="AQ409" s="14">
        <v>83.0</v>
      </c>
      <c r="AR409" s="14"/>
      <c r="AS409" s="14">
        <v>80.0</v>
      </c>
      <c r="AT409" s="14">
        <v>191.0</v>
      </c>
      <c r="AU409" s="14">
        <v>81.0</v>
      </c>
      <c r="AV409" s="14">
        <v>73.0</v>
      </c>
      <c r="AW409" s="14">
        <v>72.0</v>
      </c>
      <c r="AX409" s="14">
        <v>80.0</v>
      </c>
      <c r="AY409" s="14">
        <v>72.0</v>
      </c>
      <c r="AZ409" s="26"/>
      <c r="BA409" s="26"/>
      <c r="BB409" s="26"/>
      <c r="BC409" s="26"/>
    </row>
    <row r="410">
      <c r="A410" s="27">
        <f>HYPERLINK("https://arcprize.org/play?task=ff28f65a", 399)</f>
        <v>399</v>
      </c>
      <c r="B410" s="14">
        <v>63.0</v>
      </c>
      <c r="C410" s="14">
        <v>174.0</v>
      </c>
      <c r="D410" s="14">
        <v>63.0</v>
      </c>
      <c r="E410" s="14">
        <v>178.0</v>
      </c>
      <c r="F410" s="22">
        <v>62.0</v>
      </c>
      <c r="G410" s="14">
        <v>169.0</v>
      </c>
      <c r="H410" s="14">
        <v>66.0</v>
      </c>
      <c r="I410" s="14">
        <v>71.0</v>
      </c>
      <c r="J410" s="23">
        <v>64.0</v>
      </c>
      <c r="K410" s="14">
        <v>64.0</v>
      </c>
      <c r="L410" s="14">
        <v>67.0</v>
      </c>
      <c r="M410" s="22">
        <v>63.0</v>
      </c>
      <c r="N410" s="14"/>
      <c r="O410" s="14"/>
      <c r="P410" s="14"/>
      <c r="Q410" s="14">
        <v>78.0</v>
      </c>
      <c r="R410" s="24">
        <v>67.0</v>
      </c>
      <c r="S410" s="14">
        <v>78.0</v>
      </c>
      <c r="T410" s="14">
        <v>65.0</v>
      </c>
      <c r="U410" s="14">
        <v>326.0</v>
      </c>
      <c r="V410" s="29">
        <v>84.0</v>
      </c>
      <c r="W410" s="14">
        <v>64.0</v>
      </c>
      <c r="X410" s="14">
        <v>240.0</v>
      </c>
      <c r="Y410" s="14">
        <v>239.0</v>
      </c>
      <c r="Z410" s="25">
        <v>63.0</v>
      </c>
      <c r="AA410" s="25"/>
      <c r="AB410" s="25">
        <v>168.0</v>
      </c>
      <c r="AC410" s="14">
        <v>178.0</v>
      </c>
      <c r="AD410" s="14">
        <v>168.0</v>
      </c>
      <c r="AE410" s="14">
        <v>178.0</v>
      </c>
      <c r="AF410" s="14">
        <v>150.0</v>
      </c>
      <c r="AG410" s="14"/>
      <c r="AH410" s="14">
        <v>64.0</v>
      </c>
      <c r="AI410" s="14">
        <v>78.0</v>
      </c>
      <c r="AJ410" s="14">
        <v>97.0</v>
      </c>
      <c r="AK410" s="14"/>
      <c r="AL410" s="14">
        <v>139.0</v>
      </c>
      <c r="AM410" s="14">
        <v>65.0</v>
      </c>
      <c r="AN410" s="14">
        <v>178.0</v>
      </c>
      <c r="AO410" s="14">
        <v>64.0</v>
      </c>
      <c r="AP410" s="14">
        <v>68.0</v>
      </c>
      <c r="AQ410" s="14">
        <v>64.0</v>
      </c>
      <c r="AR410" s="14"/>
      <c r="AS410" s="14">
        <v>68.0</v>
      </c>
      <c r="AT410" s="14">
        <v>172.0</v>
      </c>
      <c r="AU410" s="14">
        <v>66.0</v>
      </c>
      <c r="AV410" s="14">
        <v>64.0</v>
      </c>
      <c r="AW410" s="14">
        <v>64.0</v>
      </c>
      <c r="AX410" s="14">
        <v>64.0</v>
      </c>
      <c r="AY410" s="14">
        <v>62.0</v>
      </c>
      <c r="AZ410" s="26"/>
      <c r="BA410" s="26"/>
      <c r="BB410" s="26"/>
      <c r="BC410" s="26"/>
    </row>
    <row r="411">
      <c r="A411" s="27">
        <f>HYPERLINK("https://arcprize.org/play?task=ff805c23", 400)</f>
        <v>400</v>
      </c>
      <c r="B411" s="14">
        <v>67.0</v>
      </c>
      <c r="C411" s="14">
        <v>252.0</v>
      </c>
      <c r="D411" s="14">
        <v>66.0</v>
      </c>
      <c r="E411" s="14">
        <v>250.0</v>
      </c>
      <c r="F411" s="22">
        <v>67.0</v>
      </c>
      <c r="G411" s="14">
        <v>271.0</v>
      </c>
      <c r="H411" s="14">
        <v>93.0</v>
      </c>
      <c r="I411" s="14">
        <v>82.0</v>
      </c>
      <c r="J411" s="23">
        <v>67.0</v>
      </c>
      <c r="K411" s="14">
        <v>67.0</v>
      </c>
      <c r="L411" s="14">
        <v>80.0</v>
      </c>
      <c r="M411" s="22">
        <v>67.0</v>
      </c>
      <c r="N411" s="14"/>
      <c r="O411" s="14"/>
      <c r="P411" s="14"/>
      <c r="Q411" s="14">
        <v>82.0</v>
      </c>
      <c r="R411" s="24">
        <v>81.0</v>
      </c>
      <c r="S411" s="14"/>
      <c r="T411" s="14">
        <v>85.0</v>
      </c>
      <c r="U411" s="14">
        <v>513.0</v>
      </c>
      <c r="V411" s="29">
        <v>80.0</v>
      </c>
      <c r="W411" s="14">
        <v>67.0</v>
      </c>
      <c r="X411" s="14">
        <v>331.0</v>
      </c>
      <c r="Y411" s="14">
        <v>273.0</v>
      </c>
      <c r="Z411" s="25">
        <v>67.0</v>
      </c>
      <c r="AA411" s="25"/>
      <c r="AB411" s="25">
        <v>265.0</v>
      </c>
      <c r="AC411" s="14">
        <v>206.0</v>
      </c>
      <c r="AD411" s="14"/>
      <c r="AE411" s="14">
        <v>250.0</v>
      </c>
      <c r="AF411" s="14">
        <v>254.0</v>
      </c>
      <c r="AG411" s="14"/>
      <c r="AH411" s="14">
        <v>79.0</v>
      </c>
      <c r="AI411" s="14">
        <v>82.0</v>
      </c>
      <c r="AJ411" s="14">
        <v>236.0</v>
      </c>
      <c r="AK411" s="14"/>
      <c r="AL411" s="14">
        <v>91.0</v>
      </c>
      <c r="AM411" s="14">
        <v>77.0</v>
      </c>
      <c r="AN411" s="14">
        <v>250.0</v>
      </c>
      <c r="AO411" s="14">
        <v>67.0</v>
      </c>
      <c r="AP411" s="14">
        <v>71.0</v>
      </c>
      <c r="AQ411" s="14">
        <v>86.0</v>
      </c>
      <c r="AR411" s="14"/>
      <c r="AS411" s="14">
        <v>68.0</v>
      </c>
      <c r="AT411" s="14">
        <v>127.0</v>
      </c>
      <c r="AU411" s="14">
        <v>70.0</v>
      </c>
      <c r="AV411" s="14">
        <v>67.0</v>
      </c>
      <c r="AW411" s="14">
        <v>67.0</v>
      </c>
      <c r="AX411" s="14">
        <v>67.0</v>
      </c>
      <c r="AY411" s="14">
        <v>66.0</v>
      </c>
      <c r="AZ411" s="26"/>
      <c r="BA411" s="26"/>
      <c r="BB411" s="26"/>
      <c r="BC411" s="26"/>
    </row>
  </sheetData>
  <conditionalFormatting sqref="B12:BC411">
    <cfRule type="expression" dxfId="0" priority="1">
      <formula>B12=INDIRECT("Compilation!$E"&amp;ROW()-3)</formula>
    </cfRule>
  </conditionalFormatting>
  <conditionalFormatting sqref="B12:BC411">
    <cfRule type="expression" dxfId="1" priority="2">
      <formula>B12=INDIRECT("Compilation!$F"&amp;ROW()-3)</formula>
    </cfRule>
  </conditionalFormatting>
  <conditionalFormatting sqref="B12:BC411">
    <cfRule type="expression" dxfId="2" priority="3">
      <formula>B12=INDIRECT("Compilation!$G"&amp;ROW()-3)</formula>
    </cfRule>
  </conditionalFormatting>
  <conditionalFormatting sqref="B12:BC411">
    <cfRule type="expression" dxfId="3" priority="4">
      <formula>B12=INDIRECT("Compilation!$H"&amp;ROW()-3)</formula>
    </cfRule>
  </conditionalFormatting>
  <conditionalFormatting sqref="AY12:AY411">
    <cfRule type="expression" dxfId="4" priority="5">
      <formula>AY12&lt;INDIRECT("Compilation!$F"&amp;ROW()-3)</formula>
    </cfRule>
  </conditionalFormatting>
  <hyperlinks>
    <hyperlink r:id="rId1" ref="B1"/>
    <hyperlink r:id="rId2" ref="D1"/>
    <hyperlink r:id="rId3" location="gid=310481599" ref="F1"/>
    <hyperlink r:id="rId4" ref="AY1"/>
  </hyperlinks>
  <printOptions gridLines="1" horizontalCentered="1"/>
  <pageMargins bottom="0.75" footer="0.0" header="0.0" left="0.7" right="0.7" top="0.75"/>
  <pageSetup fitToHeight="0" cellComments="atEnd" orientation="landscape"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1" max="4" width="12.63"/>
    <col customWidth="1" min="6" max="6" width="17.5"/>
    <col customWidth="1" min="7" max="7" width="16.0"/>
  </cols>
  <sheetData>
    <row r="1">
      <c r="A1" s="35"/>
      <c r="B1" s="35"/>
      <c r="C1" s="35"/>
      <c r="D1" s="35"/>
      <c r="E1" s="35"/>
      <c r="F1" s="36" t="s">
        <v>58</v>
      </c>
      <c r="G1" s="36" t="s">
        <v>59</v>
      </c>
      <c r="H1" s="7" t="s">
        <v>60</v>
      </c>
      <c r="J1" s="36" t="s">
        <v>61</v>
      </c>
      <c r="K1" s="14">
        <f>sum(D2:D401)</f>
        <v>280</v>
      </c>
    </row>
    <row r="2">
      <c r="A2" s="37">
        <f>Scores!A12</f>
        <v>1</v>
      </c>
      <c r="B2" s="38">
        <f>Compilation!B9</f>
        <v>58</v>
      </c>
      <c r="C2" s="38">
        <f>Scores!AY12</f>
        <v>58</v>
      </c>
      <c r="D2" s="38">
        <f t="shared" ref="D2:D401" si="1">B2-C2</f>
        <v>0</v>
      </c>
      <c r="E2" s="21">
        <f t="array" ref="E2:H401">sort(A2:D401,4,false)</f>
        <v>277</v>
      </c>
      <c r="F2" s="14">
        <v>155.0</v>
      </c>
      <c r="G2" s="14">
        <v>109.0</v>
      </c>
      <c r="H2" s="14">
        <v>46.0</v>
      </c>
      <c r="J2" s="36" t="s">
        <v>62</v>
      </c>
      <c r="K2" s="39">
        <f>1000000-sum(C2:C401)</f>
        <v>963477</v>
      </c>
    </row>
    <row r="3">
      <c r="A3" s="40">
        <f>Scores!A13</f>
        <v>2</v>
      </c>
      <c r="B3" s="38">
        <f>Compilation!B10</f>
        <v>86</v>
      </c>
      <c r="C3" s="38">
        <f>Scores!AY13</f>
        <v>85</v>
      </c>
      <c r="D3" s="38">
        <f t="shared" si="1"/>
        <v>1</v>
      </c>
      <c r="E3" s="21">
        <v>255.0</v>
      </c>
      <c r="F3" s="14">
        <v>212.0</v>
      </c>
      <c r="G3" s="14">
        <v>194.0</v>
      </c>
      <c r="H3" s="14">
        <v>18.0</v>
      </c>
    </row>
    <row r="4">
      <c r="A4" s="40">
        <f>Scores!A14</f>
        <v>3</v>
      </c>
      <c r="B4" s="38">
        <f>Compilation!B11</f>
        <v>58</v>
      </c>
      <c r="C4" s="38">
        <f>Scores!AY14</f>
        <v>58</v>
      </c>
      <c r="D4" s="38">
        <f t="shared" si="1"/>
        <v>0</v>
      </c>
      <c r="E4" s="21">
        <v>349.0</v>
      </c>
      <c r="F4" s="14">
        <v>172.0</v>
      </c>
      <c r="G4" s="14">
        <v>162.0</v>
      </c>
      <c r="H4" s="14">
        <v>10.0</v>
      </c>
    </row>
    <row r="5">
      <c r="A5" s="40">
        <f>Scores!A15</f>
        <v>4</v>
      </c>
      <c r="B5" s="38">
        <f>Compilation!B12</f>
        <v>73</v>
      </c>
      <c r="C5" s="38">
        <f>Scores!AY15</f>
        <v>73</v>
      </c>
      <c r="D5" s="38">
        <f t="shared" si="1"/>
        <v>0</v>
      </c>
      <c r="E5" s="21">
        <v>324.0</v>
      </c>
      <c r="F5" s="14">
        <v>216.0</v>
      </c>
      <c r="G5" s="14">
        <v>207.0</v>
      </c>
      <c r="H5" s="14">
        <v>9.0</v>
      </c>
    </row>
    <row r="6">
      <c r="A6" s="40">
        <f>Scores!A16</f>
        <v>5</v>
      </c>
      <c r="B6" s="38">
        <f>Compilation!B13</f>
        <v>166</v>
      </c>
      <c r="C6" s="38">
        <f>Scores!AY16</f>
        <v>166</v>
      </c>
      <c r="D6" s="38">
        <f t="shared" si="1"/>
        <v>0</v>
      </c>
      <c r="E6" s="21">
        <v>387.0</v>
      </c>
      <c r="F6" s="14">
        <v>192.0</v>
      </c>
      <c r="G6" s="14">
        <v>183.0</v>
      </c>
      <c r="H6" s="14">
        <v>9.0</v>
      </c>
    </row>
    <row r="7">
      <c r="A7" s="40">
        <f>Scores!A17</f>
        <v>6</v>
      </c>
      <c r="B7" s="38">
        <f>Compilation!B14</f>
        <v>49</v>
      </c>
      <c r="C7" s="38">
        <f>Scores!AY17</f>
        <v>49</v>
      </c>
      <c r="D7" s="38">
        <f t="shared" si="1"/>
        <v>0</v>
      </c>
      <c r="E7" s="21">
        <v>80.0</v>
      </c>
      <c r="F7" s="14">
        <v>231.0</v>
      </c>
      <c r="G7" s="14">
        <v>223.0</v>
      </c>
      <c r="H7" s="14">
        <v>8.0</v>
      </c>
    </row>
    <row r="8">
      <c r="A8" s="40">
        <f>Scores!A18</f>
        <v>7</v>
      </c>
      <c r="B8" s="38">
        <f>Compilation!B15</f>
        <v>62</v>
      </c>
      <c r="C8" s="38">
        <f>Scores!AY18</f>
        <v>62</v>
      </c>
      <c r="D8" s="38">
        <f t="shared" si="1"/>
        <v>0</v>
      </c>
      <c r="E8" s="21">
        <v>154.0</v>
      </c>
      <c r="F8" s="14">
        <v>96.0</v>
      </c>
      <c r="G8" s="14">
        <v>88.0</v>
      </c>
      <c r="H8" s="14">
        <v>8.0</v>
      </c>
    </row>
    <row r="9">
      <c r="A9" s="40">
        <f>Scores!A19</f>
        <v>8</v>
      </c>
      <c r="B9" s="38">
        <f>Compilation!B16</f>
        <v>84</v>
      </c>
      <c r="C9" s="38">
        <f>Scores!AY19</f>
        <v>83</v>
      </c>
      <c r="D9" s="38">
        <f t="shared" si="1"/>
        <v>1</v>
      </c>
      <c r="E9" s="21">
        <v>219.0</v>
      </c>
      <c r="F9" s="14">
        <v>241.0</v>
      </c>
      <c r="G9" s="14">
        <v>233.0</v>
      </c>
      <c r="H9" s="14">
        <v>8.0</v>
      </c>
    </row>
    <row r="10">
      <c r="A10" s="40">
        <f>Scores!A20</f>
        <v>9</v>
      </c>
      <c r="B10" s="38">
        <f>Compilation!B17</f>
        <v>95</v>
      </c>
      <c r="C10" s="38">
        <f>Scores!AY20</f>
        <v>95</v>
      </c>
      <c r="D10" s="38">
        <f t="shared" si="1"/>
        <v>0</v>
      </c>
      <c r="E10" s="21">
        <v>18.0</v>
      </c>
      <c r="F10" s="14">
        <v>275.0</v>
      </c>
      <c r="G10" s="14">
        <v>268.0</v>
      </c>
      <c r="H10" s="14">
        <v>7.0</v>
      </c>
    </row>
    <row r="11">
      <c r="A11" s="40">
        <f>Scores!A21</f>
        <v>10</v>
      </c>
      <c r="B11" s="38">
        <f>Compilation!B18</f>
        <v>66</v>
      </c>
      <c r="C11" s="38">
        <f>Scores!AY21</f>
        <v>66</v>
      </c>
      <c r="D11" s="38">
        <f t="shared" si="1"/>
        <v>0</v>
      </c>
      <c r="E11" s="21">
        <v>157.0</v>
      </c>
      <c r="F11" s="14">
        <v>237.0</v>
      </c>
      <c r="G11" s="14">
        <v>230.0</v>
      </c>
      <c r="H11" s="14">
        <v>7.0</v>
      </c>
    </row>
    <row r="12">
      <c r="A12" s="40">
        <f>Scores!A22</f>
        <v>11</v>
      </c>
      <c r="B12" s="38">
        <f>Compilation!B19</f>
        <v>114</v>
      </c>
      <c r="C12" s="38">
        <f>Scores!AY22</f>
        <v>113</v>
      </c>
      <c r="D12" s="38">
        <f t="shared" si="1"/>
        <v>1</v>
      </c>
      <c r="E12" s="21">
        <v>158.0</v>
      </c>
      <c r="F12" s="14">
        <v>260.0</v>
      </c>
      <c r="G12" s="14">
        <v>253.0</v>
      </c>
      <c r="H12" s="14">
        <v>7.0</v>
      </c>
    </row>
    <row r="13">
      <c r="A13" s="40">
        <f>Scores!A23</f>
        <v>12</v>
      </c>
      <c r="B13" s="38">
        <f>Compilation!B20</f>
        <v>122</v>
      </c>
      <c r="C13" s="38">
        <f>Scores!AY23</f>
        <v>122</v>
      </c>
      <c r="D13" s="38">
        <f t="shared" si="1"/>
        <v>0</v>
      </c>
      <c r="E13" s="21">
        <v>196.0</v>
      </c>
      <c r="F13" s="14">
        <v>105.0</v>
      </c>
      <c r="G13" s="14">
        <v>99.0</v>
      </c>
      <c r="H13" s="14">
        <v>6.0</v>
      </c>
    </row>
    <row r="14">
      <c r="A14" s="40">
        <f>Scores!A24</f>
        <v>13</v>
      </c>
      <c r="B14" s="38">
        <f>Compilation!B21</f>
        <v>124</v>
      </c>
      <c r="C14" s="38">
        <f>Scores!AY24</f>
        <v>124</v>
      </c>
      <c r="D14" s="38">
        <f t="shared" si="1"/>
        <v>0</v>
      </c>
      <c r="E14" s="21">
        <v>366.0</v>
      </c>
      <c r="F14" s="14">
        <v>301.0</v>
      </c>
      <c r="G14" s="14">
        <v>295.0</v>
      </c>
      <c r="H14" s="14">
        <v>6.0</v>
      </c>
    </row>
    <row r="15">
      <c r="A15" s="40">
        <f>Scores!A25</f>
        <v>14</v>
      </c>
      <c r="B15" s="38">
        <f>Compilation!B22</f>
        <v>57</v>
      </c>
      <c r="C15" s="38">
        <f>Scores!AY25</f>
        <v>57</v>
      </c>
      <c r="D15" s="38">
        <f t="shared" si="1"/>
        <v>0</v>
      </c>
      <c r="E15" s="21">
        <v>368.0</v>
      </c>
      <c r="F15" s="14">
        <v>129.0</v>
      </c>
      <c r="G15" s="14">
        <v>123.0</v>
      </c>
      <c r="H15" s="14">
        <v>6.0</v>
      </c>
    </row>
    <row r="16">
      <c r="A16" s="40">
        <f>Scores!A26</f>
        <v>15</v>
      </c>
      <c r="B16" s="38">
        <f>Compilation!B23</f>
        <v>87</v>
      </c>
      <c r="C16" s="38">
        <f>Scores!AY26</f>
        <v>87</v>
      </c>
      <c r="D16" s="38">
        <f t="shared" si="1"/>
        <v>0</v>
      </c>
      <c r="E16" s="21">
        <v>20.0</v>
      </c>
      <c r="F16" s="14">
        <v>126.0</v>
      </c>
      <c r="G16" s="14">
        <v>121.0</v>
      </c>
      <c r="H16" s="14">
        <v>5.0</v>
      </c>
    </row>
    <row r="17">
      <c r="A17" s="40">
        <f>Scores!A27</f>
        <v>16</v>
      </c>
      <c r="B17" s="38">
        <f>Compilation!B24</f>
        <v>43</v>
      </c>
      <c r="C17" s="38">
        <f>Scores!AY27</f>
        <v>43</v>
      </c>
      <c r="D17" s="38">
        <f t="shared" si="1"/>
        <v>0</v>
      </c>
      <c r="E17" s="21">
        <v>54.0</v>
      </c>
      <c r="F17" s="14">
        <v>266.0</v>
      </c>
      <c r="G17" s="14">
        <v>261.0</v>
      </c>
      <c r="H17" s="14">
        <v>5.0</v>
      </c>
    </row>
    <row r="18">
      <c r="A18" s="40">
        <f>Scores!A28</f>
        <v>17</v>
      </c>
      <c r="B18" s="38">
        <f>Compilation!B25</f>
        <v>90</v>
      </c>
      <c r="C18" s="38">
        <f>Scores!AY28</f>
        <v>89</v>
      </c>
      <c r="D18" s="38">
        <f t="shared" si="1"/>
        <v>1</v>
      </c>
      <c r="E18" s="21">
        <v>66.0</v>
      </c>
      <c r="F18" s="14">
        <v>237.0</v>
      </c>
      <c r="G18" s="14">
        <v>232.0</v>
      </c>
      <c r="H18" s="14">
        <v>5.0</v>
      </c>
    </row>
    <row r="19">
      <c r="A19" s="40">
        <f>Scores!A29</f>
        <v>18</v>
      </c>
      <c r="B19" s="38">
        <f>Compilation!B26</f>
        <v>275</v>
      </c>
      <c r="C19" s="38">
        <f>Scores!AY29</f>
        <v>268</v>
      </c>
      <c r="D19" s="38">
        <f t="shared" si="1"/>
        <v>7</v>
      </c>
      <c r="E19" s="21">
        <v>96.0</v>
      </c>
      <c r="F19" s="14">
        <v>282.0</v>
      </c>
      <c r="G19" s="14">
        <v>277.0</v>
      </c>
      <c r="H19" s="14">
        <v>5.0</v>
      </c>
    </row>
    <row r="20">
      <c r="A20" s="40">
        <f>Scores!A30</f>
        <v>19</v>
      </c>
      <c r="B20" s="38">
        <f>Compilation!B27</f>
        <v>103</v>
      </c>
      <c r="C20" s="38">
        <f>Scores!AY30</f>
        <v>103</v>
      </c>
      <c r="D20" s="38">
        <f t="shared" si="1"/>
        <v>0</v>
      </c>
      <c r="E20" s="21">
        <v>133.0</v>
      </c>
      <c r="F20" s="14">
        <v>273.0</v>
      </c>
      <c r="G20" s="14">
        <v>268.0</v>
      </c>
      <c r="H20" s="14">
        <v>5.0</v>
      </c>
    </row>
    <row r="21">
      <c r="A21" s="40">
        <f>Scores!A31</f>
        <v>20</v>
      </c>
      <c r="B21" s="38">
        <f>Compilation!B28</f>
        <v>126</v>
      </c>
      <c r="C21" s="38">
        <f>Scores!AY31</f>
        <v>121</v>
      </c>
      <c r="D21" s="38">
        <f t="shared" si="1"/>
        <v>5</v>
      </c>
      <c r="E21" s="21">
        <v>198.0</v>
      </c>
      <c r="F21" s="14">
        <v>107.0</v>
      </c>
      <c r="G21" s="14">
        <v>102.0</v>
      </c>
      <c r="H21" s="14">
        <v>5.0</v>
      </c>
    </row>
    <row r="22">
      <c r="A22" s="40">
        <f>Scores!A32</f>
        <v>21</v>
      </c>
      <c r="B22" s="38">
        <f>Compilation!B29</f>
        <v>51</v>
      </c>
      <c r="C22" s="38">
        <f>Scores!AY32</f>
        <v>51</v>
      </c>
      <c r="D22" s="38">
        <f t="shared" si="1"/>
        <v>0</v>
      </c>
      <c r="E22" s="21">
        <v>212.0</v>
      </c>
      <c r="F22" s="14">
        <v>93.0</v>
      </c>
      <c r="G22" s="14">
        <v>88.0</v>
      </c>
      <c r="H22" s="14">
        <v>5.0</v>
      </c>
    </row>
    <row r="23">
      <c r="A23" s="40">
        <f>Scores!A33</f>
        <v>22</v>
      </c>
      <c r="B23" s="38">
        <f>Compilation!B30</f>
        <v>91</v>
      </c>
      <c r="C23" s="38">
        <f>Scores!AY33</f>
        <v>91</v>
      </c>
      <c r="D23" s="38">
        <f t="shared" si="1"/>
        <v>0</v>
      </c>
      <c r="E23" s="21">
        <v>233.0</v>
      </c>
      <c r="F23" s="14">
        <v>261.0</v>
      </c>
      <c r="G23" s="14">
        <v>256.0</v>
      </c>
      <c r="H23" s="14">
        <v>5.0</v>
      </c>
    </row>
    <row r="24">
      <c r="A24" s="40">
        <f>Scores!A34</f>
        <v>23</v>
      </c>
      <c r="B24" s="38">
        <f>Compilation!B31</f>
        <v>182</v>
      </c>
      <c r="C24" s="38">
        <f>Scores!AY34</f>
        <v>181</v>
      </c>
      <c r="D24" s="38">
        <f t="shared" si="1"/>
        <v>1</v>
      </c>
      <c r="E24" s="21">
        <v>336.0</v>
      </c>
      <c r="F24" s="14">
        <v>86.0</v>
      </c>
      <c r="G24" s="14">
        <v>81.0</v>
      </c>
      <c r="H24" s="14">
        <v>5.0</v>
      </c>
    </row>
    <row r="25">
      <c r="A25" s="40">
        <f>Scores!A35</f>
        <v>24</v>
      </c>
      <c r="B25" s="38">
        <f>Compilation!B32</f>
        <v>62</v>
      </c>
      <c r="C25" s="38">
        <f>Scores!AY35</f>
        <v>62</v>
      </c>
      <c r="D25" s="38">
        <f t="shared" si="1"/>
        <v>0</v>
      </c>
      <c r="E25" s="21">
        <v>382.0</v>
      </c>
      <c r="F25" s="14">
        <v>124.0</v>
      </c>
      <c r="G25" s="14">
        <v>119.0</v>
      </c>
      <c r="H25" s="14">
        <v>5.0</v>
      </c>
    </row>
    <row r="26">
      <c r="A26" s="40">
        <f>Scores!A36</f>
        <v>25</v>
      </c>
      <c r="B26" s="38">
        <f>Compilation!B33</f>
        <v>127</v>
      </c>
      <c r="C26" s="38">
        <f>Scores!AY36</f>
        <v>127</v>
      </c>
      <c r="D26" s="38">
        <f t="shared" si="1"/>
        <v>0</v>
      </c>
      <c r="E26" s="21">
        <v>44.0</v>
      </c>
      <c r="F26" s="14">
        <v>195.0</v>
      </c>
      <c r="G26" s="14">
        <v>191.0</v>
      </c>
      <c r="H26" s="14">
        <v>4.0</v>
      </c>
    </row>
    <row r="27">
      <c r="A27" s="40">
        <f>Scores!A37</f>
        <v>26</v>
      </c>
      <c r="B27" s="38">
        <f>Compilation!B34</f>
        <v>50</v>
      </c>
      <c r="C27" s="38">
        <f>Scores!AY37</f>
        <v>50</v>
      </c>
      <c r="D27" s="38">
        <f t="shared" si="1"/>
        <v>0</v>
      </c>
      <c r="E27" s="21">
        <v>76.0</v>
      </c>
      <c r="F27" s="14">
        <v>258.0</v>
      </c>
      <c r="G27" s="14">
        <v>254.0</v>
      </c>
      <c r="H27" s="14">
        <v>4.0</v>
      </c>
    </row>
    <row r="28">
      <c r="A28" s="40">
        <f>Scores!A38</f>
        <v>27</v>
      </c>
      <c r="B28" s="38">
        <f>Compilation!B35</f>
        <v>97</v>
      </c>
      <c r="C28" s="38">
        <f>Scores!AY38</f>
        <v>97</v>
      </c>
      <c r="D28" s="38">
        <f t="shared" si="1"/>
        <v>0</v>
      </c>
      <c r="E28" s="21">
        <v>101.0</v>
      </c>
      <c r="F28" s="14">
        <v>258.0</v>
      </c>
      <c r="G28" s="14">
        <v>254.0</v>
      </c>
      <c r="H28" s="14">
        <v>4.0</v>
      </c>
    </row>
    <row r="29">
      <c r="A29" s="40">
        <f>Scores!A39</f>
        <v>28</v>
      </c>
      <c r="B29" s="38">
        <f>Compilation!B36</f>
        <v>63</v>
      </c>
      <c r="C29" s="38">
        <f>Scores!AY39</f>
        <v>63</v>
      </c>
      <c r="D29" s="38">
        <f t="shared" si="1"/>
        <v>0</v>
      </c>
      <c r="E29" s="21">
        <v>120.0</v>
      </c>
      <c r="F29" s="14">
        <v>78.0</v>
      </c>
      <c r="G29" s="14">
        <v>74.0</v>
      </c>
      <c r="H29" s="14">
        <v>4.0</v>
      </c>
    </row>
    <row r="30">
      <c r="A30" s="40">
        <f>Scores!A40</f>
        <v>29</v>
      </c>
      <c r="B30" s="38">
        <f>Compilation!B37</f>
        <v>103</v>
      </c>
      <c r="C30" s="38">
        <f>Scores!AY40</f>
        <v>103</v>
      </c>
      <c r="D30" s="38">
        <f t="shared" si="1"/>
        <v>0</v>
      </c>
      <c r="E30" s="21">
        <v>173.0</v>
      </c>
      <c r="F30" s="14">
        <v>201.0</v>
      </c>
      <c r="G30" s="14">
        <v>197.0</v>
      </c>
      <c r="H30" s="14">
        <v>4.0</v>
      </c>
    </row>
    <row r="31">
      <c r="A31" s="40">
        <f>Scores!A41</f>
        <v>30</v>
      </c>
      <c r="B31" s="38">
        <f>Compilation!B38</f>
        <v>93</v>
      </c>
      <c r="C31" s="38">
        <f>Scores!AY41</f>
        <v>91</v>
      </c>
      <c r="D31" s="38">
        <f t="shared" si="1"/>
        <v>2</v>
      </c>
      <c r="E31" s="21">
        <v>245.0</v>
      </c>
      <c r="F31" s="14">
        <v>98.0</v>
      </c>
      <c r="G31" s="14">
        <v>94.0</v>
      </c>
      <c r="H31" s="14">
        <v>4.0</v>
      </c>
    </row>
    <row r="32">
      <c r="A32" s="40">
        <f>Scores!A42</f>
        <v>31</v>
      </c>
      <c r="B32" s="38">
        <f>Compilation!B39</f>
        <v>45</v>
      </c>
      <c r="C32" s="38">
        <f>Scores!AY42</f>
        <v>45</v>
      </c>
      <c r="D32" s="38">
        <f t="shared" si="1"/>
        <v>0</v>
      </c>
      <c r="E32" s="21">
        <v>285.0</v>
      </c>
      <c r="F32" s="14">
        <v>226.0</v>
      </c>
      <c r="G32" s="14">
        <v>222.0</v>
      </c>
      <c r="H32" s="14">
        <v>4.0</v>
      </c>
    </row>
    <row r="33">
      <c r="A33" s="40">
        <f>Scores!A43</f>
        <v>32</v>
      </c>
      <c r="B33" s="38">
        <f>Compilation!B40</f>
        <v>39</v>
      </c>
      <c r="C33" s="38">
        <f>Scores!AY43</f>
        <v>39</v>
      </c>
      <c r="D33" s="38">
        <f t="shared" si="1"/>
        <v>0</v>
      </c>
      <c r="E33" s="21">
        <v>308.0</v>
      </c>
      <c r="F33" s="14">
        <v>192.0</v>
      </c>
      <c r="G33" s="14">
        <v>188.0</v>
      </c>
      <c r="H33" s="14">
        <v>4.0</v>
      </c>
    </row>
    <row r="34">
      <c r="A34" s="40">
        <f>Scores!A44</f>
        <v>33</v>
      </c>
      <c r="B34" s="38">
        <f>Compilation!B41</f>
        <v>71</v>
      </c>
      <c r="C34" s="38">
        <f>Scores!AY44</f>
        <v>71</v>
      </c>
      <c r="D34" s="38">
        <f t="shared" si="1"/>
        <v>0</v>
      </c>
      <c r="E34" s="21">
        <v>48.0</v>
      </c>
      <c r="F34" s="14">
        <v>92.0</v>
      </c>
      <c r="G34" s="14">
        <v>89.0</v>
      </c>
      <c r="H34" s="14">
        <v>3.0</v>
      </c>
    </row>
    <row r="35">
      <c r="A35" s="40">
        <f>Scores!A45</f>
        <v>34</v>
      </c>
      <c r="B35" s="38">
        <f>Compilation!B42</f>
        <v>116</v>
      </c>
      <c r="C35" s="38">
        <f>Scores!AY45</f>
        <v>116</v>
      </c>
      <c r="D35" s="38">
        <f t="shared" si="1"/>
        <v>0</v>
      </c>
      <c r="E35" s="21">
        <v>89.0</v>
      </c>
      <c r="F35" s="14">
        <v>232.0</v>
      </c>
      <c r="G35" s="14">
        <v>229.0</v>
      </c>
      <c r="H35" s="14">
        <v>3.0</v>
      </c>
    </row>
    <row r="36">
      <c r="A36" s="40">
        <f>Scores!A46</f>
        <v>35</v>
      </c>
      <c r="B36" s="38">
        <f>Compilation!B43</f>
        <v>82</v>
      </c>
      <c r="C36" s="38">
        <f>Scores!AY46</f>
        <v>82</v>
      </c>
      <c r="D36" s="38">
        <f t="shared" si="1"/>
        <v>0</v>
      </c>
      <c r="E36" s="21">
        <v>118.0</v>
      </c>
      <c r="F36" s="14">
        <v>225.0</v>
      </c>
      <c r="G36" s="14">
        <v>222.0</v>
      </c>
      <c r="H36" s="14">
        <v>3.0</v>
      </c>
    </row>
    <row r="37">
      <c r="A37" s="40">
        <f>Scores!A47</f>
        <v>36</v>
      </c>
      <c r="B37" s="38">
        <f>Compilation!B44</f>
        <v>75</v>
      </c>
      <c r="C37" s="38">
        <f>Scores!AY47</f>
        <v>75</v>
      </c>
      <c r="D37" s="38">
        <f t="shared" si="1"/>
        <v>0</v>
      </c>
      <c r="E37" s="21">
        <v>209.0</v>
      </c>
      <c r="F37" s="14">
        <v>247.0</v>
      </c>
      <c r="G37" s="14">
        <v>244.0</v>
      </c>
      <c r="H37" s="14">
        <v>3.0</v>
      </c>
    </row>
    <row r="38">
      <c r="A38" s="40">
        <f>Scores!A48</f>
        <v>37</v>
      </c>
      <c r="B38" s="38">
        <f>Compilation!B45</f>
        <v>101</v>
      </c>
      <c r="C38" s="38">
        <f>Scores!AY48</f>
        <v>101</v>
      </c>
      <c r="D38" s="38">
        <f t="shared" si="1"/>
        <v>0</v>
      </c>
      <c r="E38" s="21">
        <v>30.0</v>
      </c>
      <c r="F38" s="14">
        <v>93.0</v>
      </c>
      <c r="G38" s="14">
        <v>91.0</v>
      </c>
      <c r="H38" s="14">
        <v>2.0</v>
      </c>
    </row>
    <row r="39">
      <c r="A39" s="40">
        <f>Scores!A49</f>
        <v>38</v>
      </c>
      <c r="B39" s="38">
        <f>Compilation!B46</f>
        <v>51</v>
      </c>
      <c r="C39" s="38">
        <f>Scores!AY49</f>
        <v>51</v>
      </c>
      <c r="D39" s="38">
        <f t="shared" si="1"/>
        <v>0</v>
      </c>
      <c r="E39" s="21">
        <v>108.0</v>
      </c>
      <c r="F39" s="14">
        <v>46.0</v>
      </c>
      <c r="G39" s="14">
        <v>44.0</v>
      </c>
      <c r="H39" s="14">
        <v>2.0</v>
      </c>
    </row>
    <row r="40">
      <c r="A40" s="40">
        <f>Scores!A50</f>
        <v>39</v>
      </c>
      <c r="B40" s="38">
        <f>Compilation!B47</f>
        <v>60</v>
      </c>
      <c r="C40" s="38">
        <f>Scores!AY50</f>
        <v>60</v>
      </c>
      <c r="D40" s="38">
        <f t="shared" si="1"/>
        <v>0</v>
      </c>
      <c r="E40" s="21">
        <v>138.0</v>
      </c>
      <c r="F40" s="14">
        <v>103.0</v>
      </c>
      <c r="G40" s="14">
        <v>101.0</v>
      </c>
      <c r="H40" s="14">
        <v>2.0</v>
      </c>
    </row>
    <row r="41">
      <c r="A41" s="40">
        <f>Scores!A51</f>
        <v>40</v>
      </c>
      <c r="B41" s="38">
        <f>Compilation!B48</f>
        <v>63</v>
      </c>
      <c r="C41" s="38">
        <f>Scores!AY51</f>
        <v>63</v>
      </c>
      <c r="D41" s="38">
        <f t="shared" si="1"/>
        <v>0</v>
      </c>
      <c r="E41" s="21">
        <v>201.0</v>
      </c>
      <c r="F41" s="14">
        <v>187.0</v>
      </c>
      <c r="G41" s="14">
        <v>185.0</v>
      </c>
      <c r="H41" s="14">
        <v>2.0</v>
      </c>
    </row>
    <row r="42">
      <c r="A42" s="40">
        <f>Scores!A52</f>
        <v>41</v>
      </c>
      <c r="B42" s="38">
        <f>Compilation!B49</f>
        <v>49</v>
      </c>
      <c r="C42" s="38">
        <f>Scores!AY52</f>
        <v>49</v>
      </c>
      <c r="D42" s="38">
        <f t="shared" si="1"/>
        <v>0</v>
      </c>
      <c r="E42" s="21">
        <v>207.0</v>
      </c>
      <c r="F42" s="14">
        <v>74.0</v>
      </c>
      <c r="G42" s="14">
        <v>72.0</v>
      </c>
      <c r="H42" s="14">
        <v>2.0</v>
      </c>
    </row>
    <row r="43">
      <c r="A43" s="40">
        <f>Scores!A53</f>
        <v>42</v>
      </c>
      <c r="B43" s="38">
        <f>Compilation!B50</f>
        <v>132</v>
      </c>
      <c r="C43" s="38">
        <f>Scores!AY53</f>
        <v>132</v>
      </c>
      <c r="D43" s="38">
        <f t="shared" si="1"/>
        <v>0</v>
      </c>
      <c r="E43" s="21">
        <v>228.0</v>
      </c>
      <c r="F43" s="14">
        <v>116.0</v>
      </c>
      <c r="G43" s="14">
        <v>114.0</v>
      </c>
      <c r="H43" s="14">
        <v>2.0</v>
      </c>
    </row>
    <row r="44">
      <c r="A44" s="40">
        <f>Scores!A54</f>
        <v>43</v>
      </c>
      <c r="B44" s="38">
        <f>Compilation!B51</f>
        <v>56</v>
      </c>
      <c r="C44" s="38">
        <f>Scores!AY54</f>
        <v>56</v>
      </c>
      <c r="D44" s="38">
        <f t="shared" si="1"/>
        <v>0</v>
      </c>
      <c r="E44" s="21">
        <v>361.0</v>
      </c>
      <c r="F44" s="14">
        <v>185.0</v>
      </c>
      <c r="G44" s="14">
        <v>183.0</v>
      </c>
      <c r="H44" s="14">
        <v>2.0</v>
      </c>
    </row>
    <row r="45">
      <c r="A45" s="40">
        <f>Scores!A55</f>
        <v>44</v>
      </c>
      <c r="B45" s="38">
        <f>Compilation!B52</f>
        <v>195</v>
      </c>
      <c r="C45" s="38">
        <f>Scores!AY55</f>
        <v>191</v>
      </c>
      <c r="D45" s="38">
        <f t="shared" si="1"/>
        <v>4</v>
      </c>
      <c r="E45" s="21">
        <v>2.0</v>
      </c>
      <c r="F45" s="14">
        <v>86.0</v>
      </c>
      <c r="G45" s="14">
        <v>85.0</v>
      </c>
      <c r="H45" s="14">
        <v>1.0</v>
      </c>
    </row>
    <row r="46">
      <c r="A46" s="40">
        <f>Scores!A56</f>
        <v>45</v>
      </c>
      <c r="B46" s="38">
        <f>Compilation!B53</f>
        <v>45</v>
      </c>
      <c r="C46" s="38">
        <f>Scores!AY56</f>
        <v>45</v>
      </c>
      <c r="D46" s="38">
        <f t="shared" si="1"/>
        <v>0</v>
      </c>
      <c r="E46" s="21">
        <v>8.0</v>
      </c>
      <c r="F46" s="14">
        <v>84.0</v>
      </c>
      <c r="G46" s="14">
        <v>83.0</v>
      </c>
      <c r="H46" s="14">
        <v>1.0</v>
      </c>
    </row>
    <row r="47">
      <c r="A47" s="40">
        <f>Scores!A57</f>
        <v>46</v>
      </c>
      <c r="B47" s="38">
        <f>Compilation!B54</f>
        <v>166</v>
      </c>
      <c r="C47" s="38">
        <f>Scores!AY57</f>
        <v>166</v>
      </c>
      <c r="D47" s="38">
        <f t="shared" si="1"/>
        <v>0</v>
      </c>
      <c r="E47" s="21">
        <v>11.0</v>
      </c>
      <c r="F47" s="14">
        <v>114.0</v>
      </c>
      <c r="G47" s="14">
        <v>113.0</v>
      </c>
      <c r="H47" s="14">
        <v>1.0</v>
      </c>
    </row>
    <row r="48">
      <c r="A48" s="40">
        <f>Scores!A58</f>
        <v>47</v>
      </c>
      <c r="B48" s="38">
        <f>Compilation!B55</f>
        <v>55</v>
      </c>
      <c r="C48" s="38">
        <f>Scores!AY58</f>
        <v>55</v>
      </c>
      <c r="D48" s="38">
        <f t="shared" si="1"/>
        <v>0</v>
      </c>
      <c r="E48" s="21">
        <v>17.0</v>
      </c>
      <c r="F48" s="14">
        <v>90.0</v>
      </c>
      <c r="G48" s="14">
        <v>89.0</v>
      </c>
      <c r="H48" s="14">
        <v>1.0</v>
      </c>
    </row>
    <row r="49">
      <c r="A49" s="40">
        <f>Scores!A59</f>
        <v>48</v>
      </c>
      <c r="B49" s="38">
        <f>Compilation!B56</f>
        <v>92</v>
      </c>
      <c r="C49" s="38">
        <f>Scores!AY59</f>
        <v>89</v>
      </c>
      <c r="D49" s="38">
        <f t="shared" si="1"/>
        <v>3</v>
      </c>
      <c r="E49" s="21">
        <v>23.0</v>
      </c>
      <c r="F49" s="14">
        <v>182.0</v>
      </c>
      <c r="G49" s="14">
        <v>181.0</v>
      </c>
      <c r="H49" s="14">
        <v>1.0</v>
      </c>
    </row>
    <row r="50">
      <c r="A50" s="40">
        <f>Scores!A60</f>
        <v>49</v>
      </c>
      <c r="B50" s="38">
        <f>Compilation!B57</f>
        <v>81</v>
      </c>
      <c r="C50" s="38">
        <f>Scores!AY60</f>
        <v>81</v>
      </c>
      <c r="D50" s="38">
        <f t="shared" si="1"/>
        <v>0</v>
      </c>
      <c r="E50" s="21">
        <v>71.0</v>
      </c>
      <c r="F50" s="14">
        <v>100.0</v>
      </c>
      <c r="G50" s="14">
        <v>99.0</v>
      </c>
      <c r="H50" s="14">
        <v>1.0</v>
      </c>
    </row>
    <row r="51">
      <c r="A51" s="40">
        <f>Scores!A61</f>
        <v>50</v>
      </c>
      <c r="B51" s="38">
        <f>Compilation!B58</f>
        <v>83</v>
      </c>
      <c r="C51" s="38">
        <f>Scores!AY61</f>
        <v>83</v>
      </c>
      <c r="D51" s="38">
        <f t="shared" si="1"/>
        <v>0</v>
      </c>
      <c r="E51" s="21">
        <v>90.0</v>
      </c>
      <c r="F51" s="14">
        <v>147.0</v>
      </c>
      <c r="G51" s="14">
        <v>146.0</v>
      </c>
      <c r="H51" s="14">
        <v>1.0</v>
      </c>
    </row>
    <row r="52">
      <c r="A52" s="40">
        <f>Scores!A62</f>
        <v>51</v>
      </c>
      <c r="B52" s="38">
        <f>Compilation!B59</f>
        <v>111</v>
      </c>
      <c r="C52" s="38">
        <f>Scores!AY62</f>
        <v>111</v>
      </c>
      <c r="D52" s="38">
        <f t="shared" si="1"/>
        <v>0</v>
      </c>
      <c r="E52" s="21">
        <v>121.0</v>
      </c>
      <c r="F52" s="14">
        <v>85.0</v>
      </c>
      <c r="G52" s="14">
        <v>84.0</v>
      </c>
      <c r="H52" s="14">
        <v>1.0</v>
      </c>
    </row>
    <row r="53">
      <c r="A53" s="40">
        <f>Scores!A63</f>
        <v>52</v>
      </c>
      <c r="B53" s="38">
        <f>Compilation!B60</f>
        <v>40</v>
      </c>
      <c r="C53" s="38">
        <f>Scores!AY63</f>
        <v>40</v>
      </c>
      <c r="D53" s="38">
        <f t="shared" si="1"/>
        <v>0</v>
      </c>
      <c r="E53" s="21">
        <v>145.0</v>
      </c>
      <c r="F53" s="14">
        <v>157.0</v>
      </c>
      <c r="G53" s="14">
        <v>156.0</v>
      </c>
      <c r="H53" s="14">
        <v>1.0</v>
      </c>
    </row>
    <row r="54">
      <c r="A54" s="40">
        <f>Scores!A64</f>
        <v>53</v>
      </c>
      <c r="B54" s="38">
        <f>Compilation!B61</f>
        <v>21</v>
      </c>
      <c r="C54" s="38">
        <f>Scores!AY64</f>
        <v>21</v>
      </c>
      <c r="D54" s="38">
        <f t="shared" si="1"/>
        <v>0</v>
      </c>
      <c r="E54" s="21">
        <v>225.0</v>
      </c>
      <c r="F54" s="14">
        <v>123.0</v>
      </c>
      <c r="G54" s="14">
        <v>122.0</v>
      </c>
      <c r="H54" s="14">
        <v>1.0</v>
      </c>
    </row>
    <row r="55">
      <c r="A55" s="40">
        <f>Scores!A65</f>
        <v>54</v>
      </c>
      <c r="B55" s="38">
        <f>Compilation!B62</f>
        <v>266</v>
      </c>
      <c r="C55" s="38">
        <f>Scores!AY65</f>
        <v>261</v>
      </c>
      <c r="D55" s="38">
        <f t="shared" si="1"/>
        <v>5</v>
      </c>
      <c r="E55" s="21">
        <v>264.0</v>
      </c>
      <c r="F55" s="14">
        <v>178.0</v>
      </c>
      <c r="G55" s="14">
        <v>177.0</v>
      </c>
      <c r="H55" s="14">
        <v>1.0</v>
      </c>
    </row>
    <row r="56">
      <c r="A56" s="40">
        <f>Scores!A66</f>
        <v>55</v>
      </c>
      <c r="B56" s="38">
        <f>Compilation!B63</f>
        <v>77</v>
      </c>
      <c r="C56" s="38">
        <f>Scores!AY66</f>
        <v>77</v>
      </c>
      <c r="D56" s="38">
        <f t="shared" si="1"/>
        <v>0</v>
      </c>
      <c r="E56" s="21">
        <v>270.0</v>
      </c>
      <c r="F56" s="14">
        <v>115.0</v>
      </c>
      <c r="G56" s="14">
        <v>114.0</v>
      </c>
      <c r="H56" s="14">
        <v>1.0</v>
      </c>
    </row>
    <row r="57">
      <c r="A57" s="40">
        <f>Scores!A67</f>
        <v>56</v>
      </c>
      <c r="B57" s="38">
        <f>Compilation!B64</f>
        <v>39</v>
      </c>
      <c r="C57" s="38">
        <f>Scores!AY67</f>
        <v>39</v>
      </c>
      <c r="D57" s="38">
        <f t="shared" si="1"/>
        <v>0</v>
      </c>
      <c r="E57" s="21">
        <v>288.0</v>
      </c>
      <c r="F57" s="14">
        <v>86.0</v>
      </c>
      <c r="G57" s="14">
        <v>85.0</v>
      </c>
      <c r="H57" s="14">
        <v>1.0</v>
      </c>
    </row>
    <row r="58">
      <c r="A58" s="40">
        <f>Scores!A68</f>
        <v>57</v>
      </c>
      <c r="B58" s="38">
        <f>Compilation!B65</f>
        <v>48</v>
      </c>
      <c r="C58" s="38">
        <f>Scores!AY68</f>
        <v>48</v>
      </c>
      <c r="D58" s="38">
        <f t="shared" si="1"/>
        <v>0</v>
      </c>
      <c r="E58" s="21">
        <v>325.0</v>
      </c>
      <c r="F58" s="14">
        <v>140.0</v>
      </c>
      <c r="G58" s="14">
        <v>139.0</v>
      </c>
      <c r="H58" s="14">
        <v>1.0</v>
      </c>
    </row>
    <row r="59">
      <c r="A59" s="40">
        <f>Scores!A69</f>
        <v>58</v>
      </c>
      <c r="B59" s="38">
        <f>Compilation!B66</f>
        <v>85</v>
      </c>
      <c r="C59" s="38">
        <f>Scores!AY69</f>
        <v>85</v>
      </c>
      <c r="D59" s="38">
        <f t="shared" si="1"/>
        <v>0</v>
      </c>
      <c r="E59" s="21">
        <v>354.0</v>
      </c>
      <c r="F59" s="14">
        <v>92.0</v>
      </c>
      <c r="G59" s="14">
        <v>91.0</v>
      </c>
      <c r="H59" s="14">
        <v>1.0</v>
      </c>
    </row>
    <row r="60">
      <c r="A60" s="40">
        <f>Scores!A70</f>
        <v>59</v>
      </c>
      <c r="B60" s="38">
        <f>Compilation!B67</f>
        <v>151</v>
      </c>
      <c r="C60" s="38">
        <f>Scores!AY70</f>
        <v>151</v>
      </c>
      <c r="D60" s="38">
        <f t="shared" si="1"/>
        <v>0</v>
      </c>
      <c r="E60" s="21">
        <v>367.0</v>
      </c>
      <c r="F60" s="14">
        <v>126.0</v>
      </c>
      <c r="G60" s="14">
        <v>125.0</v>
      </c>
      <c r="H60" s="14">
        <v>1.0</v>
      </c>
    </row>
    <row r="61">
      <c r="A61" s="40">
        <f>Scores!A71</f>
        <v>60</v>
      </c>
      <c r="B61" s="38">
        <f>Compilation!B68</f>
        <v>47</v>
      </c>
      <c r="C61" s="38">
        <f>Scores!AY71</f>
        <v>47</v>
      </c>
      <c r="D61" s="38">
        <f t="shared" si="1"/>
        <v>0</v>
      </c>
      <c r="E61" s="21">
        <v>396.0</v>
      </c>
      <c r="F61" s="14">
        <v>139.0</v>
      </c>
      <c r="G61" s="14">
        <v>138.0</v>
      </c>
      <c r="H61" s="14">
        <v>1.0</v>
      </c>
    </row>
    <row r="62">
      <c r="A62" s="40">
        <f>Scores!A72</f>
        <v>61</v>
      </c>
      <c r="B62" s="38">
        <f>Compilation!B69</f>
        <v>62</v>
      </c>
      <c r="C62" s="38">
        <f>Scores!AY72</f>
        <v>62</v>
      </c>
      <c r="D62" s="38">
        <f t="shared" si="1"/>
        <v>0</v>
      </c>
      <c r="E62" s="21">
        <v>1.0</v>
      </c>
      <c r="F62" s="14">
        <v>58.0</v>
      </c>
      <c r="G62" s="14">
        <v>58.0</v>
      </c>
      <c r="H62" s="14">
        <v>0.0</v>
      </c>
    </row>
    <row r="63">
      <c r="A63" s="40">
        <f>Scores!A73</f>
        <v>62</v>
      </c>
      <c r="B63" s="38">
        <f>Compilation!B70</f>
        <v>121</v>
      </c>
      <c r="C63" s="38">
        <f>Scores!AY73</f>
        <v>121</v>
      </c>
      <c r="D63" s="38">
        <f t="shared" si="1"/>
        <v>0</v>
      </c>
      <c r="E63" s="21">
        <v>3.0</v>
      </c>
      <c r="F63" s="14">
        <v>58.0</v>
      </c>
      <c r="G63" s="14">
        <v>58.0</v>
      </c>
      <c r="H63" s="14">
        <v>0.0</v>
      </c>
    </row>
    <row r="64">
      <c r="A64" s="40">
        <f>Scores!A74</f>
        <v>63</v>
      </c>
      <c r="B64" s="38">
        <f>Compilation!B71</f>
        <v>74</v>
      </c>
      <c r="C64" s="38">
        <f>Scores!AY74</f>
        <v>74</v>
      </c>
      <c r="D64" s="38">
        <f t="shared" si="1"/>
        <v>0</v>
      </c>
      <c r="E64" s="21">
        <v>4.0</v>
      </c>
      <c r="F64" s="14">
        <v>73.0</v>
      </c>
      <c r="G64" s="14">
        <v>73.0</v>
      </c>
      <c r="H64" s="14">
        <v>0.0</v>
      </c>
    </row>
    <row r="65">
      <c r="A65" s="40">
        <f>Scores!A75</f>
        <v>64</v>
      </c>
      <c r="B65" s="38">
        <f>Compilation!B72</f>
        <v>135</v>
      </c>
      <c r="C65" s="38">
        <f>Scores!AY75</f>
        <v>135</v>
      </c>
      <c r="D65" s="38">
        <f t="shared" si="1"/>
        <v>0</v>
      </c>
      <c r="E65" s="21">
        <v>5.0</v>
      </c>
      <c r="F65" s="14">
        <v>166.0</v>
      </c>
      <c r="G65" s="14">
        <v>166.0</v>
      </c>
      <c r="H65" s="14">
        <v>0.0</v>
      </c>
    </row>
    <row r="66">
      <c r="A66" s="40">
        <f>Scores!A76</f>
        <v>65</v>
      </c>
      <c r="B66" s="38">
        <f>Compilation!B73</f>
        <v>82</v>
      </c>
      <c r="C66" s="38">
        <f>Scores!AY76</f>
        <v>82</v>
      </c>
      <c r="D66" s="38">
        <f t="shared" si="1"/>
        <v>0</v>
      </c>
      <c r="E66" s="21">
        <v>6.0</v>
      </c>
      <c r="F66" s="14">
        <v>49.0</v>
      </c>
      <c r="G66" s="14">
        <v>49.0</v>
      </c>
      <c r="H66" s="14">
        <v>0.0</v>
      </c>
    </row>
    <row r="67">
      <c r="A67" s="40">
        <f>Scores!A77</f>
        <v>66</v>
      </c>
      <c r="B67" s="38">
        <f>Compilation!B74</f>
        <v>237</v>
      </c>
      <c r="C67" s="38">
        <f>Scores!AY77</f>
        <v>232</v>
      </c>
      <c r="D67" s="38">
        <f t="shared" si="1"/>
        <v>5</v>
      </c>
      <c r="E67" s="21">
        <v>7.0</v>
      </c>
      <c r="F67" s="14">
        <v>62.0</v>
      </c>
      <c r="G67" s="14">
        <v>62.0</v>
      </c>
      <c r="H67" s="14">
        <v>0.0</v>
      </c>
    </row>
    <row r="68">
      <c r="A68" s="40">
        <f>Scores!A78</f>
        <v>67</v>
      </c>
      <c r="B68" s="38">
        <f>Compilation!B75</f>
        <v>33</v>
      </c>
      <c r="C68" s="38">
        <f>Scores!AY78</f>
        <v>33</v>
      </c>
      <c r="D68" s="38">
        <f t="shared" si="1"/>
        <v>0</v>
      </c>
      <c r="E68" s="21">
        <v>9.0</v>
      </c>
      <c r="F68" s="14">
        <v>95.0</v>
      </c>
      <c r="G68" s="14">
        <v>95.0</v>
      </c>
      <c r="H68" s="14">
        <v>0.0</v>
      </c>
    </row>
    <row r="69">
      <c r="A69" s="40">
        <f>Scores!A79</f>
        <v>68</v>
      </c>
      <c r="B69" s="38">
        <f>Compilation!B76</f>
        <v>99</v>
      </c>
      <c r="C69" s="38">
        <f>Scores!AY79</f>
        <v>99</v>
      </c>
      <c r="D69" s="38">
        <f t="shared" si="1"/>
        <v>0</v>
      </c>
      <c r="E69" s="21">
        <v>10.0</v>
      </c>
      <c r="F69" s="14">
        <v>66.0</v>
      </c>
      <c r="G69" s="14">
        <v>66.0</v>
      </c>
      <c r="H69" s="14">
        <v>0.0</v>
      </c>
    </row>
    <row r="70">
      <c r="A70" s="40">
        <f>Scores!A80</f>
        <v>69</v>
      </c>
      <c r="B70" s="38">
        <f>Compilation!B77</f>
        <v>143</v>
      </c>
      <c r="C70" s="38">
        <f>Scores!AY80</f>
        <v>143</v>
      </c>
      <c r="D70" s="38">
        <f t="shared" si="1"/>
        <v>0</v>
      </c>
      <c r="E70" s="21">
        <v>12.0</v>
      </c>
      <c r="F70" s="14">
        <v>122.0</v>
      </c>
      <c r="G70" s="14">
        <v>122.0</v>
      </c>
      <c r="H70" s="14">
        <v>0.0</v>
      </c>
    </row>
    <row r="71">
      <c r="A71" s="40">
        <f>Scores!A81</f>
        <v>70</v>
      </c>
      <c r="B71" s="38">
        <f>Compilation!B78</f>
        <v>78</v>
      </c>
      <c r="C71" s="38">
        <f>Scores!AY81</f>
        <v>78</v>
      </c>
      <c r="D71" s="38">
        <f t="shared" si="1"/>
        <v>0</v>
      </c>
      <c r="E71" s="21">
        <v>13.0</v>
      </c>
      <c r="F71" s="14">
        <v>124.0</v>
      </c>
      <c r="G71" s="14">
        <v>124.0</v>
      </c>
      <c r="H71" s="14">
        <v>0.0</v>
      </c>
    </row>
    <row r="72">
      <c r="A72" s="40">
        <f>Scores!A82</f>
        <v>71</v>
      </c>
      <c r="B72" s="38">
        <f>Compilation!B79</f>
        <v>100</v>
      </c>
      <c r="C72" s="38">
        <f>Scores!AY82</f>
        <v>99</v>
      </c>
      <c r="D72" s="38">
        <f t="shared" si="1"/>
        <v>1</v>
      </c>
      <c r="E72" s="21">
        <v>14.0</v>
      </c>
      <c r="F72" s="14">
        <v>57.0</v>
      </c>
      <c r="G72" s="14">
        <v>57.0</v>
      </c>
      <c r="H72" s="14">
        <v>0.0</v>
      </c>
    </row>
    <row r="73">
      <c r="A73" s="40">
        <f>Scores!A83</f>
        <v>72</v>
      </c>
      <c r="B73" s="38">
        <f>Compilation!B80</f>
        <v>54</v>
      </c>
      <c r="C73" s="38">
        <f>Scores!AY83</f>
        <v>54</v>
      </c>
      <c r="D73" s="38">
        <f t="shared" si="1"/>
        <v>0</v>
      </c>
      <c r="E73" s="21">
        <v>15.0</v>
      </c>
      <c r="F73" s="14">
        <v>87.0</v>
      </c>
      <c r="G73" s="14">
        <v>87.0</v>
      </c>
      <c r="H73" s="14">
        <v>0.0</v>
      </c>
    </row>
    <row r="74">
      <c r="A74" s="40">
        <f>Scores!A84</f>
        <v>73</v>
      </c>
      <c r="B74" s="38">
        <f>Compilation!B81</f>
        <v>46</v>
      </c>
      <c r="C74" s="38">
        <f>Scores!AY84</f>
        <v>46</v>
      </c>
      <c r="D74" s="38">
        <f t="shared" si="1"/>
        <v>0</v>
      </c>
      <c r="E74" s="21">
        <v>16.0</v>
      </c>
      <c r="F74" s="14">
        <v>43.0</v>
      </c>
      <c r="G74" s="14">
        <v>43.0</v>
      </c>
      <c r="H74" s="14">
        <v>0.0</v>
      </c>
    </row>
    <row r="75">
      <c r="A75" s="40">
        <f>Scores!A85</f>
        <v>74</v>
      </c>
      <c r="B75" s="38">
        <f>Compilation!B82</f>
        <v>77</v>
      </c>
      <c r="C75" s="38">
        <f>Scores!AY85</f>
        <v>77</v>
      </c>
      <c r="D75" s="38">
        <f t="shared" si="1"/>
        <v>0</v>
      </c>
      <c r="E75" s="21">
        <v>19.0</v>
      </c>
      <c r="F75" s="14">
        <v>103.0</v>
      </c>
      <c r="G75" s="14">
        <v>103.0</v>
      </c>
      <c r="H75" s="14">
        <v>0.0</v>
      </c>
    </row>
    <row r="76">
      <c r="A76" s="40">
        <f>Scores!A86</f>
        <v>75</v>
      </c>
      <c r="B76" s="38">
        <f>Compilation!B83</f>
        <v>86</v>
      </c>
      <c r="C76" s="38">
        <f>Scores!AY86</f>
        <v>86</v>
      </c>
      <c r="D76" s="38">
        <f t="shared" si="1"/>
        <v>0</v>
      </c>
      <c r="E76" s="21">
        <v>21.0</v>
      </c>
      <c r="F76" s="14">
        <v>51.0</v>
      </c>
      <c r="G76" s="14">
        <v>51.0</v>
      </c>
      <c r="H76" s="14">
        <v>0.0</v>
      </c>
    </row>
    <row r="77">
      <c r="A77" s="40">
        <f>Scores!A87</f>
        <v>76</v>
      </c>
      <c r="B77" s="38">
        <f>Compilation!B84</f>
        <v>258</v>
      </c>
      <c r="C77" s="38">
        <f>Scores!AY87</f>
        <v>254</v>
      </c>
      <c r="D77" s="38">
        <f t="shared" si="1"/>
        <v>4</v>
      </c>
      <c r="E77" s="21">
        <v>22.0</v>
      </c>
      <c r="F77" s="14">
        <v>91.0</v>
      </c>
      <c r="G77" s="14">
        <v>91.0</v>
      </c>
      <c r="H77" s="14">
        <v>0.0</v>
      </c>
    </row>
    <row r="78">
      <c r="A78" s="40">
        <f>Scores!A88</f>
        <v>77</v>
      </c>
      <c r="B78" s="38">
        <f>Compilation!B85</f>
        <v>110</v>
      </c>
      <c r="C78" s="38">
        <f>Scores!AY88</f>
        <v>110</v>
      </c>
      <c r="D78" s="38">
        <f t="shared" si="1"/>
        <v>0</v>
      </c>
      <c r="E78" s="21">
        <v>24.0</v>
      </c>
      <c r="F78" s="14">
        <v>62.0</v>
      </c>
      <c r="G78" s="14">
        <v>62.0</v>
      </c>
      <c r="H78" s="14">
        <v>0.0</v>
      </c>
    </row>
    <row r="79">
      <c r="A79" s="40">
        <f>Scores!A89</f>
        <v>78</v>
      </c>
      <c r="B79" s="38">
        <f>Compilation!B86</f>
        <v>59</v>
      </c>
      <c r="C79" s="38">
        <f>Scores!AY89</f>
        <v>59</v>
      </c>
      <c r="D79" s="38">
        <f t="shared" si="1"/>
        <v>0</v>
      </c>
      <c r="E79" s="21">
        <v>25.0</v>
      </c>
      <c r="F79" s="14">
        <v>127.0</v>
      </c>
      <c r="G79" s="14">
        <v>127.0</v>
      </c>
      <c r="H79" s="14">
        <v>0.0</v>
      </c>
    </row>
    <row r="80">
      <c r="A80" s="40">
        <f>Scores!A90</f>
        <v>79</v>
      </c>
      <c r="B80" s="38">
        <f>Compilation!B87</f>
        <v>105</v>
      </c>
      <c r="C80" s="38">
        <f>Scores!AY90</f>
        <v>105</v>
      </c>
      <c r="D80" s="38">
        <f t="shared" si="1"/>
        <v>0</v>
      </c>
      <c r="E80" s="21">
        <v>26.0</v>
      </c>
      <c r="F80" s="14">
        <v>50.0</v>
      </c>
      <c r="G80" s="14">
        <v>50.0</v>
      </c>
      <c r="H80" s="14">
        <v>0.0</v>
      </c>
    </row>
    <row r="81">
      <c r="A81" s="40">
        <f>Scores!A91</f>
        <v>80</v>
      </c>
      <c r="B81" s="38">
        <f>Compilation!B88</f>
        <v>231</v>
      </c>
      <c r="C81" s="38">
        <f>Scores!AY91</f>
        <v>223</v>
      </c>
      <c r="D81" s="38">
        <f t="shared" si="1"/>
        <v>8</v>
      </c>
      <c r="E81" s="21">
        <v>27.0</v>
      </c>
      <c r="F81" s="14">
        <v>97.0</v>
      </c>
      <c r="G81" s="14">
        <v>97.0</v>
      </c>
      <c r="H81" s="14">
        <v>0.0</v>
      </c>
    </row>
    <row r="82">
      <c r="A82" s="40">
        <f>Scores!A92</f>
        <v>81</v>
      </c>
      <c r="B82" s="38">
        <f>Compilation!B89</f>
        <v>81</v>
      </c>
      <c r="C82" s="38">
        <f>Scores!AY92</f>
        <v>81</v>
      </c>
      <c r="D82" s="38">
        <f t="shared" si="1"/>
        <v>0</v>
      </c>
      <c r="E82" s="21">
        <v>28.0</v>
      </c>
      <c r="F82" s="14">
        <v>63.0</v>
      </c>
      <c r="G82" s="14">
        <v>63.0</v>
      </c>
      <c r="H82" s="14">
        <v>0.0</v>
      </c>
    </row>
    <row r="83">
      <c r="A83" s="40">
        <f>Scores!A93</f>
        <v>82</v>
      </c>
      <c r="B83" s="38">
        <f>Compilation!B90</f>
        <v>50</v>
      </c>
      <c r="C83" s="38">
        <f>Scores!AY93</f>
        <v>50</v>
      </c>
      <c r="D83" s="38">
        <f t="shared" si="1"/>
        <v>0</v>
      </c>
      <c r="E83" s="21">
        <v>29.0</v>
      </c>
      <c r="F83" s="14">
        <v>103.0</v>
      </c>
      <c r="G83" s="14">
        <v>103.0</v>
      </c>
      <c r="H83" s="14">
        <v>0.0</v>
      </c>
    </row>
    <row r="84">
      <c r="A84" s="40">
        <f>Scores!A94</f>
        <v>83</v>
      </c>
      <c r="B84" s="38">
        <f>Compilation!B91</f>
        <v>40</v>
      </c>
      <c r="C84" s="38">
        <f>Scores!AY94</f>
        <v>40</v>
      </c>
      <c r="D84" s="38">
        <f t="shared" si="1"/>
        <v>0</v>
      </c>
      <c r="E84" s="21">
        <v>31.0</v>
      </c>
      <c r="F84" s="14">
        <v>45.0</v>
      </c>
      <c r="G84" s="14">
        <v>45.0</v>
      </c>
      <c r="H84" s="14">
        <v>0.0</v>
      </c>
    </row>
    <row r="85">
      <c r="A85" s="40">
        <f>Scores!A95</f>
        <v>84</v>
      </c>
      <c r="B85" s="38">
        <f>Compilation!B92</f>
        <v>62</v>
      </c>
      <c r="C85" s="38">
        <f>Scores!AY95</f>
        <v>62</v>
      </c>
      <c r="D85" s="38">
        <f t="shared" si="1"/>
        <v>0</v>
      </c>
      <c r="E85" s="21">
        <v>32.0</v>
      </c>
      <c r="F85" s="14">
        <v>39.0</v>
      </c>
      <c r="G85" s="14">
        <v>39.0</v>
      </c>
      <c r="H85" s="14">
        <v>0.0</v>
      </c>
    </row>
    <row r="86">
      <c r="A86" s="40">
        <f>Scores!A96</f>
        <v>85</v>
      </c>
      <c r="B86" s="38">
        <f>Compilation!B93</f>
        <v>49</v>
      </c>
      <c r="C86" s="38">
        <f>Scores!AY96</f>
        <v>49</v>
      </c>
      <c r="D86" s="38">
        <f t="shared" si="1"/>
        <v>0</v>
      </c>
      <c r="E86" s="21">
        <v>33.0</v>
      </c>
      <c r="F86" s="14">
        <v>71.0</v>
      </c>
      <c r="G86" s="14">
        <v>71.0</v>
      </c>
      <c r="H86" s="14">
        <v>0.0</v>
      </c>
    </row>
    <row r="87">
      <c r="A87" s="40">
        <f>Scores!A97</f>
        <v>86</v>
      </c>
      <c r="B87" s="38">
        <f>Compilation!B94</f>
        <v>151</v>
      </c>
      <c r="C87" s="38">
        <f>Scores!AY97</f>
        <v>151</v>
      </c>
      <c r="D87" s="38">
        <f t="shared" si="1"/>
        <v>0</v>
      </c>
      <c r="E87" s="21">
        <v>34.0</v>
      </c>
      <c r="F87" s="14">
        <v>116.0</v>
      </c>
      <c r="G87" s="14">
        <v>116.0</v>
      </c>
      <c r="H87" s="14">
        <v>0.0</v>
      </c>
    </row>
    <row r="88">
      <c r="A88" s="40">
        <f>Scores!A98</f>
        <v>87</v>
      </c>
      <c r="B88" s="38">
        <f>Compilation!B95</f>
        <v>36</v>
      </c>
      <c r="C88" s="38">
        <f>Scores!AY98</f>
        <v>36</v>
      </c>
      <c r="D88" s="38">
        <f t="shared" si="1"/>
        <v>0</v>
      </c>
      <c r="E88" s="21">
        <v>35.0</v>
      </c>
      <c r="F88" s="14">
        <v>82.0</v>
      </c>
      <c r="G88" s="14">
        <v>82.0</v>
      </c>
      <c r="H88" s="14">
        <v>0.0</v>
      </c>
    </row>
    <row r="89">
      <c r="A89" s="40">
        <f>Scores!A99</f>
        <v>88</v>
      </c>
      <c r="B89" s="38">
        <f>Compilation!B96</f>
        <v>95</v>
      </c>
      <c r="C89" s="38">
        <f>Scores!AY99</f>
        <v>95</v>
      </c>
      <c r="D89" s="38">
        <f t="shared" si="1"/>
        <v>0</v>
      </c>
      <c r="E89" s="21">
        <v>36.0</v>
      </c>
      <c r="F89" s="14">
        <v>75.0</v>
      </c>
      <c r="G89" s="14">
        <v>75.0</v>
      </c>
      <c r="H89" s="14">
        <v>0.0</v>
      </c>
    </row>
    <row r="90">
      <c r="A90" s="40">
        <f>Scores!A100</f>
        <v>89</v>
      </c>
      <c r="B90" s="38">
        <f>Compilation!B97</f>
        <v>232</v>
      </c>
      <c r="C90" s="38">
        <f>Scores!AY100</f>
        <v>229</v>
      </c>
      <c r="D90" s="38">
        <f t="shared" si="1"/>
        <v>3</v>
      </c>
      <c r="E90" s="21">
        <v>37.0</v>
      </c>
      <c r="F90" s="14">
        <v>101.0</v>
      </c>
      <c r="G90" s="14">
        <v>101.0</v>
      </c>
      <c r="H90" s="14">
        <v>0.0</v>
      </c>
    </row>
    <row r="91">
      <c r="A91" s="40">
        <f>Scores!A101</f>
        <v>90</v>
      </c>
      <c r="B91" s="38">
        <f>Compilation!B98</f>
        <v>147</v>
      </c>
      <c r="C91" s="38">
        <f>Scores!AY101</f>
        <v>146</v>
      </c>
      <c r="D91" s="38">
        <f t="shared" si="1"/>
        <v>1</v>
      </c>
      <c r="E91" s="21">
        <v>38.0</v>
      </c>
      <c r="F91" s="14">
        <v>51.0</v>
      </c>
      <c r="G91" s="14">
        <v>51.0</v>
      </c>
      <c r="H91" s="14">
        <v>0.0</v>
      </c>
    </row>
    <row r="92">
      <c r="A92" s="40">
        <f>Scores!A102</f>
        <v>91</v>
      </c>
      <c r="B92" s="38">
        <f>Compilation!B99</f>
        <v>62</v>
      </c>
      <c r="C92" s="38">
        <f>Scores!AY102</f>
        <v>62</v>
      </c>
      <c r="D92" s="38">
        <f t="shared" si="1"/>
        <v>0</v>
      </c>
      <c r="E92" s="21">
        <v>39.0</v>
      </c>
      <c r="F92" s="14">
        <v>60.0</v>
      </c>
      <c r="G92" s="14">
        <v>60.0</v>
      </c>
      <c r="H92" s="14">
        <v>0.0</v>
      </c>
    </row>
    <row r="93">
      <c r="A93" s="40">
        <f>Scores!A103</f>
        <v>92</v>
      </c>
      <c r="B93" s="38">
        <f>Compilation!B100</f>
        <v>86</v>
      </c>
      <c r="C93" s="38">
        <f>Scores!AY103</f>
        <v>86</v>
      </c>
      <c r="D93" s="38">
        <f t="shared" si="1"/>
        <v>0</v>
      </c>
      <c r="E93" s="21">
        <v>40.0</v>
      </c>
      <c r="F93" s="14">
        <v>63.0</v>
      </c>
      <c r="G93" s="14">
        <v>63.0</v>
      </c>
      <c r="H93" s="14">
        <v>0.0</v>
      </c>
    </row>
    <row r="94">
      <c r="A94" s="40">
        <f>Scores!A104</f>
        <v>93</v>
      </c>
      <c r="B94" s="38">
        <f>Compilation!B101</f>
        <v>98</v>
      </c>
      <c r="C94" s="38">
        <f>Scores!AY104</f>
        <v>98</v>
      </c>
      <c r="D94" s="38">
        <f t="shared" si="1"/>
        <v>0</v>
      </c>
      <c r="E94" s="21">
        <v>41.0</v>
      </c>
      <c r="F94" s="14">
        <v>49.0</v>
      </c>
      <c r="G94" s="14">
        <v>49.0</v>
      </c>
      <c r="H94" s="14">
        <v>0.0</v>
      </c>
    </row>
    <row r="95">
      <c r="A95" s="40">
        <f>Scores!A105</f>
        <v>94</v>
      </c>
      <c r="B95" s="38">
        <f>Compilation!B102</f>
        <v>96</v>
      </c>
      <c r="C95" s="38">
        <f>Scores!AY105</f>
        <v>96</v>
      </c>
      <c r="D95" s="38">
        <f t="shared" si="1"/>
        <v>0</v>
      </c>
      <c r="E95" s="21">
        <v>42.0</v>
      </c>
      <c r="F95" s="14">
        <v>132.0</v>
      </c>
      <c r="G95" s="14">
        <v>132.0</v>
      </c>
      <c r="H95" s="14">
        <v>0.0</v>
      </c>
    </row>
    <row r="96">
      <c r="A96" s="40">
        <f>Scores!A106</f>
        <v>95</v>
      </c>
      <c r="B96" s="38">
        <f>Compilation!B103</f>
        <v>70</v>
      </c>
      <c r="C96" s="38">
        <f>Scores!AY106</f>
        <v>70</v>
      </c>
      <c r="D96" s="38">
        <f t="shared" si="1"/>
        <v>0</v>
      </c>
      <c r="E96" s="21">
        <v>43.0</v>
      </c>
      <c r="F96" s="14">
        <v>56.0</v>
      </c>
      <c r="G96" s="14">
        <v>56.0</v>
      </c>
      <c r="H96" s="14">
        <v>0.0</v>
      </c>
    </row>
    <row r="97">
      <c r="A97" s="40">
        <f>Scores!A107</f>
        <v>96</v>
      </c>
      <c r="B97" s="38">
        <f>Compilation!B104</f>
        <v>282</v>
      </c>
      <c r="C97" s="38">
        <f>Scores!AY107</f>
        <v>277</v>
      </c>
      <c r="D97" s="38">
        <f t="shared" si="1"/>
        <v>5</v>
      </c>
      <c r="E97" s="21">
        <v>45.0</v>
      </c>
      <c r="F97" s="14">
        <v>45.0</v>
      </c>
      <c r="G97" s="14">
        <v>45.0</v>
      </c>
      <c r="H97" s="14">
        <v>0.0</v>
      </c>
    </row>
    <row r="98">
      <c r="A98" s="40">
        <f>Scores!A108</f>
        <v>97</v>
      </c>
      <c r="B98" s="38">
        <f>Compilation!B105</f>
        <v>93</v>
      </c>
      <c r="C98" s="38">
        <f>Scores!AY108</f>
        <v>93</v>
      </c>
      <c r="D98" s="38">
        <f t="shared" si="1"/>
        <v>0</v>
      </c>
      <c r="E98" s="21">
        <v>46.0</v>
      </c>
      <c r="F98" s="14">
        <v>166.0</v>
      </c>
      <c r="G98" s="14">
        <v>166.0</v>
      </c>
      <c r="H98" s="14">
        <v>0.0</v>
      </c>
    </row>
    <row r="99">
      <c r="A99" s="40">
        <f>Scores!A109</f>
        <v>98</v>
      </c>
      <c r="B99" s="38">
        <f>Compilation!B106</f>
        <v>64</v>
      </c>
      <c r="C99" s="38">
        <f>Scores!AY109</f>
        <v>64</v>
      </c>
      <c r="D99" s="38">
        <f t="shared" si="1"/>
        <v>0</v>
      </c>
      <c r="E99" s="21">
        <v>47.0</v>
      </c>
      <c r="F99" s="14">
        <v>55.0</v>
      </c>
      <c r="G99" s="14">
        <v>55.0</v>
      </c>
      <c r="H99" s="14">
        <v>0.0</v>
      </c>
    </row>
    <row r="100">
      <c r="A100" s="40">
        <f>Scores!A110</f>
        <v>99</v>
      </c>
      <c r="B100" s="38">
        <f>Compilation!B107</f>
        <v>93</v>
      </c>
      <c r="C100" s="38">
        <f>Scores!AY110</f>
        <v>93</v>
      </c>
      <c r="D100" s="38">
        <f t="shared" si="1"/>
        <v>0</v>
      </c>
      <c r="E100" s="21">
        <v>49.0</v>
      </c>
      <c r="F100" s="14">
        <v>81.0</v>
      </c>
      <c r="G100" s="14">
        <v>81.0</v>
      </c>
      <c r="H100" s="14">
        <v>0.0</v>
      </c>
    </row>
    <row r="101">
      <c r="A101" s="40">
        <f>Scores!A111</f>
        <v>100</v>
      </c>
      <c r="B101" s="38">
        <f>Compilation!B108</f>
        <v>85</v>
      </c>
      <c r="C101" s="38">
        <f>Scores!AY111</f>
        <v>85</v>
      </c>
      <c r="D101" s="38">
        <f t="shared" si="1"/>
        <v>0</v>
      </c>
      <c r="E101" s="21">
        <v>50.0</v>
      </c>
      <c r="F101" s="14">
        <v>83.0</v>
      </c>
      <c r="G101" s="14">
        <v>83.0</v>
      </c>
      <c r="H101" s="14">
        <v>0.0</v>
      </c>
    </row>
    <row r="102">
      <c r="A102" s="40">
        <f>Scores!A112</f>
        <v>101</v>
      </c>
      <c r="B102" s="38">
        <f>Compilation!B109</f>
        <v>258</v>
      </c>
      <c r="C102" s="38">
        <f>Scores!AY112</f>
        <v>254</v>
      </c>
      <c r="D102" s="38">
        <f t="shared" si="1"/>
        <v>4</v>
      </c>
      <c r="E102" s="21">
        <v>51.0</v>
      </c>
      <c r="F102" s="14">
        <v>111.0</v>
      </c>
      <c r="G102" s="14">
        <v>111.0</v>
      </c>
      <c r="H102" s="14">
        <v>0.0</v>
      </c>
    </row>
    <row r="103">
      <c r="A103" s="40">
        <f>Scores!A113</f>
        <v>102</v>
      </c>
      <c r="B103" s="38">
        <f>Compilation!B110</f>
        <v>124</v>
      </c>
      <c r="C103" s="38">
        <f>Scores!AY113</f>
        <v>124</v>
      </c>
      <c r="D103" s="38">
        <f t="shared" si="1"/>
        <v>0</v>
      </c>
      <c r="E103" s="21">
        <v>52.0</v>
      </c>
      <c r="F103" s="14">
        <v>40.0</v>
      </c>
      <c r="G103" s="14">
        <v>40.0</v>
      </c>
      <c r="H103" s="14">
        <v>0.0</v>
      </c>
    </row>
    <row r="104">
      <c r="A104" s="40">
        <f>Scores!A114</f>
        <v>103</v>
      </c>
      <c r="B104" s="38">
        <f>Compilation!B111</f>
        <v>29</v>
      </c>
      <c r="C104" s="38">
        <f>Scores!AY114</f>
        <v>29</v>
      </c>
      <c r="D104" s="38">
        <f t="shared" si="1"/>
        <v>0</v>
      </c>
      <c r="E104" s="21">
        <v>53.0</v>
      </c>
      <c r="F104" s="14">
        <v>21.0</v>
      </c>
      <c r="G104" s="14">
        <v>21.0</v>
      </c>
      <c r="H104" s="14">
        <v>0.0</v>
      </c>
    </row>
    <row r="105">
      <c r="A105" s="40">
        <f>Scores!A115</f>
        <v>104</v>
      </c>
      <c r="B105" s="38">
        <f>Compilation!B112</f>
        <v>84</v>
      </c>
      <c r="C105" s="38">
        <f>Scores!AY115</f>
        <v>84</v>
      </c>
      <c r="D105" s="38">
        <f t="shared" si="1"/>
        <v>0</v>
      </c>
      <c r="E105" s="21">
        <v>55.0</v>
      </c>
      <c r="F105" s="14">
        <v>77.0</v>
      </c>
      <c r="G105" s="14">
        <v>77.0</v>
      </c>
      <c r="H105" s="14">
        <v>0.0</v>
      </c>
    </row>
    <row r="106">
      <c r="A106" s="40">
        <f>Scores!A116</f>
        <v>105</v>
      </c>
      <c r="B106" s="38">
        <f>Compilation!B113</f>
        <v>124</v>
      </c>
      <c r="C106" s="38">
        <f>Scores!AY116</f>
        <v>124</v>
      </c>
      <c r="D106" s="38">
        <f t="shared" si="1"/>
        <v>0</v>
      </c>
      <c r="E106" s="21">
        <v>56.0</v>
      </c>
      <c r="F106" s="14">
        <v>39.0</v>
      </c>
      <c r="G106" s="14">
        <v>39.0</v>
      </c>
      <c r="H106" s="14">
        <v>0.0</v>
      </c>
    </row>
    <row r="107">
      <c r="A107" s="40">
        <f>Scores!A117</f>
        <v>106</v>
      </c>
      <c r="B107" s="38">
        <f>Compilation!B114</f>
        <v>55</v>
      </c>
      <c r="C107" s="38">
        <f>Scores!AY117</f>
        <v>55</v>
      </c>
      <c r="D107" s="38">
        <f t="shared" si="1"/>
        <v>0</v>
      </c>
      <c r="E107" s="21">
        <v>57.0</v>
      </c>
      <c r="F107" s="14">
        <v>48.0</v>
      </c>
      <c r="G107" s="14">
        <v>48.0</v>
      </c>
      <c r="H107" s="14">
        <v>0.0</v>
      </c>
    </row>
    <row r="108">
      <c r="A108" s="40">
        <f>Scores!A118</f>
        <v>107</v>
      </c>
      <c r="B108" s="38">
        <f>Compilation!B115</f>
        <v>132</v>
      </c>
      <c r="C108" s="38">
        <f>Scores!AY118</f>
        <v>132</v>
      </c>
      <c r="D108" s="38">
        <f t="shared" si="1"/>
        <v>0</v>
      </c>
      <c r="E108" s="21">
        <v>58.0</v>
      </c>
      <c r="F108" s="14">
        <v>85.0</v>
      </c>
      <c r="G108" s="14">
        <v>85.0</v>
      </c>
      <c r="H108" s="14">
        <v>0.0</v>
      </c>
    </row>
    <row r="109">
      <c r="A109" s="40">
        <f>Scores!A119</f>
        <v>108</v>
      </c>
      <c r="B109" s="38">
        <f>Compilation!B116</f>
        <v>46</v>
      </c>
      <c r="C109" s="38">
        <f>Scores!AY119</f>
        <v>44</v>
      </c>
      <c r="D109" s="38">
        <f t="shared" si="1"/>
        <v>2</v>
      </c>
      <c r="E109" s="21">
        <v>59.0</v>
      </c>
      <c r="F109" s="14">
        <v>151.0</v>
      </c>
      <c r="G109" s="14">
        <v>151.0</v>
      </c>
      <c r="H109" s="14">
        <v>0.0</v>
      </c>
    </row>
    <row r="110">
      <c r="A110" s="40">
        <f>Scores!A120</f>
        <v>109</v>
      </c>
      <c r="B110" s="38">
        <f>Compilation!B117</f>
        <v>77</v>
      </c>
      <c r="C110" s="38">
        <f>Scores!AY120</f>
        <v>77</v>
      </c>
      <c r="D110" s="38">
        <f t="shared" si="1"/>
        <v>0</v>
      </c>
      <c r="E110" s="21">
        <v>60.0</v>
      </c>
      <c r="F110" s="14">
        <v>47.0</v>
      </c>
      <c r="G110" s="14">
        <v>47.0</v>
      </c>
      <c r="H110" s="14">
        <v>0.0</v>
      </c>
    </row>
    <row r="111">
      <c r="A111" s="40">
        <f>Scores!A121</f>
        <v>110</v>
      </c>
      <c r="B111" s="38">
        <f>Compilation!B118</f>
        <v>83</v>
      </c>
      <c r="C111" s="38">
        <f>Scores!AY121</f>
        <v>83</v>
      </c>
      <c r="D111" s="38">
        <f t="shared" si="1"/>
        <v>0</v>
      </c>
      <c r="E111" s="21">
        <v>61.0</v>
      </c>
      <c r="F111" s="14">
        <v>62.0</v>
      </c>
      <c r="G111" s="14">
        <v>62.0</v>
      </c>
      <c r="H111" s="14">
        <v>0.0</v>
      </c>
    </row>
    <row r="112">
      <c r="A112" s="40">
        <f>Scores!A122</f>
        <v>111</v>
      </c>
      <c r="B112" s="38">
        <f>Compilation!B119</f>
        <v>60</v>
      </c>
      <c r="C112" s="38">
        <f>Scores!AY122</f>
        <v>60</v>
      </c>
      <c r="D112" s="38">
        <f t="shared" si="1"/>
        <v>0</v>
      </c>
      <c r="E112" s="21">
        <v>62.0</v>
      </c>
      <c r="F112" s="14">
        <v>121.0</v>
      </c>
      <c r="G112" s="14">
        <v>121.0</v>
      </c>
      <c r="H112" s="14">
        <v>0.0</v>
      </c>
    </row>
    <row r="113">
      <c r="A113" s="40">
        <f>Scores!A123</f>
        <v>112</v>
      </c>
      <c r="B113" s="38">
        <f>Compilation!B120</f>
        <v>91</v>
      </c>
      <c r="C113" s="38">
        <f>Scores!AY123</f>
        <v>91</v>
      </c>
      <c r="D113" s="38">
        <f t="shared" si="1"/>
        <v>0</v>
      </c>
      <c r="E113" s="21">
        <v>63.0</v>
      </c>
      <c r="F113" s="14">
        <v>74.0</v>
      </c>
      <c r="G113" s="14">
        <v>74.0</v>
      </c>
      <c r="H113" s="14">
        <v>0.0</v>
      </c>
    </row>
    <row r="114">
      <c r="A114" s="40">
        <f>Scores!A124</f>
        <v>113</v>
      </c>
      <c r="B114" s="38">
        <f>Compilation!B121</f>
        <v>25</v>
      </c>
      <c r="C114" s="38">
        <f>Scores!AY124</f>
        <v>25</v>
      </c>
      <c r="D114" s="38">
        <f t="shared" si="1"/>
        <v>0</v>
      </c>
      <c r="E114" s="21">
        <v>64.0</v>
      </c>
      <c r="F114" s="14">
        <v>135.0</v>
      </c>
      <c r="G114" s="14">
        <v>135.0</v>
      </c>
      <c r="H114" s="14">
        <v>0.0</v>
      </c>
    </row>
    <row r="115">
      <c r="A115" s="40">
        <f>Scores!A125</f>
        <v>114</v>
      </c>
      <c r="B115" s="38">
        <f>Compilation!B122</f>
        <v>64</v>
      </c>
      <c r="C115" s="38">
        <f>Scores!AY125</f>
        <v>64</v>
      </c>
      <c r="D115" s="38">
        <f t="shared" si="1"/>
        <v>0</v>
      </c>
      <c r="E115" s="21">
        <v>65.0</v>
      </c>
      <c r="F115" s="14">
        <v>82.0</v>
      </c>
      <c r="G115" s="14">
        <v>82.0</v>
      </c>
      <c r="H115" s="14">
        <v>0.0</v>
      </c>
    </row>
    <row r="116">
      <c r="A116" s="40">
        <f>Scores!A126</f>
        <v>115</v>
      </c>
      <c r="B116" s="38">
        <f>Compilation!B123</f>
        <v>51</v>
      </c>
      <c r="C116" s="38">
        <f>Scores!AY126</f>
        <v>51</v>
      </c>
      <c r="D116" s="38">
        <f t="shared" si="1"/>
        <v>0</v>
      </c>
      <c r="E116" s="21">
        <v>67.0</v>
      </c>
      <c r="F116" s="14">
        <v>33.0</v>
      </c>
      <c r="G116" s="14">
        <v>33.0</v>
      </c>
      <c r="H116" s="14">
        <v>0.0</v>
      </c>
    </row>
    <row r="117">
      <c r="A117" s="40">
        <f>Scores!A127</f>
        <v>116</v>
      </c>
      <c r="B117" s="38">
        <f>Compilation!B124</f>
        <v>20</v>
      </c>
      <c r="C117" s="38">
        <f>Scores!AY127</f>
        <v>20</v>
      </c>
      <c r="D117" s="38">
        <f t="shared" si="1"/>
        <v>0</v>
      </c>
      <c r="E117" s="21">
        <v>68.0</v>
      </c>
      <c r="F117" s="14">
        <v>99.0</v>
      </c>
      <c r="G117" s="14">
        <v>99.0</v>
      </c>
      <c r="H117" s="14">
        <v>0.0</v>
      </c>
    </row>
    <row r="118">
      <c r="A118" s="40">
        <f>Scores!A128</f>
        <v>117</v>
      </c>
      <c r="B118" s="38">
        <f>Compilation!B125</f>
        <v>115</v>
      </c>
      <c r="C118" s="38">
        <f>Scores!AY128</f>
        <v>115</v>
      </c>
      <c r="D118" s="38">
        <f t="shared" si="1"/>
        <v>0</v>
      </c>
      <c r="E118" s="21">
        <v>69.0</v>
      </c>
      <c r="F118" s="14">
        <v>143.0</v>
      </c>
      <c r="G118" s="14">
        <v>143.0</v>
      </c>
      <c r="H118" s="14">
        <v>0.0</v>
      </c>
    </row>
    <row r="119">
      <c r="A119" s="40">
        <f>Scores!A129</f>
        <v>118</v>
      </c>
      <c r="B119" s="38">
        <f>Compilation!B126</f>
        <v>225</v>
      </c>
      <c r="C119" s="38">
        <f>Scores!AY129</f>
        <v>222</v>
      </c>
      <c r="D119" s="38">
        <f t="shared" si="1"/>
        <v>3</v>
      </c>
      <c r="E119" s="21">
        <v>70.0</v>
      </c>
      <c r="F119" s="14">
        <v>78.0</v>
      </c>
      <c r="G119" s="14">
        <v>78.0</v>
      </c>
      <c r="H119" s="14">
        <v>0.0</v>
      </c>
    </row>
    <row r="120">
      <c r="A120" s="40">
        <f>Scores!A130</f>
        <v>119</v>
      </c>
      <c r="B120" s="38">
        <f>Compilation!B127</f>
        <v>102</v>
      </c>
      <c r="C120" s="38">
        <f>Scores!AY130</f>
        <v>102</v>
      </c>
      <c r="D120" s="38">
        <f t="shared" si="1"/>
        <v>0</v>
      </c>
      <c r="E120" s="21">
        <v>72.0</v>
      </c>
      <c r="F120" s="14">
        <v>54.0</v>
      </c>
      <c r="G120" s="14">
        <v>54.0</v>
      </c>
      <c r="H120" s="14">
        <v>0.0</v>
      </c>
    </row>
    <row r="121">
      <c r="A121" s="40">
        <f>Scores!A131</f>
        <v>120</v>
      </c>
      <c r="B121" s="38">
        <f>Compilation!B128</f>
        <v>78</v>
      </c>
      <c r="C121" s="38">
        <f>Scores!AY131</f>
        <v>74</v>
      </c>
      <c r="D121" s="38">
        <f t="shared" si="1"/>
        <v>4</v>
      </c>
      <c r="E121" s="21">
        <v>73.0</v>
      </c>
      <c r="F121" s="14">
        <v>46.0</v>
      </c>
      <c r="G121" s="14">
        <v>46.0</v>
      </c>
      <c r="H121" s="14">
        <v>0.0</v>
      </c>
    </row>
    <row r="122">
      <c r="A122" s="40">
        <f>Scores!A132</f>
        <v>121</v>
      </c>
      <c r="B122" s="38">
        <f>Compilation!B129</f>
        <v>85</v>
      </c>
      <c r="C122" s="38">
        <f>Scores!AY132</f>
        <v>84</v>
      </c>
      <c r="D122" s="38">
        <f t="shared" si="1"/>
        <v>1</v>
      </c>
      <c r="E122" s="21">
        <v>74.0</v>
      </c>
      <c r="F122" s="14">
        <v>77.0</v>
      </c>
      <c r="G122" s="14">
        <v>77.0</v>
      </c>
      <c r="H122" s="14">
        <v>0.0</v>
      </c>
    </row>
    <row r="123">
      <c r="A123" s="40">
        <f>Scores!A133</f>
        <v>122</v>
      </c>
      <c r="B123" s="38">
        <f>Compilation!B130</f>
        <v>70</v>
      </c>
      <c r="C123" s="38">
        <f>Scores!AY133</f>
        <v>70</v>
      </c>
      <c r="D123" s="38">
        <f t="shared" si="1"/>
        <v>0</v>
      </c>
      <c r="E123" s="21">
        <v>75.0</v>
      </c>
      <c r="F123" s="14">
        <v>86.0</v>
      </c>
      <c r="G123" s="14">
        <v>86.0</v>
      </c>
      <c r="H123" s="14">
        <v>0.0</v>
      </c>
    </row>
    <row r="124">
      <c r="A124" s="40">
        <f>Scores!A134</f>
        <v>123</v>
      </c>
      <c r="B124" s="38">
        <f>Compilation!B131</f>
        <v>71</v>
      </c>
      <c r="C124" s="38">
        <f>Scores!AY134</f>
        <v>71</v>
      </c>
      <c r="D124" s="38">
        <f t="shared" si="1"/>
        <v>0</v>
      </c>
      <c r="E124" s="21">
        <v>77.0</v>
      </c>
      <c r="F124" s="14">
        <v>110.0</v>
      </c>
      <c r="G124" s="14">
        <v>110.0</v>
      </c>
      <c r="H124" s="14">
        <v>0.0</v>
      </c>
    </row>
    <row r="125">
      <c r="A125" s="40">
        <f>Scores!A135</f>
        <v>124</v>
      </c>
      <c r="B125" s="38">
        <f>Compilation!B132</f>
        <v>95</v>
      </c>
      <c r="C125" s="38">
        <f>Scores!AY135</f>
        <v>95</v>
      </c>
      <c r="D125" s="38">
        <f t="shared" si="1"/>
        <v>0</v>
      </c>
      <c r="E125" s="21">
        <v>78.0</v>
      </c>
      <c r="F125" s="14">
        <v>59.0</v>
      </c>
      <c r="G125" s="14">
        <v>59.0</v>
      </c>
      <c r="H125" s="14">
        <v>0.0</v>
      </c>
    </row>
    <row r="126">
      <c r="A126" s="40">
        <f>Scores!A136</f>
        <v>125</v>
      </c>
      <c r="B126" s="38">
        <f>Compilation!B133</f>
        <v>110</v>
      </c>
      <c r="C126" s="38">
        <f>Scores!AY136</f>
        <v>110</v>
      </c>
      <c r="D126" s="38">
        <f t="shared" si="1"/>
        <v>0</v>
      </c>
      <c r="E126" s="21">
        <v>79.0</v>
      </c>
      <c r="F126" s="14">
        <v>105.0</v>
      </c>
      <c r="G126" s="14">
        <v>105.0</v>
      </c>
      <c r="H126" s="14">
        <v>0.0</v>
      </c>
    </row>
    <row r="127">
      <c r="A127" s="40">
        <f>Scores!A137</f>
        <v>126</v>
      </c>
      <c r="B127" s="38">
        <f>Compilation!B134</f>
        <v>54</v>
      </c>
      <c r="C127" s="38">
        <f>Scores!AY137</f>
        <v>54</v>
      </c>
      <c r="D127" s="38">
        <f t="shared" si="1"/>
        <v>0</v>
      </c>
      <c r="E127" s="21">
        <v>81.0</v>
      </c>
      <c r="F127" s="14">
        <v>81.0</v>
      </c>
      <c r="G127" s="14">
        <v>81.0</v>
      </c>
      <c r="H127" s="14">
        <v>0.0</v>
      </c>
    </row>
    <row r="128">
      <c r="A128" s="40">
        <f>Scores!A138</f>
        <v>127</v>
      </c>
      <c r="B128" s="38">
        <f>Compilation!B135</f>
        <v>57</v>
      </c>
      <c r="C128" s="38">
        <f>Scores!AY138</f>
        <v>57</v>
      </c>
      <c r="D128" s="38">
        <f t="shared" si="1"/>
        <v>0</v>
      </c>
      <c r="E128" s="21">
        <v>82.0</v>
      </c>
      <c r="F128" s="14">
        <v>50.0</v>
      </c>
      <c r="G128" s="14">
        <v>50.0</v>
      </c>
      <c r="H128" s="14">
        <v>0.0</v>
      </c>
    </row>
    <row r="129">
      <c r="A129" s="40">
        <f>Scores!A139</f>
        <v>128</v>
      </c>
      <c r="B129" s="38">
        <f>Compilation!B136</f>
        <v>57</v>
      </c>
      <c r="C129" s="38">
        <f>Scores!AY139</f>
        <v>57</v>
      </c>
      <c r="D129" s="38">
        <f t="shared" si="1"/>
        <v>0</v>
      </c>
      <c r="E129" s="21">
        <v>83.0</v>
      </c>
      <c r="F129" s="14">
        <v>40.0</v>
      </c>
      <c r="G129" s="14">
        <v>40.0</v>
      </c>
      <c r="H129" s="14">
        <v>0.0</v>
      </c>
    </row>
    <row r="130">
      <c r="A130" s="40">
        <f>Scores!A140</f>
        <v>129</v>
      </c>
      <c r="B130" s="38">
        <f>Compilation!B137</f>
        <v>47</v>
      </c>
      <c r="C130" s="38">
        <f>Scores!AY140</f>
        <v>47</v>
      </c>
      <c r="D130" s="38">
        <f t="shared" si="1"/>
        <v>0</v>
      </c>
      <c r="E130" s="21">
        <v>84.0</v>
      </c>
      <c r="F130" s="14">
        <v>62.0</v>
      </c>
      <c r="G130" s="14">
        <v>62.0</v>
      </c>
      <c r="H130" s="14">
        <v>0.0</v>
      </c>
    </row>
    <row r="131">
      <c r="A131" s="40">
        <f>Scores!A141</f>
        <v>130</v>
      </c>
      <c r="B131" s="38">
        <f>Compilation!B138</f>
        <v>61</v>
      </c>
      <c r="C131" s="38">
        <f>Scores!AY141</f>
        <v>61</v>
      </c>
      <c r="D131" s="38">
        <f t="shared" si="1"/>
        <v>0</v>
      </c>
      <c r="E131" s="21">
        <v>85.0</v>
      </c>
      <c r="F131" s="14">
        <v>49.0</v>
      </c>
      <c r="G131" s="14">
        <v>49.0</v>
      </c>
      <c r="H131" s="14">
        <v>0.0</v>
      </c>
    </row>
    <row r="132">
      <c r="A132" s="40">
        <f>Scores!A142</f>
        <v>131</v>
      </c>
      <c r="B132" s="38">
        <f>Compilation!B139</f>
        <v>117</v>
      </c>
      <c r="C132" s="38">
        <f>Scores!AY142</f>
        <v>117</v>
      </c>
      <c r="D132" s="38">
        <f t="shared" si="1"/>
        <v>0</v>
      </c>
      <c r="E132" s="21">
        <v>86.0</v>
      </c>
      <c r="F132" s="14">
        <v>151.0</v>
      </c>
      <c r="G132" s="14">
        <v>151.0</v>
      </c>
      <c r="H132" s="14">
        <v>0.0</v>
      </c>
    </row>
    <row r="133">
      <c r="A133" s="40">
        <f>Scores!A143</f>
        <v>132</v>
      </c>
      <c r="B133" s="38">
        <f>Compilation!B140</f>
        <v>86</v>
      </c>
      <c r="C133" s="38">
        <f>Scores!AY143</f>
        <v>86</v>
      </c>
      <c r="D133" s="38">
        <f t="shared" si="1"/>
        <v>0</v>
      </c>
      <c r="E133" s="21">
        <v>87.0</v>
      </c>
      <c r="F133" s="14">
        <v>36.0</v>
      </c>
      <c r="G133" s="14">
        <v>36.0</v>
      </c>
      <c r="H133" s="14">
        <v>0.0</v>
      </c>
    </row>
    <row r="134">
      <c r="A134" s="40">
        <f>Scores!A144</f>
        <v>133</v>
      </c>
      <c r="B134" s="38">
        <f>Compilation!B141</f>
        <v>273</v>
      </c>
      <c r="C134" s="38">
        <f>Scores!AY144</f>
        <v>268</v>
      </c>
      <c r="D134" s="38">
        <f t="shared" si="1"/>
        <v>5</v>
      </c>
      <c r="E134" s="21">
        <v>88.0</v>
      </c>
      <c r="F134" s="14">
        <v>95.0</v>
      </c>
      <c r="G134" s="14">
        <v>95.0</v>
      </c>
      <c r="H134" s="14">
        <v>0.0</v>
      </c>
    </row>
    <row r="135">
      <c r="A135" s="40">
        <f>Scores!A145</f>
        <v>134</v>
      </c>
      <c r="B135" s="38">
        <f>Compilation!B142</f>
        <v>123</v>
      </c>
      <c r="C135" s="38">
        <f>Scores!AY145</f>
        <v>123</v>
      </c>
      <c r="D135" s="38">
        <f t="shared" si="1"/>
        <v>0</v>
      </c>
      <c r="E135" s="21">
        <v>91.0</v>
      </c>
      <c r="F135" s="14">
        <v>62.0</v>
      </c>
      <c r="G135" s="14">
        <v>62.0</v>
      </c>
      <c r="H135" s="14">
        <v>0.0</v>
      </c>
    </row>
    <row r="136">
      <c r="A136" s="40">
        <f>Scores!A146</f>
        <v>135</v>
      </c>
      <c r="B136" s="38">
        <f>Compilation!B143</f>
        <v>32</v>
      </c>
      <c r="C136" s="38">
        <f>Scores!AY146</f>
        <v>32</v>
      </c>
      <c r="D136" s="38">
        <f t="shared" si="1"/>
        <v>0</v>
      </c>
      <c r="E136" s="21">
        <v>92.0</v>
      </c>
      <c r="F136" s="14">
        <v>86.0</v>
      </c>
      <c r="G136" s="14">
        <v>86.0</v>
      </c>
      <c r="H136" s="14">
        <v>0.0</v>
      </c>
    </row>
    <row r="137">
      <c r="A137" s="40">
        <f>Scores!A147</f>
        <v>136</v>
      </c>
      <c r="B137" s="38">
        <f>Compilation!B144</f>
        <v>94</v>
      </c>
      <c r="C137" s="38">
        <f>Scores!AY147</f>
        <v>94</v>
      </c>
      <c r="D137" s="38">
        <f t="shared" si="1"/>
        <v>0</v>
      </c>
      <c r="E137" s="21">
        <v>93.0</v>
      </c>
      <c r="F137" s="14">
        <v>98.0</v>
      </c>
      <c r="G137" s="14">
        <v>98.0</v>
      </c>
      <c r="H137" s="14">
        <v>0.0</v>
      </c>
    </row>
    <row r="138">
      <c r="A138" s="40">
        <f>Scores!A148</f>
        <v>137</v>
      </c>
      <c r="B138" s="38">
        <f>Compilation!B145</f>
        <v>137</v>
      </c>
      <c r="C138" s="38">
        <f>Scores!AY148</f>
        <v>137</v>
      </c>
      <c r="D138" s="38">
        <f t="shared" si="1"/>
        <v>0</v>
      </c>
      <c r="E138" s="21">
        <v>94.0</v>
      </c>
      <c r="F138" s="14">
        <v>96.0</v>
      </c>
      <c r="G138" s="14">
        <v>96.0</v>
      </c>
      <c r="H138" s="14">
        <v>0.0</v>
      </c>
    </row>
    <row r="139">
      <c r="A139" s="40">
        <f>Scores!A149</f>
        <v>138</v>
      </c>
      <c r="B139" s="38">
        <f>Compilation!B146</f>
        <v>103</v>
      </c>
      <c r="C139" s="38">
        <f>Scores!AY149</f>
        <v>101</v>
      </c>
      <c r="D139" s="38">
        <f t="shared" si="1"/>
        <v>2</v>
      </c>
      <c r="E139" s="21">
        <v>95.0</v>
      </c>
      <c r="F139" s="14">
        <v>70.0</v>
      </c>
      <c r="G139" s="14">
        <v>70.0</v>
      </c>
      <c r="H139" s="14">
        <v>0.0</v>
      </c>
    </row>
    <row r="140">
      <c r="A140" s="40">
        <f>Scores!A150</f>
        <v>139</v>
      </c>
      <c r="B140" s="38">
        <f>Compilation!B147</f>
        <v>81</v>
      </c>
      <c r="C140" s="38">
        <f>Scores!AY150</f>
        <v>81</v>
      </c>
      <c r="D140" s="38">
        <f t="shared" si="1"/>
        <v>0</v>
      </c>
      <c r="E140" s="21">
        <v>97.0</v>
      </c>
      <c r="F140" s="14">
        <v>93.0</v>
      </c>
      <c r="G140" s="14">
        <v>93.0</v>
      </c>
      <c r="H140" s="14">
        <v>0.0</v>
      </c>
    </row>
    <row r="141">
      <c r="A141" s="40">
        <f>Scores!A151</f>
        <v>140</v>
      </c>
      <c r="B141" s="38">
        <f>Compilation!B148</f>
        <v>36</v>
      </c>
      <c r="C141" s="38">
        <f>Scores!AY151</f>
        <v>36</v>
      </c>
      <c r="D141" s="38">
        <f t="shared" si="1"/>
        <v>0</v>
      </c>
      <c r="E141" s="21">
        <v>98.0</v>
      </c>
      <c r="F141" s="14">
        <v>64.0</v>
      </c>
      <c r="G141" s="14">
        <v>64.0</v>
      </c>
      <c r="H141" s="14">
        <v>0.0</v>
      </c>
    </row>
    <row r="142">
      <c r="A142" s="40">
        <f>Scores!A152</f>
        <v>141</v>
      </c>
      <c r="B142" s="38">
        <f>Compilation!B149</f>
        <v>92</v>
      </c>
      <c r="C142" s="38">
        <f>Scores!AY152</f>
        <v>92</v>
      </c>
      <c r="D142" s="38">
        <f t="shared" si="1"/>
        <v>0</v>
      </c>
      <c r="E142" s="21">
        <v>99.0</v>
      </c>
      <c r="F142" s="14">
        <v>93.0</v>
      </c>
      <c r="G142" s="14">
        <v>93.0</v>
      </c>
      <c r="H142" s="14">
        <v>0.0</v>
      </c>
    </row>
    <row r="143">
      <c r="A143" s="40">
        <f>Scores!A153</f>
        <v>142</v>
      </c>
      <c r="B143" s="38">
        <f>Compilation!B150</f>
        <v>40</v>
      </c>
      <c r="C143" s="38">
        <f>Scores!AY153</f>
        <v>40</v>
      </c>
      <c r="D143" s="38">
        <f t="shared" si="1"/>
        <v>0</v>
      </c>
      <c r="E143" s="21">
        <v>100.0</v>
      </c>
      <c r="F143" s="14">
        <v>85.0</v>
      </c>
      <c r="G143" s="14">
        <v>85.0</v>
      </c>
      <c r="H143" s="14">
        <v>0.0</v>
      </c>
    </row>
    <row r="144">
      <c r="A144" s="40">
        <f>Scores!A154</f>
        <v>143</v>
      </c>
      <c r="B144" s="38">
        <f>Compilation!B151</f>
        <v>127</v>
      </c>
      <c r="C144" s="38">
        <f>Scores!AY154</f>
        <v>127</v>
      </c>
      <c r="D144" s="38">
        <f t="shared" si="1"/>
        <v>0</v>
      </c>
      <c r="E144" s="21">
        <v>102.0</v>
      </c>
      <c r="F144" s="14">
        <v>124.0</v>
      </c>
      <c r="G144" s="14">
        <v>124.0</v>
      </c>
      <c r="H144" s="14">
        <v>0.0</v>
      </c>
    </row>
    <row r="145">
      <c r="A145" s="40">
        <f>Scores!A155</f>
        <v>144</v>
      </c>
      <c r="B145" s="38">
        <f>Compilation!B152</f>
        <v>53</v>
      </c>
      <c r="C145" s="38">
        <f>Scores!AY155</f>
        <v>53</v>
      </c>
      <c r="D145" s="38">
        <f t="shared" si="1"/>
        <v>0</v>
      </c>
      <c r="E145" s="21">
        <v>103.0</v>
      </c>
      <c r="F145" s="14">
        <v>29.0</v>
      </c>
      <c r="G145" s="14">
        <v>29.0</v>
      </c>
      <c r="H145" s="14">
        <v>0.0</v>
      </c>
    </row>
    <row r="146">
      <c r="A146" s="40">
        <f>Scores!A156</f>
        <v>145</v>
      </c>
      <c r="B146" s="38">
        <f>Compilation!B153</f>
        <v>157</v>
      </c>
      <c r="C146" s="38">
        <f>Scores!AY156</f>
        <v>156</v>
      </c>
      <c r="D146" s="38">
        <f t="shared" si="1"/>
        <v>1</v>
      </c>
      <c r="E146" s="21">
        <v>104.0</v>
      </c>
      <c r="F146" s="14">
        <v>84.0</v>
      </c>
      <c r="G146" s="14">
        <v>84.0</v>
      </c>
      <c r="H146" s="14">
        <v>0.0</v>
      </c>
    </row>
    <row r="147">
      <c r="A147" s="40">
        <f>Scores!A157</f>
        <v>146</v>
      </c>
      <c r="B147" s="38">
        <f>Compilation!B154</f>
        <v>58</v>
      </c>
      <c r="C147" s="38">
        <f>Scores!AY157</f>
        <v>58</v>
      </c>
      <c r="D147" s="38">
        <f t="shared" si="1"/>
        <v>0</v>
      </c>
      <c r="E147" s="21">
        <v>105.0</v>
      </c>
      <c r="F147" s="14">
        <v>124.0</v>
      </c>
      <c r="G147" s="14">
        <v>124.0</v>
      </c>
      <c r="H147" s="14">
        <v>0.0</v>
      </c>
    </row>
    <row r="148">
      <c r="A148" s="40">
        <f>Scores!A158</f>
        <v>147</v>
      </c>
      <c r="B148" s="38">
        <f>Compilation!B155</f>
        <v>72</v>
      </c>
      <c r="C148" s="38">
        <f>Scores!AY158</f>
        <v>72</v>
      </c>
      <c r="D148" s="38">
        <f t="shared" si="1"/>
        <v>0</v>
      </c>
      <c r="E148" s="21">
        <v>106.0</v>
      </c>
      <c r="F148" s="14">
        <v>55.0</v>
      </c>
      <c r="G148" s="14">
        <v>55.0</v>
      </c>
      <c r="H148" s="14">
        <v>0.0</v>
      </c>
    </row>
    <row r="149">
      <c r="A149" s="40">
        <f>Scores!A159</f>
        <v>148</v>
      </c>
      <c r="B149" s="38">
        <f>Compilation!B156</f>
        <v>118</v>
      </c>
      <c r="C149" s="38">
        <f>Scores!AY159</f>
        <v>118</v>
      </c>
      <c r="D149" s="38">
        <f t="shared" si="1"/>
        <v>0</v>
      </c>
      <c r="E149" s="21">
        <v>107.0</v>
      </c>
      <c r="F149" s="14">
        <v>132.0</v>
      </c>
      <c r="G149" s="14">
        <v>132.0</v>
      </c>
      <c r="H149" s="14">
        <v>0.0</v>
      </c>
    </row>
    <row r="150">
      <c r="A150" s="40">
        <f>Scores!A160</f>
        <v>149</v>
      </c>
      <c r="B150" s="38">
        <f>Compilation!B157</f>
        <v>74</v>
      </c>
      <c r="C150" s="38">
        <f>Scores!AY160</f>
        <v>74</v>
      </c>
      <c r="D150" s="38">
        <f t="shared" si="1"/>
        <v>0</v>
      </c>
      <c r="E150" s="21">
        <v>109.0</v>
      </c>
      <c r="F150" s="14">
        <v>77.0</v>
      </c>
      <c r="G150" s="14">
        <v>77.0</v>
      </c>
      <c r="H150" s="14">
        <v>0.0</v>
      </c>
    </row>
    <row r="151">
      <c r="A151" s="40">
        <f>Scores!A161</f>
        <v>150</v>
      </c>
      <c r="B151" s="38">
        <f>Compilation!B158</f>
        <v>30</v>
      </c>
      <c r="C151" s="38">
        <f>Scores!AY161</f>
        <v>30</v>
      </c>
      <c r="D151" s="38">
        <f t="shared" si="1"/>
        <v>0</v>
      </c>
      <c r="E151" s="21">
        <v>110.0</v>
      </c>
      <c r="F151" s="14">
        <v>83.0</v>
      </c>
      <c r="G151" s="14">
        <v>83.0</v>
      </c>
      <c r="H151" s="14">
        <v>0.0</v>
      </c>
    </row>
    <row r="152">
      <c r="A152" s="40">
        <f>Scores!A162</f>
        <v>151</v>
      </c>
      <c r="B152" s="38">
        <f>Compilation!B159</f>
        <v>100</v>
      </c>
      <c r="C152" s="38">
        <f>Scores!AY162</f>
        <v>100</v>
      </c>
      <c r="D152" s="38">
        <f t="shared" si="1"/>
        <v>0</v>
      </c>
      <c r="E152" s="21">
        <v>111.0</v>
      </c>
      <c r="F152" s="14">
        <v>60.0</v>
      </c>
      <c r="G152" s="14">
        <v>60.0</v>
      </c>
      <c r="H152" s="14">
        <v>0.0</v>
      </c>
    </row>
    <row r="153">
      <c r="A153" s="40">
        <f>Scores!A163</f>
        <v>152</v>
      </c>
      <c r="B153" s="38">
        <f>Compilation!B160</f>
        <v>39</v>
      </c>
      <c r="C153" s="38">
        <f>Scores!AY163</f>
        <v>39</v>
      </c>
      <c r="D153" s="38">
        <f t="shared" si="1"/>
        <v>0</v>
      </c>
      <c r="E153" s="21">
        <v>112.0</v>
      </c>
      <c r="F153" s="14">
        <v>91.0</v>
      </c>
      <c r="G153" s="14">
        <v>91.0</v>
      </c>
      <c r="H153" s="14">
        <v>0.0</v>
      </c>
    </row>
    <row r="154">
      <c r="A154" s="40">
        <f>Scores!A164</f>
        <v>153</v>
      </c>
      <c r="B154" s="38">
        <f>Compilation!B161</f>
        <v>118</v>
      </c>
      <c r="C154" s="38">
        <f>Scores!AY164</f>
        <v>118</v>
      </c>
      <c r="D154" s="38">
        <f t="shared" si="1"/>
        <v>0</v>
      </c>
      <c r="E154" s="21">
        <v>113.0</v>
      </c>
      <c r="F154" s="14">
        <v>25.0</v>
      </c>
      <c r="G154" s="14">
        <v>25.0</v>
      </c>
      <c r="H154" s="14">
        <v>0.0</v>
      </c>
    </row>
    <row r="155">
      <c r="A155" s="40">
        <f>Scores!A165</f>
        <v>154</v>
      </c>
      <c r="B155" s="38">
        <f>Compilation!B162</f>
        <v>96</v>
      </c>
      <c r="C155" s="38">
        <f>Scores!AY165</f>
        <v>88</v>
      </c>
      <c r="D155" s="38">
        <f t="shared" si="1"/>
        <v>8</v>
      </c>
      <c r="E155" s="21">
        <v>114.0</v>
      </c>
      <c r="F155" s="14">
        <v>64.0</v>
      </c>
      <c r="G155" s="14">
        <v>64.0</v>
      </c>
      <c r="H155" s="14">
        <v>0.0</v>
      </c>
    </row>
    <row r="156">
      <c r="A156" s="40">
        <f>Scores!A166</f>
        <v>155</v>
      </c>
      <c r="B156" s="38">
        <f>Compilation!B163</f>
        <v>18</v>
      </c>
      <c r="C156" s="38">
        <f>Scores!AY166</f>
        <v>18</v>
      </c>
      <c r="D156" s="38">
        <f t="shared" si="1"/>
        <v>0</v>
      </c>
      <c r="E156" s="21">
        <v>115.0</v>
      </c>
      <c r="F156" s="14">
        <v>51.0</v>
      </c>
      <c r="G156" s="14">
        <v>51.0</v>
      </c>
      <c r="H156" s="14">
        <v>0.0</v>
      </c>
    </row>
    <row r="157">
      <c r="A157" s="40">
        <f>Scores!A167</f>
        <v>156</v>
      </c>
      <c r="B157" s="38">
        <f>Compilation!B164</f>
        <v>118</v>
      </c>
      <c r="C157" s="38">
        <f>Scores!AY167</f>
        <v>118</v>
      </c>
      <c r="D157" s="38">
        <f t="shared" si="1"/>
        <v>0</v>
      </c>
      <c r="E157" s="21">
        <v>116.0</v>
      </c>
      <c r="F157" s="14">
        <v>20.0</v>
      </c>
      <c r="G157" s="14">
        <v>20.0</v>
      </c>
      <c r="H157" s="14">
        <v>0.0</v>
      </c>
    </row>
    <row r="158">
      <c r="A158" s="40">
        <f>Scores!A168</f>
        <v>157</v>
      </c>
      <c r="B158" s="38">
        <f>Compilation!B165</f>
        <v>237</v>
      </c>
      <c r="C158" s="38">
        <f>Scores!AY168</f>
        <v>230</v>
      </c>
      <c r="D158" s="38">
        <f t="shared" si="1"/>
        <v>7</v>
      </c>
      <c r="E158" s="21">
        <v>117.0</v>
      </c>
      <c r="F158" s="14">
        <v>115.0</v>
      </c>
      <c r="G158" s="14">
        <v>115.0</v>
      </c>
      <c r="H158" s="14">
        <v>0.0</v>
      </c>
    </row>
    <row r="159">
      <c r="A159" s="40">
        <f>Scores!A169</f>
        <v>158</v>
      </c>
      <c r="B159" s="38">
        <f>Compilation!B166</f>
        <v>260</v>
      </c>
      <c r="C159" s="38">
        <f>Scores!AY169</f>
        <v>253</v>
      </c>
      <c r="D159" s="38">
        <f t="shared" si="1"/>
        <v>7</v>
      </c>
      <c r="E159" s="21">
        <v>119.0</v>
      </c>
      <c r="F159" s="14">
        <v>102.0</v>
      </c>
      <c r="G159" s="14">
        <v>102.0</v>
      </c>
      <c r="H159" s="14">
        <v>0.0</v>
      </c>
    </row>
    <row r="160">
      <c r="A160" s="40">
        <f>Scores!A170</f>
        <v>159</v>
      </c>
      <c r="B160" s="38">
        <f>Compilation!B167</f>
        <v>103</v>
      </c>
      <c r="C160" s="38">
        <f>Scores!AY170</f>
        <v>103</v>
      </c>
      <c r="D160" s="38">
        <f t="shared" si="1"/>
        <v>0</v>
      </c>
      <c r="E160" s="21">
        <v>122.0</v>
      </c>
      <c r="F160" s="14">
        <v>70.0</v>
      </c>
      <c r="G160" s="14">
        <v>70.0</v>
      </c>
      <c r="H160" s="14">
        <v>0.0</v>
      </c>
    </row>
    <row r="161">
      <c r="A161" s="40">
        <f>Scores!A171</f>
        <v>160</v>
      </c>
      <c r="B161" s="38">
        <f>Compilation!B168</f>
        <v>100</v>
      </c>
      <c r="C161" s="38">
        <f>Scores!AY171</f>
        <v>100</v>
      </c>
      <c r="D161" s="38">
        <f t="shared" si="1"/>
        <v>0</v>
      </c>
      <c r="E161" s="21">
        <v>123.0</v>
      </c>
      <c r="F161" s="14">
        <v>71.0</v>
      </c>
      <c r="G161" s="14">
        <v>71.0</v>
      </c>
      <c r="H161" s="14">
        <v>0.0</v>
      </c>
    </row>
    <row r="162">
      <c r="A162" s="40">
        <f>Scores!A172</f>
        <v>161</v>
      </c>
      <c r="B162" s="38">
        <f>Compilation!B169</f>
        <v>79</v>
      </c>
      <c r="C162" s="38">
        <f>Scores!AY172</f>
        <v>79</v>
      </c>
      <c r="D162" s="38">
        <f t="shared" si="1"/>
        <v>0</v>
      </c>
      <c r="E162" s="21">
        <v>124.0</v>
      </c>
      <c r="F162" s="14">
        <v>95.0</v>
      </c>
      <c r="G162" s="14">
        <v>95.0</v>
      </c>
      <c r="H162" s="14">
        <v>0.0</v>
      </c>
    </row>
    <row r="163">
      <c r="A163" s="40">
        <f>Scores!A173</f>
        <v>162</v>
      </c>
      <c r="B163" s="38">
        <f>Compilation!B170</f>
        <v>96</v>
      </c>
      <c r="C163" s="38">
        <f>Scores!AY173</f>
        <v>96</v>
      </c>
      <c r="D163" s="38">
        <f t="shared" si="1"/>
        <v>0</v>
      </c>
      <c r="E163" s="21">
        <v>125.0</v>
      </c>
      <c r="F163" s="14">
        <v>110.0</v>
      </c>
      <c r="G163" s="14">
        <v>110.0</v>
      </c>
      <c r="H163" s="14">
        <v>0.0</v>
      </c>
    </row>
    <row r="164">
      <c r="A164" s="40">
        <f>Scores!A174</f>
        <v>163</v>
      </c>
      <c r="B164" s="38">
        <f>Compilation!B171</f>
        <v>130</v>
      </c>
      <c r="C164" s="38">
        <f>Scores!AY174</f>
        <v>130</v>
      </c>
      <c r="D164" s="38">
        <f t="shared" si="1"/>
        <v>0</v>
      </c>
      <c r="E164" s="21">
        <v>126.0</v>
      </c>
      <c r="F164" s="14">
        <v>54.0</v>
      </c>
      <c r="G164" s="14">
        <v>54.0</v>
      </c>
      <c r="H164" s="14">
        <v>0.0</v>
      </c>
    </row>
    <row r="165">
      <c r="A165" s="40">
        <f>Scores!A175</f>
        <v>164</v>
      </c>
      <c r="B165" s="38">
        <f>Compilation!B172</f>
        <v>32</v>
      </c>
      <c r="C165" s="38">
        <f>Scores!AY175</f>
        <v>32</v>
      </c>
      <c r="D165" s="38">
        <f t="shared" si="1"/>
        <v>0</v>
      </c>
      <c r="E165" s="21">
        <v>127.0</v>
      </c>
      <c r="F165" s="14">
        <v>57.0</v>
      </c>
      <c r="G165" s="14">
        <v>57.0</v>
      </c>
      <c r="H165" s="14">
        <v>0.0</v>
      </c>
    </row>
    <row r="166">
      <c r="A166" s="40">
        <f>Scores!A176</f>
        <v>165</v>
      </c>
      <c r="B166" s="38">
        <f>Compilation!B173</f>
        <v>112</v>
      </c>
      <c r="C166" s="38">
        <f>Scores!AY176</f>
        <v>112</v>
      </c>
      <c r="D166" s="38">
        <f t="shared" si="1"/>
        <v>0</v>
      </c>
      <c r="E166" s="21">
        <v>128.0</v>
      </c>
      <c r="F166" s="14">
        <v>57.0</v>
      </c>
      <c r="G166" s="14">
        <v>57.0</v>
      </c>
      <c r="H166" s="14">
        <v>0.0</v>
      </c>
    </row>
    <row r="167">
      <c r="A167" s="40">
        <f>Scores!A177</f>
        <v>166</v>
      </c>
      <c r="B167" s="38">
        <f>Compilation!B174</f>
        <v>61</v>
      </c>
      <c r="C167" s="38">
        <f>Scores!AY177</f>
        <v>61</v>
      </c>
      <c r="D167" s="38">
        <f t="shared" si="1"/>
        <v>0</v>
      </c>
      <c r="E167" s="21">
        <v>129.0</v>
      </c>
      <c r="F167" s="14">
        <v>47.0</v>
      </c>
      <c r="G167" s="14">
        <v>47.0</v>
      </c>
      <c r="H167" s="14">
        <v>0.0</v>
      </c>
    </row>
    <row r="168">
      <c r="A168" s="40">
        <f>Scores!A178</f>
        <v>167</v>
      </c>
      <c r="B168" s="38">
        <f>Compilation!B175</f>
        <v>70</v>
      </c>
      <c r="C168" s="38">
        <f>Scores!AY178</f>
        <v>70</v>
      </c>
      <c r="D168" s="38">
        <f t="shared" si="1"/>
        <v>0</v>
      </c>
      <c r="E168" s="21">
        <v>130.0</v>
      </c>
      <c r="F168" s="14">
        <v>61.0</v>
      </c>
      <c r="G168" s="14">
        <v>61.0</v>
      </c>
      <c r="H168" s="14">
        <v>0.0</v>
      </c>
    </row>
    <row r="169">
      <c r="A169" s="40">
        <f>Scores!A179</f>
        <v>168</v>
      </c>
      <c r="B169" s="38">
        <f>Compilation!B176</f>
        <v>110</v>
      </c>
      <c r="C169" s="38">
        <f>Scores!AY179</f>
        <v>110</v>
      </c>
      <c r="D169" s="38">
        <f t="shared" si="1"/>
        <v>0</v>
      </c>
      <c r="E169" s="21">
        <v>131.0</v>
      </c>
      <c r="F169" s="14">
        <v>117.0</v>
      </c>
      <c r="G169" s="14">
        <v>117.0</v>
      </c>
      <c r="H169" s="14">
        <v>0.0</v>
      </c>
    </row>
    <row r="170">
      <c r="A170" s="40">
        <f>Scores!A180</f>
        <v>169</v>
      </c>
      <c r="B170" s="38">
        <f>Compilation!B177</f>
        <v>108</v>
      </c>
      <c r="C170" s="38">
        <f>Scores!AY180</f>
        <v>108</v>
      </c>
      <c r="D170" s="38">
        <f t="shared" si="1"/>
        <v>0</v>
      </c>
      <c r="E170" s="21">
        <v>132.0</v>
      </c>
      <c r="F170" s="14">
        <v>86.0</v>
      </c>
      <c r="G170" s="14">
        <v>86.0</v>
      </c>
      <c r="H170" s="14">
        <v>0.0</v>
      </c>
    </row>
    <row r="171">
      <c r="A171" s="40">
        <f>Scores!A181</f>
        <v>170</v>
      </c>
      <c r="B171" s="38">
        <f>Compilation!B178</f>
        <v>163</v>
      </c>
      <c r="C171" s="38">
        <f>Scores!AY181</f>
        <v>163</v>
      </c>
      <c r="D171" s="38">
        <f t="shared" si="1"/>
        <v>0</v>
      </c>
      <c r="E171" s="21">
        <v>134.0</v>
      </c>
      <c r="F171" s="14">
        <v>123.0</v>
      </c>
      <c r="G171" s="14">
        <v>123.0</v>
      </c>
      <c r="H171" s="14">
        <v>0.0</v>
      </c>
    </row>
    <row r="172">
      <c r="A172" s="40">
        <f>Scores!A182</f>
        <v>171</v>
      </c>
      <c r="B172" s="38">
        <f>Compilation!B179</f>
        <v>51</v>
      </c>
      <c r="C172" s="38">
        <f>Scores!AY182</f>
        <v>51</v>
      </c>
      <c r="D172" s="38">
        <f t="shared" si="1"/>
        <v>0</v>
      </c>
      <c r="E172" s="21">
        <v>135.0</v>
      </c>
      <c r="F172" s="14">
        <v>32.0</v>
      </c>
      <c r="G172" s="14">
        <v>32.0</v>
      </c>
      <c r="H172" s="14">
        <v>0.0</v>
      </c>
    </row>
    <row r="173">
      <c r="A173" s="40">
        <f>Scores!A183</f>
        <v>172</v>
      </c>
      <c r="B173" s="38">
        <f>Compilation!B180</f>
        <v>20</v>
      </c>
      <c r="C173" s="38">
        <f>Scores!AY183</f>
        <v>20</v>
      </c>
      <c r="D173" s="38">
        <f t="shared" si="1"/>
        <v>0</v>
      </c>
      <c r="E173" s="21">
        <v>136.0</v>
      </c>
      <c r="F173" s="14">
        <v>94.0</v>
      </c>
      <c r="G173" s="14">
        <v>94.0</v>
      </c>
      <c r="H173" s="14">
        <v>0.0</v>
      </c>
    </row>
    <row r="174">
      <c r="A174" s="40">
        <f>Scores!A184</f>
        <v>173</v>
      </c>
      <c r="B174" s="38">
        <f>Compilation!B181</f>
        <v>201</v>
      </c>
      <c r="C174" s="38">
        <f>Scores!AY184</f>
        <v>197</v>
      </c>
      <c r="D174" s="38">
        <f t="shared" si="1"/>
        <v>4</v>
      </c>
      <c r="E174" s="21">
        <v>137.0</v>
      </c>
      <c r="F174" s="14">
        <v>137.0</v>
      </c>
      <c r="G174" s="14">
        <v>137.0</v>
      </c>
      <c r="H174" s="14">
        <v>0.0</v>
      </c>
    </row>
    <row r="175">
      <c r="A175" s="40">
        <f>Scores!A185</f>
        <v>174</v>
      </c>
      <c r="B175" s="38">
        <f>Compilation!B182</f>
        <v>89</v>
      </c>
      <c r="C175" s="38">
        <f>Scores!AY185</f>
        <v>89</v>
      </c>
      <c r="D175" s="38">
        <f t="shared" si="1"/>
        <v>0</v>
      </c>
      <c r="E175" s="21">
        <v>139.0</v>
      </c>
      <c r="F175" s="14">
        <v>81.0</v>
      </c>
      <c r="G175" s="14">
        <v>81.0</v>
      </c>
      <c r="H175" s="14">
        <v>0.0</v>
      </c>
    </row>
    <row r="176">
      <c r="A176" s="40">
        <f>Scores!A186</f>
        <v>175</v>
      </c>
      <c r="B176" s="38">
        <f>Compilation!B183</f>
        <v>74</v>
      </c>
      <c r="C176" s="38">
        <f>Scores!AY186</f>
        <v>74</v>
      </c>
      <c r="D176" s="38">
        <f t="shared" si="1"/>
        <v>0</v>
      </c>
      <c r="E176" s="21">
        <v>140.0</v>
      </c>
      <c r="F176" s="14">
        <v>36.0</v>
      </c>
      <c r="G176" s="14">
        <v>36.0</v>
      </c>
      <c r="H176" s="14">
        <v>0.0</v>
      </c>
    </row>
    <row r="177">
      <c r="A177" s="40">
        <f>Scores!A187</f>
        <v>176</v>
      </c>
      <c r="B177" s="38">
        <f>Compilation!B184</f>
        <v>61</v>
      </c>
      <c r="C177" s="38">
        <f>Scores!AY187</f>
        <v>61</v>
      </c>
      <c r="D177" s="38">
        <f t="shared" si="1"/>
        <v>0</v>
      </c>
      <c r="E177" s="21">
        <v>141.0</v>
      </c>
      <c r="F177" s="14">
        <v>92.0</v>
      </c>
      <c r="G177" s="14">
        <v>92.0</v>
      </c>
      <c r="H177" s="14">
        <v>0.0</v>
      </c>
    </row>
    <row r="178">
      <c r="A178" s="40">
        <f>Scores!A188</f>
        <v>177</v>
      </c>
      <c r="B178" s="38">
        <f>Compilation!B185</f>
        <v>51</v>
      </c>
      <c r="C178" s="38">
        <f>Scores!AY188</f>
        <v>51</v>
      </c>
      <c r="D178" s="38">
        <f t="shared" si="1"/>
        <v>0</v>
      </c>
      <c r="E178" s="21">
        <v>142.0</v>
      </c>
      <c r="F178" s="14">
        <v>40.0</v>
      </c>
      <c r="G178" s="14">
        <v>40.0</v>
      </c>
      <c r="H178" s="14">
        <v>0.0</v>
      </c>
    </row>
    <row r="179">
      <c r="A179" s="40">
        <f>Scores!A189</f>
        <v>178</v>
      </c>
      <c r="B179" s="38">
        <f>Compilation!B186</f>
        <v>47</v>
      </c>
      <c r="C179" s="38">
        <f>Scores!AY189</f>
        <v>47</v>
      </c>
      <c r="D179" s="38">
        <f t="shared" si="1"/>
        <v>0</v>
      </c>
      <c r="E179" s="21">
        <v>143.0</v>
      </c>
      <c r="F179" s="14">
        <v>127.0</v>
      </c>
      <c r="G179" s="14">
        <v>127.0</v>
      </c>
      <c r="H179" s="14">
        <v>0.0</v>
      </c>
    </row>
    <row r="180">
      <c r="A180" s="40">
        <f>Scores!A190</f>
        <v>179</v>
      </c>
      <c r="B180" s="38">
        <f>Compilation!B187</f>
        <v>21</v>
      </c>
      <c r="C180" s="38">
        <f>Scores!AY190</f>
        <v>21</v>
      </c>
      <c r="D180" s="38">
        <f t="shared" si="1"/>
        <v>0</v>
      </c>
      <c r="E180" s="21">
        <v>144.0</v>
      </c>
      <c r="F180" s="14">
        <v>53.0</v>
      </c>
      <c r="G180" s="14">
        <v>53.0</v>
      </c>
      <c r="H180" s="14">
        <v>0.0</v>
      </c>
    </row>
    <row r="181">
      <c r="A181" s="40">
        <f>Scores!A191</f>
        <v>180</v>
      </c>
      <c r="B181" s="38">
        <f>Compilation!B188</f>
        <v>74</v>
      </c>
      <c r="C181" s="38">
        <f>Scores!AY191</f>
        <v>74</v>
      </c>
      <c r="D181" s="38">
        <f t="shared" si="1"/>
        <v>0</v>
      </c>
      <c r="E181" s="21">
        <v>146.0</v>
      </c>
      <c r="F181" s="14">
        <v>58.0</v>
      </c>
      <c r="G181" s="14">
        <v>58.0</v>
      </c>
      <c r="H181" s="14">
        <v>0.0</v>
      </c>
    </row>
    <row r="182">
      <c r="A182" s="40">
        <f>Scores!A192</f>
        <v>181</v>
      </c>
      <c r="B182" s="38">
        <f>Compilation!B189</f>
        <v>67</v>
      </c>
      <c r="C182" s="38">
        <f>Scores!AY192</f>
        <v>67</v>
      </c>
      <c r="D182" s="38">
        <f t="shared" si="1"/>
        <v>0</v>
      </c>
      <c r="E182" s="21">
        <v>147.0</v>
      </c>
      <c r="F182" s="14">
        <v>72.0</v>
      </c>
      <c r="G182" s="14">
        <v>72.0</v>
      </c>
      <c r="H182" s="14">
        <v>0.0</v>
      </c>
    </row>
    <row r="183">
      <c r="A183" s="40">
        <f>Scores!A193</f>
        <v>182</v>
      </c>
      <c r="B183" s="38">
        <f>Compilation!B190</f>
        <v>160</v>
      </c>
      <c r="C183" s="38">
        <f>Scores!AY193</f>
        <v>160</v>
      </c>
      <c r="D183" s="38">
        <f t="shared" si="1"/>
        <v>0</v>
      </c>
      <c r="E183" s="21">
        <v>148.0</v>
      </c>
      <c r="F183" s="14">
        <v>118.0</v>
      </c>
      <c r="G183" s="14">
        <v>118.0</v>
      </c>
      <c r="H183" s="14">
        <v>0.0</v>
      </c>
    </row>
    <row r="184">
      <c r="A184" s="40">
        <f>Scores!A194</f>
        <v>183</v>
      </c>
      <c r="B184" s="38">
        <f>Compilation!B191</f>
        <v>79</v>
      </c>
      <c r="C184" s="38">
        <f>Scores!AY194</f>
        <v>79</v>
      </c>
      <c r="D184" s="38">
        <f t="shared" si="1"/>
        <v>0</v>
      </c>
      <c r="E184" s="21">
        <v>149.0</v>
      </c>
      <c r="F184" s="14">
        <v>74.0</v>
      </c>
      <c r="G184" s="14">
        <v>74.0</v>
      </c>
      <c r="H184" s="14">
        <v>0.0</v>
      </c>
    </row>
    <row r="185">
      <c r="A185" s="40">
        <f>Scores!A195</f>
        <v>184</v>
      </c>
      <c r="B185" s="38">
        <f>Compilation!B192</f>
        <v>91</v>
      </c>
      <c r="C185" s="38">
        <f>Scores!AY195</f>
        <v>91</v>
      </c>
      <c r="D185" s="38">
        <f t="shared" si="1"/>
        <v>0</v>
      </c>
      <c r="E185" s="21">
        <v>150.0</v>
      </c>
      <c r="F185" s="14">
        <v>30.0</v>
      </c>
      <c r="G185" s="14">
        <v>30.0</v>
      </c>
      <c r="H185" s="14">
        <v>0.0</v>
      </c>
    </row>
    <row r="186">
      <c r="A186" s="40">
        <f>Scores!A196</f>
        <v>185</v>
      </c>
      <c r="B186" s="38">
        <f>Compilation!B193</f>
        <v>107</v>
      </c>
      <c r="C186" s="38">
        <f>Scores!AY196</f>
        <v>107</v>
      </c>
      <c r="D186" s="38">
        <f t="shared" si="1"/>
        <v>0</v>
      </c>
      <c r="E186" s="21">
        <v>151.0</v>
      </c>
      <c r="F186" s="14">
        <v>100.0</v>
      </c>
      <c r="G186" s="14">
        <v>100.0</v>
      </c>
      <c r="H186" s="14">
        <v>0.0</v>
      </c>
    </row>
    <row r="187">
      <c r="A187" s="40">
        <f>Scores!A197</f>
        <v>186</v>
      </c>
      <c r="B187" s="38">
        <f>Compilation!B194</f>
        <v>60</v>
      </c>
      <c r="C187" s="38">
        <f>Scores!AY197</f>
        <v>60</v>
      </c>
      <c r="D187" s="38">
        <f t="shared" si="1"/>
        <v>0</v>
      </c>
      <c r="E187" s="21">
        <v>152.0</v>
      </c>
      <c r="F187" s="14">
        <v>39.0</v>
      </c>
      <c r="G187" s="14">
        <v>39.0</v>
      </c>
      <c r="H187" s="14">
        <v>0.0</v>
      </c>
    </row>
    <row r="188">
      <c r="A188" s="40">
        <f>Scores!A198</f>
        <v>187</v>
      </c>
      <c r="B188" s="38">
        <f>Compilation!B195</f>
        <v>83</v>
      </c>
      <c r="C188" s="38">
        <f>Scores!AY198</f>
        <v>83</v>
      </c>
      <c r="D188" s="38">
        <f t="shared" si="1"/>
        <v>0</v>
      </c>
      <c r="E188" s="21">
        <v>153.0</v>
      </c>
      <c r="F188" s="14">
        <v>118.0</v>
      </c>
      <c r="G188" s="14">
        <v>118.0</v>
      </c>
      <c r="H188" s="14">
        <v>0.0</v>
      </c>
    </row>
    <row r="189">
      <c r="A189" s="40">
        <f>Scores!A199</f>
        <v>188</v>
      </c>
      <c r="B189" s="38">
        <f>Compilation!B196</f>
        <v>53</v>
      </c>
      <c r="C189" s="38">
        <f>Scores!AY199</f>
        <v>53</v>
      </c>
      <c r="D189" s="38">
        <f t="shared" si="1"/>
        <v>0</v>
      </c>
      <c r="E189" s="21">
        <v>155.0</v>
      </c>
      <c r="F189" s="14">
        <v>18.0</v>
      </c>
      <c r="G189" s="14">
        <v>18.0</v>
      </c>
      <c r="H189" s="14">
        <v>0.0</v>
      </c>
    </row>
    <row r="190">
      <c r="A190" s="40">
        <f>Scores!A200</f>
        <v>189</v>
      </c>
      <c r="B190" s="38">
        <f>Compilation!B197</f>
        <v>95</v>
      </c>
      <c r="C190" s="38">
        <f>Scores!AY200</f>
        <v>95</v>
      </c>
      <c r="D190" s="38">
        <f t="shared" si="1"/>
        <v>0</v>
      </c>
      <c r="E190" s="21">
        <v>156.0</v>
      </c>
      <c r="F190" s="14">
        <v>118.0</v>
      </c>
      <c r="G190" s="14">
        <v>118.0</v>
      </c>
      <c r="H190" s="14">
        <v>0.0</v>
      </c>
    </row>
    <row r="191">
      <c r="A191" s="40">
        <f>Scores!A201</f>
        <v>190</v>
      </c>
      <c r="B191" s="38">
        <f>Compilation!B198</f>
        <v>103</v>
      </c>
      <c r="C191" s="38">
        <f>Scores!AY201</f>
        <v>103</v>
      </c>
      <c r="D191" s="38">
        <f t="shared" si="1"/>
        <v>0</v>
      </c>
      <c r="E191" s="21">
        <v>159.0</v>
      </c>
      <c r="F191" s="14">
        <v>103.0</v>
      </c>
      <c r="G191" s="14">
        <v>103.0</v>
      </c>
      <c r="H191" s="14">
        <v>0.0</v>
      </c>
    </row>
    <row r="192">
      <c r="A192" s="40">
        <f>Scores!A202</f>
        <v>191</v>
      </c>
      <c r="B192" s="38">
        <f>Compilation!B199</f>
        <v>221</v>
      </c>
      <c r="C192" s="38">
        <f>Scores!AY202</f>
        <v>221</v>
      </c>
      <c r="D192" s="38">
        <f t="shared" si="1"/>
        <v>0</v>
      </c>
      <c r="E192" s="21">
        <v>160.0</v>
      </c>
      <c r="F192" s="14">
        <v>100.0</v>
      </c>
      <c r="G192" s="14">
        <v>100.0</v>
      </c>
      <c r="H192" s="14">
        <v>0.0</v>
      </c>
    </row>
    <row r="193">
      <c r="A193" s="40">
        <f>Scores!A203</f>
        <v>192</v>
      </c>
      <c r="B193" s="38">
        <f>Compilation!B200</f>
        <v>99</v>
      </c>
      <c r="C193" s="38">
        <f>Scores!AY203</f>
        <v>99</v>
      </c>
      <c r="D193" s="38">
        <f t="shared" si="1"/>
        <v>0</v>
      </c>
      <c r="E193" s="21">
        <v>161.0</v>
      </c>
      <c r="F193" s="14">
        <v>79.0</v>
      </c>
      <c r="G193" s="14">
        <v>79.0</v>
      </c>
      <c r="H193" s="14">
        <v>0.0</v>
      </c>
    </row>
    <row r="194">
      <c r="A194" s="40">
        <f>Scores!A204</f>
        <v>193</v>
      </c>
      <c r="B194" s="38">
        <f>Compilation!B201</f>
        <v>71</v>
      </c>
      <c r="C194" s="38">
        <f>Scores!AY204</f>
        <v>71</v>
      </c>
      <c r="D194" s="38">
        <f t="shared" si="1"/>
        <v>0</v>
      </c>
      <c r="E194" s="21">
        <v>162.0</v>
      </c>
      <c r="F194" s="14">
        <v>96.0</v>
      </c>
      <c r="G194" s="14">
        <v>96.0</v>
      </c>
      <c r="H194" s="14">
        <v>0.0</v>
      </c>
    </row>
    <row r="195">
      <c r="A195" s="40">
        <f>Scores!A205</f>
        <v>194</v>
      </c>
      <c r="B195" s="38">
        <f>Compilation!B202</f>
        <v>55</v>
      </c>
      <c r="C195" s="38">
        <f>Scores!AY205</f>
        <v>55</v>
      </c>
      <c r="D195" s="38">
        <f t="shared" si="1"/>
        <v>0</v>
      </c>
      <c r="E195" s="21">
        <v>163.0</v>
      </c>
      <c r="F195" s="14">
        <v>130.0</v>
      </c>
      <c r="G195" s="14">
        <v>130.0</v>
      </c>
      <c r="H195" s="14">
        <v>0.0</v>
      </c>
    </row>
    <row r="196">
      <c r="A196" s="40">
        <f>Scores!A206</f>
        <v>195</v>
      </c>
      <c r="B196" s="38">
        <f>Compilation!B203</f>
        <v>94</v>
      </c>
      <c r="C196" s="38">
        <f>Scores!AY206</f>
        <v>94</v>
      </c>
      <c r="D196" s="38">
        <f t="shared" si="1"/>
        <v>0</v>
      </c>
      <c r="E196" s="21">
        <v>164.0</v>
      </c>
      <c r="F196" s="14">
        <v>32.0</v>
      </c>
      <c r="G196" s="14">
        <v>32.0</v>
      </c>
      <c r="H196" s="14">
        <v>0.0</v>
      </c>
    </row>
    <row r="197">
      <c r="A197" s="40">
        <f>Scores!A207</f>
        <v>196</v>
      </c>
      <c r="B197" s="38">
        <f>Compilation!B204</f>
        <v>105</v>
      </c>
      <c r="C197" s="38">
        <f>Scores!AY207</f>
        <v>99</v>
      </c>
      <c r="D197" s="38">
        <f t="shared" si="1"/>
        <v>6</v>
      </c>
      <c r="E197" s="21">
        <v>165.0</v>
      </c>
      <c r="F197" s="14">
        <v>112.0</v>
      </c>
      <c r="G197" s="14">
        <v>112.0</v>
      </c>
      <c r="H197" s="14">
        <v>0.0</v>
      </c>
    </row>
    <row r="198">
      <c r="A198" s="40">
        <f>Scores!A208</f>
        <v>197</v>
      </c>
      <c r="B198" s="38">
        <f>Compilation!B205</f>
        <v>51</v>
      </c>
      <c r="C198" s="38">
        <f>Scores!AY208</f>
        <v>51</v>
      </c>
      <c r="D198" s="38">
        <f t="shared" si="1"/>
        <v>0</v>
      </c>
      <c r="E198" s="21">
        <v>166.0</v>
      </c>
      <c r="F198" s="14">
        <v>61.0</v>
      </c>
      <c r="G198" s="14">
        <v>61.0</v>
      </c>
      <c r="H198" s="14">
        <v>0.0</v>
      </c>
    </row>
    <row r="199">
      <c r="A199" s="40">
        <f>Scores!A209</f>
        <v>198</v>
      </c>
      <c r="B199" s="38">
        <f>Compilation!B206</f>
        <v>107</v>
      </c>
      <c r="C199" s="38">
        <f>Scores!AY209</f>
        <v>102</v>
      </c>
      <c r="D199" s="38">
        <f t="shared" si="1"/>
        <v>5</v>
      </c>
      <c r="E199" s="21">
        <v>167.0</v>
      </c>
      <c r="F199" s="14">
        <v>70.0</v>
      </c>
      <c r="G199" s="14">
        <v>70.0</v>
      </c>
      <c r="H199" s="14">
        <v>0.0</v>
      </c>
    </row>
    <row r="200">
      <c r="A200" s="40">
        <f>Scores!A210</f>
        <v>199</v>
      </c>
      <c r="B200" s="38">
        <f>Compilation!B207</f>
        <v>77</v>
      </c>
      <c r="C200" s="38">
        <f>Scores!AY210</f>
        <v>77</v>
      </c>
      <c r="D200" s="38">
        <f t="shared" si="1"/>
        <v>0</v>
      </c>
      <c r="E200" s="21">
        <v>168.0</v>
      </c>
      <c r="F200" s="14">
        <v>110.0</v>
      </c>
      <c r="G200" s="14">
        <v>110.0</v>
      </c>
      <c r="H200" s="14">
        <v>0.0</v>
      </c>
    </row>
    <row r="201">
      <c r="A201" s="40">
        <f>Scores!A211</f>
        <v>200</v>
      </c>
      <c r="B201" s="38">
        <f>Compilation!B208</f>
        <v>84</v>
      </c>
      <c r="C201" s="38">
        <f>Scores!AY211</f>
        <v>84</v>
      </c>
      <c r="D201" s="38">
        <f t="shared" si="1"/>
        <v>0</v>
      </c>
      <c r="E201" s="21">
        <v>169.0</v>
      </c>
      <c r="F201" s="14">
        <v>108.0</v>
      </c>
      <c r="G201" s="14">
        <v>108.0</v>
      </c>
      <c r="H201" s="14">
        <v>0.0</v>
      </c>
    </row>
    <row r="202">
      <c r="A202" s="40">
        <f>Scores!A212</f>
        <v>201</v>
      </c>
      <c r="B202" s="38">
        <f>Compilation!B209</f>
        <v>187</v>
      </c>
      <c r="C202" s="38">
        <f>Scores!AY212</f>
        <v>185</v>
      </c>
      <c r="D202" s="38">
        <f t="shared" si="1"/>
        <v>2</v>
      </c>
      <c r="E202" s="21">
        <v>170.0</v>
      </c>
      <c r="F202" s="14">
        <v>163.0</v>
      </c>
      <c r="G202" s="14">
        <v>163.0</v>
      </c>
      <c r="H202" s="14">
        <v>0.0</v>
      </c>
    </row>
    <row r="203">
      <c r="A203" s="40">
        <f>Scores!A213</f>
        <v>202</v>
      </c>
      <c r="B203" s="38">
        <f>Compilation!B210</f>
        <v>98</v>
      </c>
      <c r="C203" s="38">
        <f>Scores!AY213</f>
        <v>98</v>
      </c>
      <c r="D203" s="38">
        <f t="shared" si="1"/>
        <v>0</v>
      </c>
      <c r="E203" s="21">
        <v>171.0</v>
      </c>
      <c r="F203" s="14">
        <v>51.0</v>
      </c>
      <c r="G203" s="14">
        <v>51.0</v>
      </c>
      <c r="H203" s="14">
        <v>0.0</v>
      </c>
    </row>
    <row r="204">
      <c r="A204" s="40">
        <f>Scores!A214</f>
        <v>203</v>
      </c>
      <c r="B204" s="38">
        <f>Compilation!B211</f>
        <v>64</v>
      </c>
      <c r="C204" s="38">
        <f>Scores!AY214</f>
        <v>64</v>
      </c>
      <c r="D204" s="38">
        <f t="shared" si="1"/>
        <v>0</v>
      </c>
      <c r="E204" s="21">
        <v>172.0</v>
      </c>
      <c r="F204" s="14">
        <v>20.0</v>
      </c>
      <c r="G204" s="14">
        <v>20.0</v>
      </c>
      <c r="H204" s="14">
        <v>0.0</v>
      </c>
    </row>
    <row r="205">
      <c r="A205" s="40">
        <f>Scores!A215</f>
        <v>204</v>
      </c>
      <c r="B205" s="38">
        <f>Compilation!B212</f>
        <v>93</v>
      </c>
      <c r="C205" s="38">
        <f>Scores!AY215</f>
        <v>93</v>
      </c>
      <c r="D205" s="38">
        <f t="shared" si="1"/>
        <v>0</v>
      </c>
      <c r="E205" s="21">
        <v>174.0</v>
      </c>
      <c r="F205" s="14">
        <v>89.0</v>
      </c>
      <c r="G205" s="14">
        <v>89.0</v>
      </c>
      <c r="H205" s="14">
        <v>0.0</v>
      </c>
    </row>
    <row r="206">
      <c r="A206" s="40">
        <f>Scores!A216</f>
        <v>205</v>
      </c>
      <c r="B206" s="38">
        <f>Compilation!B213</f>
        <v>134</v>
      </c>
      <c r="C206" s="38">
        <f>Scores!AY216</f>
        <v>134</v>
      </c>
      <c r="D206" s="38">
        <f t="shared" si="1"/>
        <v>0</v>
      </c>
      <c r="E206" s="21">
        <v>175.0</v>
      </c>
      <c r="F206" s="14">
        <v>74.0</v>
      </c>
      <c r="G206" s="14">
        <v>74.0</v>
      </c>
      <c r="H206" s="14">
        <v>0.0</v>
      </c>
    </row>
    <row r="207">
      <c r="A207" s="40">
        <f>Scores!A217</f>
        <v>206</v>
      </c>
      <c r="B207" s="38">
        <f>Compilation!B214</f>
        <v>139</v>
      </c>
      <c r="C207" s="38">
        <f>Scores!AY217</f>
        <v>139</v>
      </c>
      <c r="D207" s="38">
        <f t="shared" si="1"/>
        <v>0</v>
      </c>
      <c r="E207" s="21">
        <v>176.0</v>
      </c>
      <c r="F207" s="14">
        <v>61.0</v>
      </c>
      <c r="G207" s="14">
        <v>61.0</v>
      </c>
      <c r="H207" s="14">
        <v>0.0</v>
      </c>
    </row>
    <row r="208">
      <c r="A208" s="40">
        <f>Scores!A218</f>
        <v>207</v>
      </c>
      <c r="B208" s="38">
        <f>Compilation!B215</f>
        <v>74</v>
      </c>
      <c r="C208" s="38">
        <f>Scores!AY218</f>
        <v>72</v>
      </c>
      <c r="D208" s="38">
        <f t="shared" si="1"/>
        <v>2</v>
      </c>
      <c r="E208" s="21">
        <v>177.0</v>
      </c>
      <c r="F208" s="14">
        <v>51.0</v>
      </c>
      <c r="G208" s="14">
        <v>51.0</v>
      </c>
      <c r="H208" s="14">
        <v>0.0</v>
      </c>
    </row>
    <row r="209">
      <c r="A209" s="40">
        <f>Scores!A219</f>
        <v>208</v>
      </c>
      <c r="B209" s="38">
        <f>Compilation!B216</f>
        <v>163</v>
      </c>
      <c r="C209" s="38">
        <f>Scores!AY219</f>
        <v>163</v>
      </c>
      <c r="D209" s="38">
        <f t="shared" si="1"/>
        <v>0</v>
      </c>
      <c r="E209" s="21">
        <v>178.0</v>
      </c>
      <c r="F209" s="14">
        <v>47.0</v>
      </c>
      <c r="G209" s="14">
        <v>47.0</v>
      </c>
      <c r="H209" s="14">
        <v>0.0</v>
      </c>
    </row>
    <row r="210">
      <c r="A210" s="40">
        <f>Scores!A220</f>
        <v>209</v>
      </c>
      <c r="B210" s="38">
        <f>Compilation!B217</f>
        <v>247</v>
      </c>
      <c r="C210" s="38">
        <f>Scores!AY220</f>
        <v>244</v>
      </c>
      <c r="D210" s="38">
        <f t="shared" si="1"/>
        <v>3</v>
      </c>
      <c r="E210" s="21">
        <v>179.0</v>
      </c>
      <c r="F210" s="14">
        <v>21.0</v>
      </c>
      <c r="G210" s="14">
        <v>21.0</v>
      </c>
      <c r="H210" s="14">
        <v>0.0</v>
      </c>
    </row>
    <row r="211">
      <c r="A211" s="40">
        <f>Scores!A221</f>
        <v>210</v>
      </c>
      <c r="B211" s="38">
        <f>Compilation!B218</f>
        <v>20</v>
      </c>
      <c r="C211" s="38">
        <f>Scores!AY221</f>
        <v>20</v>
      </c>
      <c r="D211" s="38">
        <f t="shared" si="1"/>
        <v>0</v>
      </c>
      <c r="E211" s="21">
        <v>180.0</v>
      </c>
      <c r="F211" s="14">
        <v>74.0</v>
      </c>
      <c r="G211" s="14">
        <v>74.0</v>
      </c>
      <c r="H211" s="14">
        <v>0.0</v>
      </c>
    </row>
    <row r="212">
      <c r="A212" s="40">
        <f>Scores!A222</f>
        <v>211</v>
      </c>
      <c r="B212" s="38">
        <f>Compilation!B219</f>
        <v>48</v>
      </c>
      <c r="C212" s="38">
        <f>Scores!AY222</f>
        <v>48</v>
      </c>
      <c r="D212" s="38">
        <f t="shared" si="1"/>
        <v>0</v>
      </c>
      <c r="E212" s="21">
        <v>181.0</v>
      </c>
      <c r="F212" s="14">
        <v>67.0</v>
      </c>
      <c r="G212" s="14">
        <v>67.0</v>
      </c>
      <c r="H212" s="14">
        <v>0.0</v>
      </c>
    </row>
    <row r="213">
      <c r="A213" s="40">
        <f>Scores!A223</f>
        <v>212</v>
      </c>
      <c r="B213" s="38">
        <f>Compilation!B220</f>
        <v>93</v>
      </c>
      <c r="C213" s="38">
        <f>Scores!AY223</f>
        <v>88</v>
      </c>
      <c r="D213" s="38">
        <f t="shared" si="1"/>
        <v>5</v>
      </c>
      <c r="E213" s="21">
        <v>182.0</v>
      </c>
      <c r="F213" s="14">
        <v>160.0</v>
      </c>
      <c r="G213" s="14">
        <v>160.0</v>
      </c>
      <c r="H213" s="14">
        <v>0.0</v>
      </c>
    </row>
    <row r="214">
      <c r="A214" s="40">
        <f>Scores!A224</f>
        <v>213</v>
      </c>
      <c r="B214" s="38">
        <f>Compilation!B221</f>
        <v>86</v>
      </c>
      <c r="C214" s="38">
        <f>Scores!AY224</f>
        <v>86</v>
      </c>
      <c r="D214" s="38">
        <f t="shared" si="1"/>
        <v>0</v>
      </c>
      <c r="E214" s="21">
        <v>183.0</v>
      </c>
      <c r="F214" s="14">
        <v>79.0</v>
      </c>
      <c r="G214" s="14">
        <v>79.0</v>
      </c>
      <c r="H214" s="14">
        <v>0.0</v>
      </c>
    </row>
    <row r="215">
      <c r="A215" s="40">
        <f>Scores!A225</f>
        <v>214</v>
      </c>
      <c r="B215" s="38">
        <f>Compilation!B222</f>
        <v>61</v>
      </c>
      <c r="C215" s="38">
        <f>Scores!AY225</f>
        <v>61</v>
      </c>
      <c r="D215" s="38">
        <f t="shared" si="1"/>
        <v>0</v>
      </c>
      <c r="E215" s="21">
        <v>184.0</v>
      </c>
      <c r="F215" s="14">
        <v>91.0</v>
      </c>
      <c r="G215" s="14">
        <v>91.0</v>
      </c>
      <c r="H215" s="14">
        <v>0.0</v>
      </c>
    </row>
    <row r="216">
      <c r="A216" s="40">
        <f>Scores!A226</f>
        <v>215</v>
      </c>
      <c r="B216" s="38">
        <f>Compilation!B223</f>
        <v>42</v>
      </c>
      <c r="C216" s="38">
        <f>Scores!AY226</f>
        <v>42</v>
      </c>
      <c r="D216" s="38">
        <f t="shared" si="1"/>
        <v>0</v>
      </c>
      <c r="E216" s="21">
        <v>185.0</v>
      </c>
      <c r="F216" s="14">
        <v>107.0</v>
      </c>
      <c r="G216" s="14">
        <v>107.0</v>
      </c>
      <c r="H216" s="14">
        <v>0.0</v>
      </c>
    </row>
    <row r="217">
      <c r="A217" s="40">
        <f>Scores!A227</f>
        <v>216</v>
      </c>
      <c r="B217" s="38">
        <f>Compilation!B224</f>
        <v>111</v>
      </c>
      <c r="C217" s="38">
        <f>Scores!AY227</f>
        <v>111</v>
      </c>
      <c r="D217" s="38">
        <f t="shared" si="1"/>
        <v>0</v>
      </c>
      <c r="E217" s="21">
        <v>186.0</v>
      </c>
      <c r="F217" s="14">
        <v>60.0</v>
      </c>
      <c r="G217" s="14">
        <v>60.0</v>
      </c>
      <c r="H217" s="14">
        <v>0.0</v>
      </c>
    </row>
    <row r="218">
      <c r="A218" s="40">
        <f>Scores!A228</f>
        <v>217</v>
      </c>
      <c r="B218" s="38">
        <f>Compilation!B225</f>
        <v>95</v>
      </c>
      <c r="C218" s="38">
        <f>Scores!AY228</f>
        <v>95</v>
      </c>
      <c r="D218" s="38">
        <f t="shared" si="1"/>
        <v>0</v>
      </c>
      <c r="E218" s="21">
        <v>187.0</v>
      </c>
      <c r="F218" s="14">
        <v>83.0</v>
      </c>
      <c r="G218" s="14">
        <v>83.0</v>
      </c>
      <c r="H218" s="14">
        <v>0.0</v>
      </c>
    </row>
    <row r="219">
      <c r="A219" s="40">
        <f>Scores!A229</f>
        <v>218</v>
      </c>
      <c r="B219" s="38">
        <f>Compilation!B226</f>
        <v>56</v>
      </c>
      <c r="C219" s="38">
        <f>Scores!AY229</f>
        <v>56</v>
      </c>
      <c r="D219" s="38">
        <f t="shared" si="1"/>
        <v>0</v>
      </c>
      <c r="E219" s="21">
        <v>188.0</v>
      </c>
      <c r="F219" s="14">
        <v>53.0</v>
      </c>
      <c r="G219" s="14">
        <v>53.0</v>
      </c>
      <c r="H219" s="14">
        <v>0.0</v>
      </c>
    </row>
    <row r="220">
      <c r="A220" s="40">
        <f>Scores!A230</f>
        <v>219</v>
      </c>
      <c r="B220" s="38">
        <f>Compilation!B227</f>
        <v>241</v>
      </c>
      <c r="C220" s="38">
        <f>Scores!AY230</f>
        <v>233</v>
      </c>
      <c r="D220" s="38">
        <f t="shared" si="1"/>
        <v>8</v>
      </c>
      <c r="E220" s="21">
        <v>189.0</v>
      </c>
      <c r="F220" s="14">
        <v>95.0</v>
      </c>
      <c r="G220" s="14">
        <v>95.0</v>
      </c>
      <c r="H220" s="14">
        <v>0.0</v>
      </c>
    </row>
    <row r="221">
      <c r="A221" s="40">
        <f>Scores!A231</f>
        <v>220</v>
      </c>
      <c r="B221" s="38">
        <f>Compilation!B228</f>
        <v>82</v>
      </c>
      <c r="C221" s="38">
        <f>Scores!AY231</f>
        <v>82</v>
      </c>
      <c r="D221" s="38">
        <f t="shared" si="1"/>
        <v>0</v>
      </c>
      <c r="E221" s="21">
        <v>190.0</v>
      </c>
      <c r="F221" s="14">
        <v>103.0</v>
      </c>
      <c r="G221" s="14">
        <v>103.0</v>
      </c>
      <c r="H221" s="14">
        <v>0.0</v>
      </c>
    </row>
    <row r="222">
      <c r="A222" s="40">
        <f>Scores!A232</f>
        <v>221</v>
      </c>
      <c r="B222" s="38">
        <f>Compilation!B229</f>
        <v>86</v>
      </c>
      <c r="C222" s="38">
        <f>Scores!AY232</f>
        <v>86</v>
      </c>
      <c r="D222" s="38">
        <f t="shared" si="1"/>
        <v>0</v>
      </c>
      <c r="E222" s="21">
        <v>191.0</v>
      </c>
      <c r="F222" s="14">
        <v>221.0</v>
      </c>
      <c r="G222" s="14">
        <v>221.0</v>
      </c>
      <c r="H222" s="14">
        <v>0.0</v>
      </c>
    </row>
    <row r="223">
      <c r="A223" s="40">
        <f>Scores!A233</f>
        <v>222</v>
      </c>
      <c r="B223" s="38">
        <f>Compilation!B230</f>
        <v>93</v>
      </c>
      <c r="C223" s="38">
        <f>Scores!AY233</f>
        <v>93</v>
      </c>
      <c r="D223" s="38">
        <f t="shared" si="1"/>
        <v>0</v>
      </c>
      <c r="E223" s="21">
        <v>192.0</v>
      </c>
      <c r="F223" s="14">
        <v>99.0</v>
      </c>
      <c r="G223" s="14">
        <v>99.0</v>
      </c>
      <c r="H223" s="14">
        <v>0.0</v>
      </c>
    </row>
    <row r="224">
      <c r="A224" s="40">
        <f>Scores!A234</f>
        <v>223</v>
      </c>
      <c r="B224" s="38">
        <f>Compilation!B231</f>
        <v>46</v>
      </c>
      <c r="C224" s="38">
        <f>Scores!AY234</f>
        <v>46</v>
      </c>
      <c r="D224" s="38">
        <f t="shared" si="1"/>
        <v>0</v>
      </c>
      <c r="E224" s="21">
        <v>193.0</v>
      </c>
      <c r="F224" s="14">
        <v>71.0</v>
      </c>
      <c r="G224" s="14">
        <v>71.0</v>
      </c>
      <c r="H224" s="14">
        <v>0.0</v>
      </c>
    </row>
    <row r="225">
      <c r="A225" s="40">
        <f>Scores!A235</f>
        <v>224</v>
      </c>
      <c r="B225" s="38">
        <f>Compilation!B232</f>
        <v>114</v>
      </c>
      <c r="C225" s="38">
        <f>Scores!AY235</f>
        <v>114</v>
      </c>
      <c r="D225" s="38">
        <f t="shared" si="1"/>
        <v>0</v>
      </c>
      <c r="E225" s="21">
        <v>194.0</v>
      </c>
      <c r="F225" s="14">
        <v>55.0</v>
      </c>
      <c r="G225" s="14">
        <v>55.0</v>
      </c>
      <c r="H225" s="14">
        <v>0.0</v>
      </c>
    </row>
    <row r="226">
      <c r="A226" s="40">
        <f>Scores!A236</f>
        <v>225</v>
      </c>
      <c r="B226" s="38">
        <f>Compilation!B233</f>
        <v>123</v>
      </c>
      <c r="C226" s="38">
        <f>Scores!AY236</f>
        <v>122</v>
      </c>
      <c r="D226" s="38">
        <f t="shared" si="1"/>
        <v>1</v>
      </c>
      <c r="E226" s="21">
        <v>195.0</v>
      </c>
      <c r="F226" s="14">
        <v>94.0</v>
      </c>
      <c r="G226" s="14">
        <v>94.0</v>
      </c>
      <c r="H226" s="14">
        <v>0.0</v>
      </c>
    </row>
    <row r="227">
      <c r="A227" s="40">
        <f>Scores!A237</f>
        <v>226</v>
      </c>
      <c r="B227" s="38">
        <f>Compilation!B234</f>
        <v>117</v>
      </c>
      <c r="C227" s="38">
        <f>Scores!AY237</f>
        <v>117</v>
      </c>
      <c r="D227" s="38">
        <f t="shared" si="1"/>
        <v>0</v>
      </c>
      <c r="E227" s="21">
        <v>197.0</v>
      </c>
      <c r="F227" s="14">
        <v>51.0</v>
      </c>
      <c r="G227" s="14">
        <v>51.0</v>
      </c>
      <c r="H227" s="14">
        <v>0.0</v>
      </c>
    </row>
    <row r="228">
      <c r="A228" s="40">
        <f>Scores!A238</f>
        <v>227</v>
      </c>
      <c r="B228" s="38">
        <f>Compilation!B235</f>
        <v>52</v>
      </c>
      <c r="C228" s="38">
        <f>Scores!AY238</f>
        <v>52</v>
      </c>
      <c r="D228" s="38">
        <f t="shared" si="1"/>
        <v>0</v>
      </c>
      <c r="E228" s="21">
        <v>199.0</v>
      </c>
      <c r="F228" s="14">
        <v>77.0</v>
      </c>
      <c r="G228" s="14">
        <v>77.0</v>
      </c>
      <c r="H228" s="14">
        <v>0.0</v>
      </c>
    </row>
    <row r="229">
      <c r="A229" s="40">
        <f>Scores!A239</f>
        <v>228</v>
      </c>
      <c r="B229" s="38">
        <f>Compilation!B236</f>
        <v>116</v>
      </c>
      <c r="C229" s="38">
        <f>Scores!AY239</f>
        <v>114</v>
      </c>
      <c r="D229" s="38">
        <f t="shared" si="1"/>
        <v>2</v>
      </c>
      <c r="E229" s="21">
        <v>200.0</v>
      </c>
      <c r="F229" s="14">
        <v>84.0</v>
      </c>
      <c r="G229" s="14">
        <v>84.0</v>
      </c>
      <c r="H229" s="14">
        <v>0.0</v>
      </c>
    </row>
    <row r="230">
      <c r="A230" s="40">
        <f>Scores!A240</f>
        <v>229</v>
      </c>
      <c r="B230" s="38">
        <f>Compilation!B237</f>
        <v>73</v>
      </c>
      <c r="C230" s="38">
        <f>Scores!AY240</f>
        <v>73</v>
      </c>
      <c r="D230" s="38">
        <f t="shared" si="1"/>
        <v>0</v>
      </c>
      <c r="E230" s="21">
        <v>202.0</v>
      </c>
      <c r="F230" s="14">
        <v>98.0</v>
      </c>
      <c r="G230" s="14">
        <v>98.0</v>
      </c>
      <c r="H230" s="14">
        <v>0.0</v>
      </c>
    </row>
    <row r="231">
      <c r="A231" s="40">
        <f>Scores!A241</f>
        <v>230</v>
      </c>
      <c r="B231" s="38">
        <f>Compilation!B238</f>
        <v>95</v>
      </c>
      <c r="C231" s="38">
        <f>Scores!AY241</f>
        <v>95</v>
      </c>
      <c r="D231" s="38">
        <f t="shared" si="1"/>
        <v>0</v>
      </c>
      <c r="E231" s="21">
        <v>203.0</v>
      </c>
      <c r="F231" s="14">
        <v>64.0</v>
      </c>
      <c r="G231" s="14">
        <v>64.0</v>
      </c>
      <c r="H231" s="14">
        <v>0.0</v>
      </c>
    </row>
    <row r="232">
      <c r="A232" s="40">
        <f>Scores!A242</f>
        <v>231</v>
      </c>
      <c r="B232" s="38">
        <f>Compilation!B239</f>
        <v>42</v>
      </c>
      <c r="C232" s="38">
        <f>Scores!AY242</f>
        <v>42</v>
      </c>
      <c r="D232" s="38">
        <f t="shared" si="1"/>
        <v>0</v>
      </c>
      <c r="E232" s="21">
        <v>204.0</v>
      </c>
      <c r="F232" s="14">
        <v>93.0</v>
      </c>
      <c r="G232" s="14">
        <v>93.0</v>
      </c>
      <c r="H232" s="14">
        <v>0.0</v>
      </c>
    </row>
    <row r="233">
      <c r="A233" s="40">
        <f>Scores!A243</f>
        <v>232</v>
      </c>
      <c r="B233" s="38">
        <f>Compilation!B240</f>
        <v>57</v>
      </c>
      <c r="C233" s="38">
        <f>Scores!AY243</f>
        <v>57</v>
      </c>
      <c r="D233" s="38">
        <f t="shared" si="1"/>
        <v>0</v>
      </c>
      <c r="E233" s="21">
        <v>205.0</v>
      </c>
      <c r="F233" s="14">
        <v>134.0</v>
      </c>
      <c r="G233" s="14">
        <v>134.0</v>
      </c>
      <c r="H233" s="14">
        <v>0.0</v>
      </c>
    </row>
    <row r="234">
      <c r="A234" s="40">
        <f>Scores!A244</f>
        <v>233</v>
      </c>
      <c r="B234" s="38">
        <f>Compilation!B241</f>
        <v>261</v>
      </c>
      <c r="C234" s="38">
        <f>Scores!AY244</f>
        <v>256</v>
      </c>
      <c r="D234" s="38">
        <f t="shared" si="1"/>
        <v>5</v>
      </c>
      <c r="E234" s="21">
        <v>206.0</v>
      </c>
      <c r="F234" s="14">
        <v>139.0</v>
      </c>
      <c r="G234" s="14">
        <v>139.0</v>
      </c>
      <c r="H234" s="14">
        <v>0.0</v>
      </c>
    </row>
    <row r="235">
      <c r="A235" s="40">
        <f>Scores!A245</f>
        <v>234</v>
      </c>
      <c r="B235" s="38">
        <f>Compilation!B242</f>
        <v>106</v>
      </c>
      <c r="C235" s="38">
        <f>Scores!AY245</f>
        <v>106</v>
      </c>
      <c r="D235" s="38">
        <f t="shared" si="1"/>
        <v>0</v>
      </c>
      <c r="E235" s="21">
        <v>208.0</v>
      </c>
      <c r="F235" s="14">
        <v>163.0</v>
      </c>
      <c r="G235" s="14">
        <v>163.0</v>
      </c>
      <c r="H235" s="14">
        <v>0.0</v>
      </c>
    </row>
    <row r="236">
      <c r="A236" s="40">
        <f>Scores!A246</f>
        <v>235</v>
      </c>
      <c r="B236" s="38">
        <f>Compilation!B243</f>
        <v>61</v>
      </c>
      <c r="C236" s="38">
        <f>Scores!AY246</f>
        <v>61</v>
      </c>
      <c r="D236" s="38">
        <f t="shared" si="1"/>
        <v>0</v>
      </c>
      <c r="E236" s="21">
        <v>210.0</v>
      </c>
      <c r="F236" s="14">
        <v>20.0</v>
      </c>
      <c r="G236" s="14">
        <v>20.0</v>
      </c>
      <c r="H236" s="14">
        <v>0.0</v>
      </c>
    </row>
    <row r="237">
      <c r="A237" s="40">
        <f>Scores!A247</f>
        <v>236</v>
      </c>
      <c r="B237" s="38">
        <f>Compilation!B244</f>
        <v>54</v>
      </c>
      <c r="C237" s="38">
        <f>Scores!AY247</f>
        <v>54</v>
      </c>
      <c r="D237" s="38">
        <f t="shared" si="1"/>
        <v>0</v>
      </c>
      <c r="E237" s="21">
        <v>211.0</v>
      </c>
      <c r="F237" s="14">
        <v>48.0</v>
      </c>
      <c r="G237" s="14">
        <v>48.0</v>
      </c>
      <c r="H237" s="14">
        <v>0.0</v>
      </c>
    </row>
    <row r="238">
      <c r="A238" s="40">
        <f>Scores!A248</f>
        <v>237</v>
      </c>
      <c r="B238" s="38">
        <f>Compilation!B245</f>
        <v>66</v>
      </c>
      <c r="C238" s="38">
        <f>Scores!AY248</f>
        <v>66</v>
      </c>
      <c r="D238" s="38">
        <f t="shared" si="1"/>
        <v>0</v>
      </c>
      <c r="E238" s="21">
        <v>213.0</v>
      </c>
      <c r="F238" s="14">
        <v>86.0</v>
      </c>
      <c r="G238" s="14">
        <v>86.0</v>
      </c>
      <c r="H238" s="14">
        <v>0.0</v>
      </c>
    </row>
    <row r="239">
      <c r="A239" s="40">
        <f>Scores!A249</f>
        <v>238</v>
      </c>
      <c r="B239" s="38">
        <f>Compilation!B246</f>
        <v>195</v>
      </c>
      <c r="C239" s="38">
        <f>Scores!AY249</f>
        <v>195</v>
      </c>
      <c r="D239" s="38">
        <f t="shared" si="1"/>
        <v>0</v>
      </c>
      <c r="E239" s="21">
        <v>214.0</v>
      </c>
      <c r="F239" s="14">
        <v>61.0</v>
      </c>
      <c r="G239" s="14">
        <v>61.0</v>
      </c>
      <c r="H239" s="14">
        <v>0.0</v>
      </c>
    </row>
    <row r="240">
      <c r="A240" s="40">
        <f>Scores!A250</f>
        <v>239</v>
      </c>
      <c r="B240" s="38">
        <f>Compilation!B247</f>
        <v>99</v>
      </c>
      <c r="C240" s="38">
        <f>Scores!AY250</f>
        <v>99</v>
      </c>
      <c r="D240" s="38">
        <f t="shared" si="1"/>
        <v>0</v>
      </c>
      <c r="E240" s="21">
        <v>215.0</v>
      </c>
      <c r="F240" s="14">
        <v>42.0</v>
      </c>
      <c r="G240" s="14">
        <v>42.0</v>
      </c>
      <c r="H240" s="14">
        <v>0.0</v>
      </c>
    </row>
    <row r="241">
      <c r="A241" s="40">
        <f>Scores!A251</f>
        <v>240</v>
      </c>
      <c r="B241" s="38">
        <f>Compilation!B248</f>
        <v>89</v>
      </c>
      <c r="C241" s="38">
        <f>Scores!AY251</f>
        <v>89</v>
      </c>
      <c r="D241" s="38">
        <f t="shared" si="1"/>
        <v>0</v>
      </c>
      <c r="E241" s="21">
        <v>216.0</v>
      </c>
      <c r="F241" s="14">
        <v>111.0</v>
      </c>
      <c r="G241" s="14">
        <v>111.0</v>
      </c>
      <c r="H241" s="14">
        <v>0.0</v>
      </c>
    </row>
    <row r="242">
      <c r="A242" s="40">
        <f>Scores!A252</f>
        <v>241</v>
      </c>
      <c r="B242" s="38">
        <f>Compilation!B249</f>
        <v>21</v>
      </c>
      <c r="C242" s="38">
        <f>Scores!AY252</f>
        <v>21</v>
      </c>
      <c r="D242" s="38">
        <f t="shared" si="1"/>
        <v>0</v>
      </c>
      <c r="E242" s="21">
        <v>217.0</v>
      </c>
      <c r="F242" s="14">
        <v>95.0</v>
      </c>
      <c r="G242" s="14">
        <v>95.0</v>
      </c>
      <c r="H242" s="14">
        <v>0.0</v>
      </c>
    </row>
    <row r="243">
      <c r="A243" s="40">
        <f>Scores!A253</f>
        <v>242</v>
      </c>
      <c r="B243" s="38">
        <f>Compilation!B250</f>
        <v>54</v>
      </c>
      <c r="C243" s="38">
        <f>Scores!AY253</f>
        <v>54</v>
      </c>
      <c r="D243" s="38">
        <f t="shared" si="1"/>
        <v>0</v>
      </c>
      <c r="E243" s="21">
        <v>218.0</v>
      </c>
      <c r="F243" s="14">
        <v>56.0</v>
      </c>
      <c r="G243" s="14">
        <v>56.0</v>
      </c>
      <c r="H243" s="14">
        <v>0.0</v>
      </c>
    </row>
    <row r="244">
      <c r="A244" s="40">
        <f>Scores!A254</f>
        <v>243</v>
      </c>
      <c r="B244" s="38">
        <f>Compilation!B251</f>
        <v>75</v>
      </c>
      <c r="C244" s="38">
        <f>Scores!AY254</f>
        <v>75</v>
      </c>
      <c r="D244" s="38">
        <f t="shared" si="1"/>
        <v>0</v>
      </c>
      <c r="E244" s="21">
        <v>220.0</v>
      </c>
      <c r="F244" s="14">
        <v>82.0</v>
      </c>
      <c r="G244" s="14">
        <v>82.0</v>
      </c>
      <c r="H244" s="14">
        <v>0.0</v>
      </c>
    </row>
    <row r="245">
      <c r="A245" s="40">
        <f>Scores!A255</f>
        <v>244</v>
      </c>
      <c r="B245" s="38">
        <f>Compilation!B252</f>
        <v>61</v>
      </c>
      <c r="C245" s="38">
        <f>Scores!AY255</f>
        <v>61</v>
      </c>
      <c r="D245" s="38">
        <f t="shared" si="1"/>
        <v>0</v>
      </c>
      <c r="E245" s="21">
        <v>221.0</v>
      </c>
      <c r="F245" s="14">
        <v>86.0</v>
      </c>
      <c r="G245" s="14">
        <v>86.0</v>
      </c>
      <c r="H245" s="14">
        <v>0.0</v>
      </c>
    </row>
    <row r="246">
      <c r="A246" s="40">
        <f>Scores!A256</f>
        <v>245</v>
      </c>
      <c r="B246" s="38">
        <f>Compilation!B253</f>
        <v>98</v>
      </c>
      <c r="C246" s="38">
        <f>Scores!AY256</f>
        <v>94</v>
      </c>
      <c r="D246" s="38">
        <f t="shared" si="1"/>
        <v>4</v>
      </c>
      <c r="E246" s="21">
        <v>222.0</v>
      </c>
      <c r="F246" s="14">
        <v>93.0</v>
      </c>
      <c r="G246" s="14">
        <v>93.0</v>
      </c>
      <c r="H246" s="14">
        <v>0.0</v>
      </c>
    </row>
    <row r="247">
      <c r="A247" s="40">
        <f>Scores!A257</f>
        <v>246</v>
      </c>
      <c r="B247" s="38">
        <f>Compilation!B254</f>
        <v>104</v>
      </c>
      <c r="C247" s="38">
        <f>Scores!AY257</f>
        <v>104</v>
      </c>
      <c r="D247" s="38">
        <f t="shared" si="1"/>
        <v>0</v>
      </c>
      <c r="E247" s="21">
        <v>223.0</v>
      </c>
      <c r="F247" s="14">
        <v>46.0</v>
      </c>
      <c r="G247" s="14">
        <v>46.0</v>
      </c>
      <c r="H247" s="14">
        <v>0.0</v>
      </c>
    </row>
    <row r="248">
      <c r="A248" s="40">
        <f>Scores!A258</f>
        <v>247</v>
      </c>
      <c r="B248" s="38">
        <f>Compilation!B255</f>
        <v>92</v>
      </c>
      <c r="C248" s="38">
        <f>Scores!AY258</f>
        <v>92</v>
      </c>
      <c r="D248" s="38">
        <f t="shared" si="1"/>
        <v>0</v>
      </c>
      <c r="E248" s="21">
        <v>224.0</v>
      </c>
      <c r="F248" s="14">
        <v>114.0</v>
      </c>
      <c r="G248" s="14">
        <v>114.0</v>
      </c>
      <c r="H248" s="14">
        <v>0.0</v>
      </c>
    </row>
    <row r="249">
      <c r="A249" s="40">
        <f>Scores!A259</f>
        <v>248</v>
      </c>
      <c r="B249" s="38">
        <f>Compilation!B256</f>
        <v>67</v>
      </c>
      <c r="C249" s="38">
        <f>Scores!AY259</f>
        <v>67</v>
      </c>
      <c r="D249" s="38">
        <f t="shared" si="1"/>
        <v>0</v>
      </c>
      <c r="E249" s="21">
        <v>226.0</v>
      </c>
      <c r="F249" s="14">
        <v>117.0</v>
      </c>
      <c r="G249" s="14">
        <v>117.0</v>
      </c>
      <c r="H249" s="14">
        <v>0.0</v>
      </c>
    </row>
    <row r="250">
      <c r="A250" s="40">
        <f>Scores!A260</f>
        <v>249</v>
      </c>
      <c r="B250" s="38">
        <f>Compilation!B257</f>
        <v>26</v>
      </c>
      <c r="C250" s="38">
        <f>Scores!AY260</f>
        <v>26</v>
      </c>
      <c r="D250" s="38">
        <f t="shared" si="1"/>
        <v>0</v>
      </c>
      <c r="E250" s="21">
        <v>227.0</v>
      </c>
      <c r="F250" s="14">
        <v>52.0</v>
      </c>
      <c r="G250" s="14">
        <v>52.0</v>
      </c>
      <c r="H250" s="14">
        <v>0.0</v>
      </c>
    </row>
    <row r="251">
      <c r="A251" s="40">
        <f>Scores!A261</f>
        <v>250</v>
      </c>
      <c r="B251" s="38">
        <f>Compilation!B258</f>
        <v>95</v>
      </c>
      <c r="C251" s="38">
        <f>Scores!AY261</f>
        <v>95</v>
      </c>
      <c r="D251" s="38">
        <f t="shared" si="1"/>
        <v>0</v>
      </c>
      <c r="E251" s="21">
        <v>229.0</v>
      </c>
      <c r="F251" s="14">
        <v>73.0</v>
      </c>
      <c r="G251" s="14">
        <v>73.0</v>
      </c>
      <c r="H251" s="14">
        <v>0.0</v>
      </c>
    </row>
    <row r="252">
      <c r="A252" s="40">
        <f>Scores!A262</f>
        <v>251</v>
      </c>
      <c r="B252" s="38">
        <f>Compilation!B259</f>
        <v>84</v>
      </c>
      <c r="C252" s="38">
        <f>Scores!AY262</f>
        <v>84</v>
      </c>
      <c r="D252" s="38">
        <f t="shared" si="1"/>
        <v>0</v>
      </c>
      <c r="E252" s="21">
        <v>230.0</v>
      </c>
      <c r="F252" s="14">
        <v>95.0</v>
      </c>
      <c r="G252" s="14">
        <v>95.0</v>
      </c>
      <c r="H252" s="14">
        <v>0.0</v>
      </c>
    </row>
    <row r="253">
      <c r="A253" s="40">
        <f>Scores!A263</f>
        <v>252</v>
      </c>
      <c r="B253" s="38">
        <f>Compilation!B260</f>
        <v>53</v>
      </c>
      <c r="C253" s="38">
        <f>Scores!AY263</f>
        <v>53</v>
      </c>
      <c r="D253" s="38">
        <f t="shared" si="1"/>
        <v>0</v>
      </c>
      <c r="E253" s="21">
        <v>231.0</v>
      </c>
      <c r="F253" s="14">
        <v>42.0</v>
      </c>
      <c r="G253" s="14">
        <v>42.0</v>
      </c>
      <c r="H253" s="14">
        <v>0.0</v>
      </c>
    </row>
    <row r="254">
      <c r="A254" s="40">
        <f>Scores!A264</f>
        <v>253</v>
      </c>
      <c r="B254" s="38">
        <f>Compilation!B261</f>
        <v>114</v>
      </c>
      <c r="C254" s="38">
        <f>Scores!AY264</f>
        <v>114</v>
      </c>
      <c r="D254" s="38">
        <f t="shared" si="1"/>
        <v>0</v>
      </c>
      <c r="E254" s="21">
        <v>232.0</v>
      </c>
      <c r="F254" s="14">
        <v>57.0</v>
      </c>
      <c r="G254" s="14">
        <v>57.0</v>
      </c>
      <c r="H254" s="14">
        <v>0.0</v>
      </c>
    </row>
    <row r="255">
      <c r="A255" s="40">
        <f>Scores!A265</f>
        <v>254</v>
      </c>
      <c r="B255" s="38">
        <f>Compilation!B262</f>
        <v>81</v>
      </c>
      <c r="C255" s="38">
        <f>Scores!AY265</f>
        <v>81</v>
      </c>
      <c r="D255" s="38">
        <f t="shared" si="1"/>
        <v>0</v>
      </c>
      <c r="E255" s="21">
        <v>234.0</v>
      </c>
      <c r="F255" s="14">
        <v>106.0</v>
      </c>
      <c r="G255" s="14">
        <v>106.0</v>
      </c>
      <c r="H255" s="14">
        <v>0.0</v>
      </c>
    </row>
    <row r="256">
      <c r="A256" s="40">
        <f>Scores!A266</f>
        <v>255</v>
      </c>
      <c r="B256" s="38">
        <f>Compilation!B263</f>
        <v>212</v>
      </c>
      <c r="C256" s="38">
        <f>Scores!AY266</f>
        <v>194</v>
      </c>
      <c r="D256" s="38">
        <f t="shared" si="1"/>
        <v>18</v>
      </c>
      <c r="E256" s="21">
        <v>235.0</v>
      </c>
      <c r="F256" s="14">
        <v>61.0</v>
      </c>
      <c r="G256" s="14">
        <v>61.0</v>
      </c>
      <c r="H256" s="14">
        <v>0.0</v>
      </c>
    </row>
    <row r="257">
      <c r="A257" s="40">
        <f>Scores!A267</f>
        <v>256</v>
      </c>
      <c r="B257" s="38">
        <f>Compilation!B264</f>
        <v>93</v>
      </c>
      <c r="C257" s="38">
        <f>Scores!AY267</f>
        <v>93</v>
      </c>
      <c r="D257" s="38">
        <f t="shared" si="1"/>
        <v>0</v>
      </c>
      <c r="E257" s="21">
        <v>236.0</v>
      </c>
      <c r="F257" s="14">
        <v>54.0</v>
      </c>
      <c r="G257" s="14">
        <v>54.0</v>
      </c>
      <c r="H257" s="14">
        <v>0.0</v>
      </c>
    </row>
    <row r="258">
      <c r="A258" s="40">
        <f>Scores!A268</f>
        <v>257</v>
      </c>
      <c r="B258" s="38">
        <f>Compilation!B265</f>
        <v>68</v>
      </c>
      <c r="C258" s="38">
        <f>Scores!AY268</f>
        <v>68</v>
      </c>
      <c r="D258" s="38">
        <f t="shared" si="1"/>
        <v>0</v>
      </c>
      <c r="E258" s="21">
        <v>237.0</v>
      </c>
      <c r="F258" s="14">
        <v>66.0</v>
      </c>
      <c r="G258" s="14">
        <v>66.0</v>
      </c>
      <c r="H258" s="14">
        <v>0.0</v>
      </c>
    </row>
    <row r="259">
      <c r="A259" s="40">
        <f>Scores!A269</f>
        <v>258</v>
      </c>
      <c r="B259" s="38">
        <f>Compilation!B266</f>
        <v>61</v>
      </c>
      <c r="C259" s="38">
        <f>Scores!AY269</f>
        <v>61</v>
      </c>
      <c r="D259" s="38">
        <f t="shared" si="1"/>
        <v>0</v>
      </c>
      <c r="E259" s="21">
        <v>238.0</v>
      </c>
      <c r="F259" s="14">
        <v>195.0</v>
      </c>
      <c r="G259" s="14">
        <v>195.0</v>
      </c>
      <c r="H259" s="14">
        <v>0.0</v>
      </c>
    </row>
    <row r="260">
      <c r="A260" s="40">
        <f>Scores!A270</f>
        <v>259</v>
      </c>
      <c r="B260" s="38">
        <f>Compilation!B267</f>
        <v>83</v>
      </c>
      <c r="C260" s="38">
        <f>Scores!AY270</f>
        <v>83</v>
      </c>
      <c r="D260" s="38">
        <f t="shared" si="1"/>
        <v>0</v>
      </c>
      <c r="E260" s="21">
        <v>239.0</v>
      </c>
      <c r="F260" s="14">
        <v>99.0</v>
      </c>
      <c r="G260" s="14">
        <v>99.0</v>
      </c>
      <c r="H260" s="14">
        <v>0.0</v>
      </c>
    </row>
    <row r="261">
      <c r="A261" s="40">
        <f>Scores!A271</f>
        <v>260</v>
      </c>
      <c r="B261" s="38">
        <f>Compilation!B268</f>
        <v>130</v>
      </c>
      <c r="C261" s="38">
        <f>Scores!AY271</f>
        <v>130</v>
      </c>
      <c r="D261" s="38">
        <f t="shared" si="1"/>
        <v>0</v>
      </c>
      <c r="E261" s="21">
        <v>240.0</v>
      </c>
      <c r="F261" s="14">
        <v>89.0</v>
      </c>
      <c r="G261" s="14">
        <v>89.0</v>
      </c>
      <c r="H261" s="14">
        <v>0.0</v>
      </c>
    </row>
    <row r="262">
      <c r="A262" s="40">
        <f>Scores!A272</f>
        <v>261</v>
      </c>
      <c r="B262" s="38">
        <f>Compilation!B269</f>
        <v>47</v>
      </c>
      <c r="C262" s="38">
        <f>Scores!AY272</f>
        <v>47</v>
      </c>
      <c r="D262" s="38">
        <f t="shared" si="1"/>
        <v>0</v>
      </c>
      <c r="E262" s="21">
        <v>241.0</v>
      </c>
      <c r="F262" s="14">
        <v>21.0</v>
      </c>
      <c r="G262" s="14">
        <v>21.0</v>
      </c>
      <c r="H262" s="14">
        <v>0.0</v>
      </c>
    </row>
    <row r="263">
      <c r="A263" s="40">
        <f>Scores!A273</f>
        <v>262</v>
      </c>
      <c r="B263" s="38">
        <f>Compilation!B270</f>
        <v>39</v>
      </c>
      <c r="C263" s="38">
        <f>Scores!AY273</f>
        <v>39</v>
      </c>
      <c r="D263" s="38">
        <f t="shared" si="1"/>
        <v>0</v>
      </c>
      <c r="E263" s="21">
        <v>242.0</v>
      </c>
      <c r="F263" s="14">
        <v>54.0</v>
      </c>
      <c r="G263" s="14">
        <v>54.0</v>
      </c>
      <c r="H263" s="14">
        <v>0.0</v>
      </c>
    </row>
    <row r="264">
      <c r="A264" s="40">
        <f>Scores!A274</f>
        <v>263</v>
      </c>
      <c r="B264" s="38">
        <f>Compilation!B271</f>
        <v>106</v>
      </c>
      <c r="C264" s="38">
        <f>Scores!AY274</f>
        <v>106</v>
      </c>
      <c r="D264" s="38">
        <f t="shared" si="1"/>
        <v>0</v>
      </c>
      <c r="E264" s="21">
        <v>243.0</v>
      </c>
      <c r="F264" s="14">
        <v>75.0</v>
      </c>
      <c r="G264" s="14">
        <v>75.0</v>
      </c>
      <c r="H264" s="14">
        <v>0.0</v>
      </c>
    </row>
    <row r="265">
      <c r="A265" s="40">
        <f>Scores!A275</f>
        <v>264</v>
      </c>
      <c r="B265" s="38">
        <f>Compilation!B272</f>
        <v>178</v>
      </c>
      <c r="C265" s="38">
        <f>Scores!AY275</f>
        <v>177</v>
      </c>
      <c r="D265" s="38">
        <f t="shared" si="1"/>
        <v>1</v>
      </c>
      <c r="E265" s="21">
        <v>244.0</v>
      </c>
      <c r="F265" s="14">
        <v>61.0</v>
      </c>
      <c r="G265" s="14">
        <v>61.0</v>
      </c>
      <c r="H265" s="14">
        <v>0.0</v>
      </c>
    </row>
    <row r="266">
      <c r="A266" s="40">
        <f>Scores!A276</f>
        <v>265</v>
      </c>
      <c r="B266" s="38">
        <f>Compilation!B273</f>
        <v>104</v>
      </c>
      <c r="C266" s="38">
        <f>Scores!AY276</f>
        <v>104</v>
      </c>
      <c r="D266" s="38">
        <f t="shared" si="1"/>
        <v>0</v>
      </c>
      <c r="E266" s="21">
        <v>246.0</v>
      </c>
      <c r="F266" s="14">
        <v>104.0</v>
      </c>
      <c r="G266" s="14">
        <v>104.0</v>
      </c>
      <c r="H266" s="14">
        <v>0.0</v>
      </c>
    </row>
    <row r="267">
      <c r="A267" s="40">
        <f>Scores!A277</f>
        <v>266</v>
      </c>
      <c r="B267" s="38">
        <f>Compilation!B274</f>
        <v>88</v>
      </c>
      <c r="C267" s="38">
        <f>Scores!AY277</f>
        <v>88</v>
      </c>
      <c r="D267" s="38">
        <f t="shared" si="1"/>
        <v>0</v>
      </c>
      <c r="E267" s="21">
        <v>247.0</v>
      </c>
      <c r="F267" s="14">
        <v>92.0</v>
      </c>
      <c r="G267" s="14">
        <v>92.0</v>
      </c>
      <c r="H267" s="14">
        <v>0.0</v>
      </c>
    </row>
    <row r="268">
      <c r="A268" s="40">
        <f>Scores!A278</f>
        <v>267</v>
      </c>
      <c r="B268" s="38">
        <f>Compilation!B275</f>
        <v>46</v>
      </c>
      <c r="C268" s="38">
        <f>Scores!AY278</f>
        <v>46</v>
      </c>
      <c r="D268" s="38">
        <f t="shared" si="1"/>
        <v>0</v>
      </c>
      <c r="E268" s="21">
        <v>248.0</v>
      </c>
      <c r="F268" s="14">
        <v>67.0</v>
      </c>
      <c r="G268" s="14">
        <v>67.0</v>
      </c>
      <c r="H268" s="14">
        <v>0.0</v>
      </c>
    </row>
    <row r="269">
      <c r="A269" s="40">
        <f>Scores!A279</f>
        <v>268</v>
      </c>
      <c r="B269" s="38">
        <f>Compilation!B276</f>
        <v>190</v>
      </c>
      <c r="C269" s="38">
        <f>Scores!AY279</f>
        <v>190</v>
      </c>
      <c r="D269" s="38">
        <f t="shared" si="1"/>
        <v>0</v>
      </c>
      <c r="E269" s="21">
        <v>249.0</v>
      </c>
      <c r="F269" s="14">
        <v>26.0</v>
      </c>
      <c r="G269" s="14">
        <v>26.0</v>
      </c>
      <c r="H269" s="14">
        <v>0.0</v>
      </c>
    </row>
    <row r="270">
      <c r="A270" s="40">
        <f>Scores!A280</f>
        <v>269</v>
      </c>
      <c r="B270" s="38">
        <f>Compilation!B277</f>
        <v>63</v>
      </c>
      <c r="C270" s="38">
        <f>Scores!AY280</f>
        <v>63</v>
      </c>
      <c r="D270" s="38">
        <f t="shared" si="1"/>
        <v>0</v>
      </c>
      <c r="E270" s="21">
        <v>250.0</v>
      </c>
      <c r="F270" s="14">
        <v>95.0</v>
      </c>
      <c r="G270" s="14">
        <v>95.0</v>
      </c>
      <c r="H270" s="14">
        <v>0.0</v>
      </c>
    </row>
    <row r="271">
      <c r="A271" s="40">
        <f>Scores!A281</f>
        <v>270</v>
      </c>
      <c r="B271" s="38">
        <f>Compilation!B278</f>
        <v>115</v>
      </c>
      <c r="C271" s="38">
        <f>Scores!AY281</f>
        <v>114</v>
      </c>
      <c r="D271" s="38">
        <f t="shared" si="1"/>
        <v>1</v>
      </c>
      <c r="E271" s="21">
        <v>251.0</v>
      </c>
      <c r="F271" s="14">
        <v>84.0</v>
      </c>
      <c r="G271" s="14">
        <v>84.0</v>
      </c>
      <c r="H271" s="14">
        <v>0.0</v>
      </c>
    </row>
    <row r="272">
      <c r="A272" s="40">
        <f>Scores!A282</f>
        <v>271</v>
      </c>
      <c r="B272" s="38">
        <f>Compilation!B279</f>
        <v>86</v>
      </c>
      <c r="C272" s="38">
        <f>Scores!AY282</f>
        <v>86</v>
      </c>
      <c r="D272" s="38">
        <f t="shared" si="1"/>
        <v>0</v>
      </c>
      <c r="E272" s="21">
        <v>252.0</v>
      </c>
      <c r="F272" s="14">
        <v>53.0</v>
      </c>
      <c r="G272" s="14">
        <v>53.0</v>
      </c>
      <c r="H272" s="14">
        <v>0.0</v>
      </c>
    </row>
    <row r="273">
      <c r="A273" s="40">
        <f>Scores!A283</f>
        <v>272</v>
      </c>
      <c r="B273" s="38">
        <f>Compilation!B280</f>
        <v>71</v>
      </c>
      <c r="C273" s="38">
        <f>Scores!AY283</f>
        <v>71</v>
      </c>
      <c r="D273" s="38">
        <f t="shared" si="1"/>
        <v>0</v>
      </c>
      <c r="E273" s="21">
        <v>253.0</v>
      </c>
      <c r="F273" s="14">
        <v>114.0</v>
      </c>
      <c r="G273" s="14">
        <v>114.0</v>
      </c>
      <c r="H273" s="14">
        <v>0.0</v>
      </c>
    </row>
    <row r="274">
      <c r="A274" s="40">
        <f>Scores!A284</f>
        <v>273</v>
      </c>
      <c r="B274" s="38">
        <f>Compilation!B281</f>
        <v>75</v>
      </c>
      <c r="C274" s="38">
        <f>Scores!AY284</f>
        <v>75</v>
      </c>
      <c r="D274" s="38">
        <f t="shared" si="1"/>
        <v>0</v>
      </c>
      <c r="E274" s="21">
        <v>254.0</v>
      </c>
      <c r="F274" s="14">
        <v>81.0</v>
      </c>
      <c r="G274" s="14">
        <v>81.0</v>
      </c>
      <c r="H274" s="14">
        <v>0.0</v>
      </c>
    </row>
    <row r="275">
      <c r="A275" s="40">
        <f>Scores!A285</f>
        <v>274</v>
      </c>
      <c r="B275" s="38">
        <f>Compilation!B282</f>
        <v>65</v>
      </c>
      <c r="C275" s="38">
        <f>Scores!AY285</f>
        <v>65</v>
      </c>
      <c r="D275" s="38">
        <f t="shared" si="1"/>
        <v>0</v>
      </c>
      <c r="E275" s="21">
        <v>256.0</v>
      </c>
      <c r="F275" s="14">
        <v>93.0</v>
      </c>
      <c r="G275" s="14">
        <v>93.0</v>
      </c>
      <c r="H275" s="14">
        <v>0.0</v>
      </c>
    </row>
    <row r="276">
      <c r="A276" s="40">
        <f>Scores!A286</f>
        <v>275</v>
      </c>
      <c r="B276" s="38">
        <f>Compilation!B283</f>
        <v>126</v>
      </c>
      <c r="C276" s="38">
        <f>Scores!AY286</f>
        <v>126</v>
      </c>
      <c r="D276" s="38">
        <f t="shared" si="1"/>
        <v>0</v>
      </c>
      <c r="E276" s="21">
        <v>257.0</v>
      </c>
      <c r="F276" s="14">
        <v>68.0</v>
      </c>
      <c r="G276" s="14">
        <v>68.0</v>
      </c>
      <c r="H276" s="14">
        <v>0.0</v>
      </c>
    </row>
    <row r="277">
      <c r="A277" s="40">
        <f>Scores!A287</f>
        <v>276</v>
      </c>
      <c r="B277" s="38">
        <f>Compilation!B284</f>
        <v>37</v>
      </c>
      <c r="C277" s="38">
        <f>Scores!AY287</f>
        <v>37</v>
      </c>
      <c r="D277" s="38">
        <f t="shared" si="1"/>
        <v>0</v>
      </c>
      <c r="E277" s="21">
        <v>258.0</v>
      </c>
      <c r="F277" s="14">
        <v>61.0</v>
      </c>
      <c r="G277" s="14">
        <v>61.0</v>
      </c>
      <c r="H277" s="14">
        <v>0.0</v>
      </c>
    </row>
    <row r="278">
      <c r="A278" s="40">
        <f>Scores!A288</f>
        <v>277</v>
      </c>
      <c r="B278" s="38">
        <f>Compilation!B285</f>
        <v>155</v>
      </c>
      <c r="C278" s="38">
        <f>Scores!AY288</f>
        <v>109</v>
      </c>
      <c r="D278" s="38">
        <f t="shared" si="1"/>
        <v>46</v>
      </c>
      <c r="E278" s="21">
        <v>259.0</v>
      </c>
      <c r="F278" s="14">
        <v>83.0</v>
      </c>
      <c r="G278" s="14">
        <v>83.0</v>
      </c>
      <c r="H278" s="14">
        <v>0.0</v>
      </c>
    </row>
    <row r="279">
      <c r="A279" s="40">
        <f>Scores!A289</f>
        <v>278</v>
      </c>
      <c r="B279" s="38">
        <f>Compilation!B286</f>
        <v>104</v>
      </c>
      <c r="C279" s="38">
        <f>Scores!AY289</f>
        <v>104</v>
      </c>
      <c r="D279" s="38">
        <f t="shared" si="1"/>
        <v>0</v>
      </c>
      <c r="E279" s="21">
        <v>260.0</v>
      </c>
      <c r="F279" s="14">
        <v>130.0</v>
      </c>
      <c r="G279" s="14">
        <v>130.0</v>
      </c>
      <c r="H279" s="14">
        <v>0.0</v>
      </c>
    </row>
    <row r="280">
      <c r="A280" s="40">
        <f>Scores!A290</f>
        <v>279</v>
      </c>
      <c r="B280" s="38">
        <f>Compilation!B287</f>
        <v>106</v>
      </c>
      <c r="C280" s="38">
        <f>Scores!AY290</f>
        <v>106</v>
      </c>
      <c r="D280" s="38">
        <f t="shared" si="1"/>
        <v>0</v>
      </c>
      <c r="E280" s="21">
        <v>261.0</v>
      </c>
      <c r="F280" s="14">
        <v>47.0</v>
      </c>
      <c r="G280" s="14">
        <v>47.0</v>
      </c>
      <c r="H280" s="14">
        <v>0.0</v>
      </c>
    </row>
    <row r="281">
      <c r="A281" s="40">
        <f>Scores!A291</f>
        <v>280</v>
      </c>
      <c r="B281" s="38">
        <f>Compilation!B288</f>
        <v>145</v>
      </c>
      <c r="C281" s="38">
        <f>Scores!AY291</f>
        <v>145</v>
      </c>
      <c r="D281" s="38">
        <f t="shared" si="1"/>
        <v>0</v>
      </c>
      <c r="E281" s="21">
        <v>262.0</v>
      </c>
      <c r="F281" s="14">
        <v>39.0</v>
      </c>
      <c r="G281" s="14">
        <v>39.0</v>
      </c>
      <c r="H281" s="14">
        <v>0.0</v>
      </c>
    </row>
    <row r="282">
      <c r="A282" s="40">
        <f>Scores!A292</f>
        <v>281</v>
      </c>
      <c r="B282" s="38">
        <f>Compilation!B289</f>
        <v>103</v>
      </c>
      <c r="C282" s="38">
        <f>Scores!AY292</f>
        <v>103</v>
      </c>
      <c r="D282" s="38">
        <f t="shared" si="1"/>
        <v>0</v>
      </c>
      <c r="E282" s="21">
        <v>263.0</v>
      </c>
      <c r="F282" s="14">
        <v>106.0</v>
      </c>
      <c r="G282" s="14">
        <v>106.0</v>
      </c>
      <c r="H282" s="14">
        <v>0.0</v>
      </c>
    </row>
    <row r="283">
      <c r="A283" s="40">
        <f>Scores!A293</f>
        <v>282</v>
      </c>
      <c r="B283" s="38">
        <f>Compilation!B290</f>
        <v>74</v>
      </c>
      <c r="C283" s="38">
        <f>Scores!AY293</f>
        <v>74</v>
      </c>
      <c r="D283" s="38">
        <f t="shared" si="1"/>
        <v>0</v>
      </c>
      <c r="E283" s="21">
        <v>265.0</v>
      </c>
      <c r="F283" s="14">
        <v>104.0</v>
      </c>
      <c r="G283" s="14">
        <v>104.0</v>
      </c>
      <c r="H283" s="14">
        <v>0.0</v>
      </c>
    </row>
    <row r="284">
      <c r="A284" s="40">
        <f>Scores!A294</f>
        <v>283</v>
      </c>
      <c r="B284" s="38">
        <f>Compilation!B291</f>
        <v>72</v>
      </c>
      <c r="C284" s="38">
        <f>Scores!AY294</f>
        <v>72</v>
      </c>
      <c r="D284" s="38">
        <f t="shared" si="1"/>
        <v>0</v>
      </c>
      <c r="E284" s="21">
        <v>266.0</v>
      </c>
      <c r="F284" s="14">
        <v>88.0</v>
      </c>
      <c r="G284" s="14">
        <v>88.0</v>
      </c>
      <c r="H284" s="14">
        <v>0.0</v>
      </c>
    </row>
    <row r="285">
      <c r="A285" s="40">
        <f>Scores!A295</f>
        <v>284</v>
      </c>
      <c r="B285" s="38">
        <f>Compilation!B292</f>
        <v>195</v>
      </c>
      <c r="C285" s="38">
        <f>Scores!AY295</f>
        <v>195</v>
      </c>
      <c r="D285" s="38">
        <f t="shared" si="1"/>
        <v>0</v>
      </c>
      <c r="E285" s="21">
        <v>267.0</v>
      </c>
      <c r="F285" s="14">
        <v>46.0</v>
      </c>
      <c r="G285" s="14">
        <v>46.0</v>
      </c>
      <c r="H285" s="14">
        <v>0.0</v>
      </c>
    </row>
    <row r="286">
      <c r="A286" s="40">
        <f>Scores!A296</f>
        <v>285</v>
      </c>
      <c r="B286" s="38">
        <f>Compilation!B293</f>
        <v>226</v>
      </c>
      <c r="C286" s="38">
        <f>Scores!AY296</f>
        <v>222</v>
      </c>
      <c r="D286" s="38">
        <f t="shared" si="1"/>
        <v>4</v>
      </c>
      <c r="E286" s="21">
        <v>268.0</v>
      </c>
      <c r="F286" s="14">
        <v>190.0</v>
      </c>
      <c r="G286" s="14">
        <v>190.0</v>
      </c>
      <c r="H286" s="14">
        <v>0.0</v>
      </c>
    </row>
    <row r="287">
      <c r="A287" s="40">
        <f>Scores!A297</f>
        <v>286</v>
      </c>
      <c r="B287" s="38">
        <f>Compilation!B294</f>
        <v>104</v>
      </c>
      <c r="C287" s="38">
        <f>Scores!AY297</f>
        <v>104</v>
      </c>
      <c r="D287" s="38">
        <f t="shared" si="1"/>
        <v>0</v>
      </c>
      <c r="E287" s="21">
        <v>269.0</v>
      </c>
      <c r="F287" s="14">
        <v>63.0</v>
      </c>
      <c r="G287" s="14">
        <v>63.0</v>
      </c>
      <c r="H287" s="14">
        <v>0.0</v>
      </c>
    </row>
    <row r="288">
      <c r="A288" s="40">
        <f>Scores!A298</f>
        <v>287</v>
      </c>
      <c r="B288" s="38">
        <f>Compilation!B295</f>
        <v>53</v>
      </c>
      <c r="C288" s="38">
        <f>Scores!AY298</f>
        <v>53</v>
      </c>
      <c r="D288" s="38">
        <f t="shared" si="1"/>
        <v>0</v>
      </c>
      <c r="E288" s="21">
        <v>271.0</v>
      </c>
      <c r="F288" s="14">
        <v>86.0</v>
      </c>
      <c r="G288" s="14">
        <v>86.0</v>
      </c>
      <c r="H288" s="14">
        <v>0.0</v>
      </c>
    </row>
    <row r="289">
      <c r="A289" s="40">
        <f>Scores!A299</f>
        <v>288</v>
      </c>
      <c r="B289" s="38">
        <f>Compilation!B296</f>
        <v>86</v>
      </c>
      <c r="C289" s="38">
        <f>Scores!AY299</f>
        <v>85</v>
      </c>
      <c r="D289" s="38">
        <f t="shared" si="1"/>
        <v>1</v>
      </c>
      <c r="E289" s="21">
        <v>272.0</v>
      </c>
      <c r="F289" s="14">
        <v>71.0</v>
      </c>
      <c r="G289" s="14">
        <v>71.0</v>
      </c>
      <c r="H289" s="14">
        <v>0.0</v>
      </c>
    </row>
    <row r="290">
      <c r="A290" s="40">
        <f>Scores!A300</f>
        <v>289</v>
      </c>
      <c r="B290" s="38">
        <f>Compilation!B297</f>
        <v>63</v>
      </c>
      <c r="C290" s="38">
        <f>Scores!AY300</f>
        <v>63</v>
      </c>
      <c r="D290" s="38">
        <f t="shared" si="1"/>
        <v>0</v>
      </c>
      <c r="E290" s="21">
        <v>273.0</v>
      </c>
      <c r="F290" s="14">
        <v>75.0</v>
      </c>
      <c r="G290" s="14">
        <v>75.0</v>
      </c>
      <c r="H290" s="14">
        <v>0.0</v>
      </c>
    </row>
    <row r="291">
      <c r="A291" s="40">
        <f>Scores!A301</f>
        <v>290</v>
      </c>
      <c r="B291" s="38">
        <f>Compilation!B298</f>
        <v>65</v>
      </c>
      <c r="C291" s="38">
        <f>Scores!AY301</f>
        <v>65</v>
      </c>
      <c r="D291" s="38">
        <f t="shared" si="1"/>
        <v>0</v>
      </c>
      <c r="E291" s="21">
        <v>274.0</v>
      </c>
      <c r="F291" s="14">
        <v>65.0</v>
      </c>
      <c r="G291" s="14">
        <v>65.0</v>
      </c>
      <c r="H291" s="14">
        <v>0.0</v>
      </c>
    </row>
    <row r="292">
      <c r="A292" s="40">
        <f>Scores!A302</f>
        <v>291</v>
      </c>
      <c r="B292" s="38">
        <f>Compilation!B299</f>
        <v>59</v>
      </c>
      <c r="C292" s="38">
        <f>Scores!AY302</f>
        <v>59</v>
      </c>
      <c r="D292" s="38">
        <f t="shared" si="1"/>
        <v>0</v>
      </c>
      <c r="E292" s="21">
        <v>275.0</v>
      </c>
      <c r="F292" s="14">
        <v>126.0</v>
      </c>
      <c r="G292" s="14">
        <v>126.0</v>
      </c>
      <c r="H292" s="14">
        <v>0.0</v>
      </c>
    </row>
    <row r="293">
      <c r="A293" s="40">
        <f>Scores!A303</f>
        <v>292</v>
      </c>
      <c r="B293" s="38">
        <f>Compilation!B300</f>
        <v>51</v>
      </c>
      <c r="C293" s="38">
        <f>Scores!AY303</f>
        <v>51</v>
      </c>
      <c r="D293" s="38">
        <f t="shared" si="1"/>
        <v>0</v>
      </c>
      <c r="E293" s="21">
        <v>276.0</v>
      </c>
      <c r="F293" s="14">
        <v>37.0</v>
      </c>
      <c r="G293" s="14">
        <v>37.0</v>
      </c>
      <c r="H293" s="14">
        <v>0.0</v>
      </c>
    </row>
    <row r="294">
      <c r="A294" s="40">
        <f>Scores!A304</f>
        <v>293</v>
      </c>
      <c r="B294" s="38">
        <f>Compilation!B301</f>
        <v>59</v>
      </c>
      <c r="C294" s="38">
        <f>Scores!AY304</f>
        <v>59</v>
      </c>
      <c r="D294" s="38">
        <f t="shared" si="1"/>
        <v>0</v>
      </c>
      <c r="E294" s="21">
        <v>278.0</v>
      </c>
      <c r="F294" s="14">
        <v>104.0</v>
      </c>
      <c r="G294" s="14">
        <v>104.0</v>
      </c>
      <c r="H294" s="14">
        <v>0.0</v>
      </c>
    </row>
    <row r="295">
      <c r="A295" s="40">
        <f>Scores!A305</f>
        <v>294</v>
      </c>
      <c r="B295" s="38">
        <f>Compilation!B302</f>
        <v>70</v>
      </c>
      <c r="C295" s="38">
        <f>Scores!AY305</f>
        <v>70</v>
      </c>
      <c r="D295" s="38">
        <f t="shared" si="1"/>
        <v>0</v>
      </c>
      <c r="E295" s="21">
        <v>279.0</v>
      </c>
      <c r="F295" s="14">
        <v>106.0</v>
      </c>
      <c r="G295" s="14">
        <v>106.0</v>
      </c>
      <c r="H295" s="14">
        <v>0.0</v>
      </c>
    </row>
    <row r="296">
      <c r="A296" s="40">
        <f>Scores!A306</f>
        <v>295</v>
      </c>
      <c r="B296" s="38">
        <f>Compilation!B303</f>
        <v>54</v>
      </c>
      <c r="C296" s="38">
        <f>Scores!AY306</f>
        <v>54</v>
      </c>
      <c r="D296" s="38">
        <f t="shared" si="1"/>
        <v>0</v>
      </c>
      <c r="E296" s="21">
        <v>280.0</v>
      </c>
      <c r="F296" s="14">
        <v>145.0</v>
      </c>
      <c r="G296" s="14">
        <v>145.0</v>
      </c>
      <c r="H296" s="14">
        <v>0.0</v>
      </c>
    </row>
    <row r="297">
      <c r="A297" s="40">
        <f>Scores!A307</f>
        <v>296</v>
      </c>
      <c r="B297" s="38">
        <f>Compilation!B304</f>
        <v>55</v>
      </c>
      <c r="C297" s="38">
        <f>Scores!AY307</f>
        <v>55</v>
      </c>
      <c r="D297" s="38">
        <f t="shared" si="1"/>
        <v>0</v>
      </c>
      <c r="E297" s="21">
        <v>281.0</v>
      </c>
      <c r="F297" s="14">
        <v>103.0</v>
      </c>
      <c r="G297" s="14">
        <v>103.0</v>
      </c>
      <c r="H297" s="14">
        <v>0.0</v>
      </c>
    </row>
    <row r="298">
      <c r="A298" s="40">
        <f>Scores!A308</f>
        <v>297</v>
      </c>
      <c r="B298" s="38">
        <f>Compilation!B305</f>
        <v>43</v>
      </c>
      <c r="C298" s="38">
        <f>Scores!AY308</f>
        <v>43</v>
      </c>
      <c r="D298" s="38">
        <f t="shared" si="1"/>
        <v>0</v>
      </c>
      <c r="E298" s="21">
        <v>282.0</v>
      </c>
      <c r="F298" s="14">
        <v>74.0</v>
      </c>
      <c r="G298" s="14">
        <v>74.0</v>
      </c>
      <c r="H298" s="14">
        <v>0.0</v>
      </c>
    </row>
    <row r="299">
      <c r="A299" s="40">
        <f>Scores!A309</f>
        <v>298</v>
      </c>
      <c r="B299" s="38">
        <f>Compilation!B306</f>
        <v>54</v>
      </c>
      <c r="C299" s="38">
        <f>Scores!AY309</f>
        <v>54</v>
      </c>
      <c r="D299" s="38">
        <f t="shared" si="1"/>
        <v>0</v>
      </c>
      <c r="E299" s="21">
        <v>283.0</v>
      </c>
      <c r="F299" s="14">
        <v>72.0</v>
      </c>
      <c r="G299" s="14">
        <v>72.0</v>
      </c>
      <c r="H299" s="14">
        <v>0.0</v>
      </c>
    </row>
    <row r="300">
      <c r="A300" s="40">
        <f>Scores!A310</f>
        <v>299</v>
      </c>
      <c r="B300" s="38">
        <f>Compilation!B307</f>
        <v>54</v>
      </c>
      <c r="C300" s="38">
        <f>Scores!AY310</f>
        <v>54</v>
      </c>
      <c r="D300" s="38">
        <f t="shared" si="1"/>
        <v>0</v>
      </c>
      <c r="E300" s="21">
        <v>284.0</v>
      </c>
      <c r="F300" s="14">
        <v>195.0</v>
      </c>
      <c r="G300" s="14">
        <v>195.0</v>
      </c>
      <c r="H300" s="14">
        <v>0.0</v>
      </c>
    </row>
    <row r="301">
      <c r="A301" s="40">
        <f>Scores!A311</f>
        <v>300</v>
      </c>
      <c r="B301" s="38">
        <f>Compilation!B308</f>
        <v>87</v>
      </c>
      <c r="C301" s="38">
        <f>Scores!AY311</f>
        <v>87</v>
      </c>
      <c r="D301" s="38">
        <f t="shared" si="1"/>
        <v>0</v>
      </c>
      <c r="E301" s="21">
        <v>286.0</v>
      </c>
      <c r="F301" s="14">
        <v>104.0</v>
      </c>
      <c r="G301" s="14">
        <v>104.0</v>
      </c>
      <c r="H301" s="14">
        <v>0.0</v>
      </c>
    </row>
    <row r="302">
      <c r="A302" s="40">
        <f>Scores!A312</f>
        <v>301</v>
      </c>
      <c r="B302" s="38">
        <f>Compilation!B309</f>
        <v>31</v>
      </c>
      <c r="C302" s="38">
        <f>Scores!AY312</f>
        <v>31</v>
      </c>
      <c r="D302" s="38">
        <f t="shared" si="1"/>
        <v>0</v>
      </c>
      <c r="E302" s="21">
        <v>287.0</v>
      </c>
      <c r="F302" s="14">
        <v>53.0</v>
      </c>
      <c r="G302" s="14">
        <v>53.0</v>
      </c>
      <c r="H302" s="14">
        <v>0.0</v>
      </c>
    </row>
    <row r="303">
      <c r="A303" s="40">
        <f>Scores!A313</f>
        <v>302</v>
      </c>
      <c r="B303" s="38">
        <f>Compilation!B310</f>
        <v>89</v>
      </c>
      <c r="C303" s="38">
        <f>Scores!AY313</f>
        <v>89</v>
      </c>
      <c r="D303" s="38">
        <f t="shared" si="1"/>
        <v>0</v>
      </c>
      <c r="E303" s="21">
        <v>289.0</v>
      </c>
      <c r="F303" s="14">
        <v>63.0</v>
      </c>
      <c r="G303" s="14">
        <v>63.0</v>
      </c>
      <c r="H303" s="14">
        <v>0.0</v>
      </c>
    </row>
    <row r="304">
      <c r="A304" s="40">
        <f>Scores!A314</f>
        <v>303</v>
      </c>
      <c r="B304" s="38">
        <f>Compilation!B311</f>
        <v>62</v>
      </c>
      <c r="C304" s="38">
        <f>Scores!AY314</f>
        <v>62</v>
      </c>
      <c r="D304" s="38">
        <f t="shared" si="1"/>
        <v>0</v>
      </c>
      <c r="E304" s="21">
        <v>290.0</v>
      </c>
      <c r="F304" s="14">
        <v>65.0</v>
      </c>
      <c r="G304" s="14">
        <v>65.0</v>
      </c>
      <c r="H304" s="14">
        <v>0.0</v>
      </c>
    </row>
    <row r="305">
      <c r="A305" s="40">
        <f>Scores!A315</f>
        <v>304</v>
      </c>
      <c r="B305" s="38">
        <f>Compilation!B312</f>
        <v>92</v>
      </c>
      <c r="C305" s="38">
        <f>Scores!AY315</f>
        <v>92</v>
      </c>
      <c r="D305" s="38">
        <f t="shared" si="1"/>
        <v>0</v>
      </c>
      <c r="E305" s="21">
        <v>291.0</v>
      </c>
      <c r="F305" s="14">
        <v>59.0</v>
      </c>
      <c r="G305" s="14">
        <v>59.0</v>
      </c>
      <c r="H305" s="14">
        <v>0.0</v>
      </c>
    </row>
    <row r="306">
      <c r="A306" s="40">
        <f>Scores!A316</f>
        <v>305</v>
      </c>
      <c r="B306" s="38">
        <f>Compilation!B313</f>
        <v>56</v>
      </c>
      <c r="C306" s="38">
        <f>Scores!AY316</f>
        <v>56</v>
      </c>
      <c r="D306" s="38">
        <f t="shared" si="1"/>
        <v>0</v>
      </c>
      <c r="E306" s="21">
        <v>292.0</v>
      </c>
      <c r="F306" s="14">
        <v>51.0</v>
      </c>
      <c r="G306" s="14">
        <v>51.0</v>
      </c>
      <c r="H306" s="14">
        <v>0.0</v>
      </c>
    </row>
    <row r="307">
      <c r="A307" s="40">
        <f>Scores!A317</f>
        <v>306</v>
      </c>
      <c r="B307" s="38">
        <f>Compilation!B314</f>
        <v>63</v>
      </c>
      <c r="C307" s="38">
        <f>Scores!AY317</f>
        <v>63</v>
      </c>
      <c r="D307" s="38">
        <f t="shared" si="1"/>
        <v>0</v>
      </c>
      <c r="E307" s="21">
        <v>293.0</v>
      </c>
      <c r="F307" s="14">
        <v>59.0</v>
      </c>
      <c r="G307" s="14">
        <v>59.0</v>
      </c>
      <c r="H307" s="14">
        <v>0.0</v>
      </c>
    </row>
    <row r="308">
      <c r="A308" s="40">
        <f>Scores!A318</f>
        <v>307</v>
      </c>
      <c r="B308" s="38">
        <f>Compilation!B315</f>
        <v>46</v>
      </c>
      <c r="C308" s="38">
        <f>Scores!AY318</f>
        <v>46</v>
      </c>
      <c r="D308" s="38">
        <f t="shared" si="1"/>
        <v>0</v>
      </c>
      <c r="E308" s="21">
        <v>294.0</v>
      </c>
      <c r="F308" s="14">
        <v>70.0</v>
      </c>
      <c r="G308" s="14">
        <v>70.0</v>
      </c>
      <c r="H308" s="14">
        <v>0.0</v>
      </c>
    </row>
    <row r="309">
      <c r="A309" s="40">
        <f>Scores!A319</f>
        <v>308</v>
      </c>
      <c r="B309" s="38">
        <f>Compilation!B316</f>
        <v>192</v>
      </c>
      <c r="C309" s="38">
        <f>Scores!AY319</f>
        <v>188</v>
      </c>
      <c r="D309" s="38">
        <f t="shared" si="1"/>
        <v>4</v>
      </c>
      <c r="E309" s="21">
        <v>295.0</v>
      </c>
      <c r="F309" s="14">
        <v>54.0</v>
      </c>
      <c r="G309" s="14">
        <v>54.0</v>
      </c>
      <c r="H309" s="14">
        <v>0.0</v>
      </c>
    </row>
    <row r="310">
      <c r="A310" s="40">
        <f>Scores!A320</f>
        <v>309</v>
      </c>
      <c r="B310" s="38">
        <f>Compilation!B317</f>
        <v>36</v>
      </c>
      <c r="C310" s="38">
        <f>Scores!AY320</f>
        <v>36</v>
      </c>
      <c r="D310" s="38">
        <f t="shared" si="1"/>
        <v>0</v>
      </c>
      <c r="E310" s="21">
        <v>296.0</v>
      </c>
      <c r="F310" s="14">
        <v>55.0</v>
      </c>
      <c r="G310" s="14">
        <v>55.0</v>
      </c>
      <c r="H310" s="14">
        <v>0.0</v>
      </c>
    </row>
    <row r="311">
      <c r="A311" s="40">
        <f>Scores!A321</f>
        <v>310</v>
      </c>
      <c r="B311" s="38">
        <f>Compilation!B318</f>
        <v>70</v>
      </c>
      <c r="C311" s="38">
        <f>Scores!AY321</f>
        <v>70</v>
      </c>
      <c r="D311" s="38">
        <f t="shared" si="1"/>
        <v>0</v>
      </c>
      <c r="E311" s="21">
        <v>297.0</v>
      </c>
      <c r="F311" s="14">
        <v>43.0</v>
      </c>
      <c r="G311" s="14">
        <v>43.0</v>
      </c>
      <c r="H311" s="14">
        <v>0.0</v>
      </c>
    </row>
    <row r="312">
      <c r="A312" s="40">
        <f>Scores!A322</f>
        <v>311</v>
      </c>
      <c r="B312" s="38">
        <f>Compilation!B319</f>
        <v>32</v>
      </c>
      <c r="C312" s="38">
        <f>Scores!AY322</f>
        <v>32</v>
      </c>
      <c r="D312" s="38">
        <f t="shared" si="1"/>
        <v>0</v>
      </c>
      <c r="E312" s="21">
        <v>298.0</v>
      </c>
      <c r="F312" s="14">
        <v>54.0</v>
      </c>
      <c r="G312" s="14">
        <v>54.0</v>
      </c>
      <c r="H312" s="14">
        <v>0.0</v>
      </c>
    </row>
    <row r="313">
      <c r="A313" s="40">
        <f>Scores!A323</f>
        <v>312</v>
      </c>
      <c r="B313" s="38">
        <f>Compilation!B320</f>
        <v>44</v>
      </c>
      <c r="C313" s="38">
        <f>Scores!AY323</f>
        <v>44</v>
      </c>
      <c r="D313" s="38">
        <f t="shared" si="1"/>
        <v>0</v>
      </c>
      <c r="E313" s="21">
        <v>299.0</v>
      </c>
      <c r="F313" s="14">
        <v>54.0</v>
      </c>
      <c r="G313" s="14">
        <v>54.0</v>
      </c>
      <c r="H313" s="14">
        <v>0.0</v>
      </c>
    </row>
    <row r="314">
      <c r="A314" s="40">
        <f>Scores!A324</f>
        <v>313</v>
      </c>
      <c r="B314" s="38">
        <f>Compilation!B321</f>
        <v>61</v>
      </c>
      <c r="C314" s="38">
        <f>Scores!AY324</f>
        <v>61</v>
      </c>
      <c r="D314" s="38">
        <f t="shared" si="1"/>
        <v>0</v>
      </c>
      <c r="E314" s="21">
        <v>300.0</v>
      </c>
      <c r="F314" s="14">
        <v>87.0</v>
      </c>
      <c r="G314" s="14">
        <v>87.0</v>
      </c>
      <c r="H314" s="14">
        <v>0.0</v>
      </c>
    </row>
    <row r="315">
      <c r="A315" s="40">
        <f>Scores!A325</f>
        <v>314</v>
      </c>
      <c r="B315" s="38">
        <f>Compilation!B322</f>
        <v>82</v>
      </c>
      <c r="C315" s="38">
        <f>Scores!AY325</f>
        <v>82</v>
      </c>
      <c r="D315" s="38">
        <f t="shared" si="1"/>
        <v>0</v>
      </c>
      <c r="E315" s="21">
        <v>301.0</v>
      </c>
      <c r="F315" s="14">
        <v>31.0</v>
      </c>
      <c r="G315" s="14">
        <v>31.0</v>
      </c>
      <c r="H315" s="14">
        <v>0.0</v>
      </c>
    </row>
    <row r="316">
      <c r="A316" s="40">
        <f>Scores!A326</f>
        <v>315</v>
      </c>
      <c r="B316" s="38">
        <f>Compilation!B323</f>
        <v>63</v>
      </c>
      <c r="C316" s="38">
        <f>Scores!AY326</f>
        <v>63</v>
      </c>
      <c r="D316" s="38">
        <f t="shared" si="1"/>
        <v>0</v>
      </c>
      <c r="E316" s="21">
        <v>302.0</v>
      </c>
      <c r="F316" s="14">
        <v>89.0</v>
      </c>
      <c r="G316" s="14">
        <v>89.0</v>
      </c>
      <c r="H316" s="14">
        <v>0.0</v>
      </c>
    </row>
    <row r="317">
      <c r="A317" s="40">
        <f>Scores!A327</f>
        <v>316</v>
      </c>
      <c r="B317" s="38">
        <f>Compilation!B324</f>
        <v>71</v>
      </c>
      <c r="C317" s="38">
        <f>Scores!AY327</f>
        <v>71</v>
      </c>
      <c r="D317" s="38">
        <f t="shared" si="1"/>
        <v>0</v>
      </c>
      <c r="E317" s="21">
        <v>303.0</v>
      </c>
      <c r="F317" s="14">
        <v>62.0</v>
      </c>
      <c r="G317" s="14">
        <v>62.0</v>
      </c>
      <c r="H317" s="14">
        <v>0.0</v>
      </c>
    </row>
    <row r="318">
      <c r="A318" s="40">
        <f>Scores!A328</f>
        <v>317</v>
      </c>
      <c r="B318" s="38">
        <f>Compilation!B325</f>
        <v>43</v>
      </c>
      <c r="C318" s="38">
        <f>Scores!AY328</f>
        <v>43</v>
      </c>
      <c r="D318" s="38">
        <f t="shared" si="1"/>
        <v>0</v>
      </c>
      <c r="E318" s="21">
        <v>304.0</v>
      </c>
      <c r="F318" s="14">
        <v>92.0</v>
      </c>
      <c r="G318" s="14">
        <v>92.0</v>
      </c>
      <c r="H318" s="14">
        <v>0.0</v>
      </c>
    </row>
    <row r="319">
      <c r="A319" s="40">
        <f>Scores!A329</f>
        <v>318</v>
      </c>
      <c r="B319" s="38">
        <f>Compilation!B326</f>
        <v>54</v>
      </c>
      <c r="C319" s="38">
        <f>Scores!AY329</f>
        <v>54</v>
      </c>
      <c r="D319" s="38">
        <f t="shared" si="1"/>
        <v>0</v>
      </c>
      <c r="E319" s="21">
        <v>305.0</v>
      </c>
      <c r="F319" s="14">
        <v>56.0</v>
      </c>
      <c r="G319" s="14">
        <v>56.0</v>
      </c>
      <c r="H319" s="14">
        <v>0.0</v>
      </c>
    </row>
    <row r="320">
      <c r="A320" s="40">
        <f>Scores!A330</f>
        <v>319</v>
      </c>
      <c r="B320" s="38">
        <f>Compilation!B327</f>
        <v>194</v>
      </c>
      <c r="C320" s="38">
        <f>Scores!AY330</f>
        <v>194</v>
      </c>
      <c r="D320" s="38">
        <f t="shared" si="1"/>
        <v>0</v>
      </c>
      <c r="E320" s="21">
        <v>306.0</v>
      </c>
      <c r="F320" s="14">
        <v>63.0</v>
      </c>
      <c r="G320" s="14">
        <v>63.0</v>
      </c>
      <c r="H320" s="14">
        <v>0.0</v>
      </c>
    </row>
    <row r="321">
      <c r="A321" s="40">
        <f>Scores!A331</f>
        <v>320</v>
      </c>
      <c r="B321" s="38">
        <f>Compilation!B328</f>
        <v>65</v>
      </c>
      <c r="C321" s="38">
        <f>Scores!AY331</f>
        <v>65</v>
      </c>
      <c r="D321" s="38">
        <f t="shared" si="1"/>
        <v>0</v>
      </c>
      <c r="E321" s="21">
        <v>307.0</v>
      </c>
      <c r="F321" s="14">
        <v>46.0</v>
      </c>
      <c r="G321" s="14">
        <v>46.0</v>
      </c>
      <c r="H321" s="14">
        <v>0.0</v>
      </c>
    </row>
    <row r="322">
      <c r="A322" s="40">
        <f>Scores!A332</f>
        <v>321</v>
      </c>
      <c r="B322" s="38">
        <f>Compilation!B329</f>
        <v>54</v>
      </c>
      <c r="C322" s="38">
        <f>Scores!AY332</f>
        <v>54</v>
      </c>
      <c r="D322" s="38">
        <f t="shared" si="1"/>
        <v>0</v>
      </c>
      <c r="E322" s="21">
        <v>309.0</v>
      </c>
      <c r="F322" s="14">
        <v>36.0</v>
      </c>
      <c r="G322" s="14">
        <v>36.0</v>
      </c>
      <c r="H322" s="14">
        <v>0.0</v>
      </c>
    </row>
    <row r="323">
      <c r="A323" s="40">
        <f>Scores!A333</f>
        <v>322</v>
      </c>
      <c r="B323" s="38">
        <f>Compilation!B330</f>
        <v>45</v>
      </c>
      <c r="C323" s="38">
        <f>Scores!AY333</f>
        <v>45</v>
      </c>
      <c r="D323" s="38">
        <f t="shared" si="1"/>
        <v>0</v>
      </c>
      <c r="E323" s="21">
        <v>310.0</v>
      </c>
      <c r="F323" s="14">
        <v>70.0</v>
      </c>
      <c r="G323" s="14">
        <v>70.0</v>
      </c>
      <c r="H323" s="14">
        <v>0.0</v>
      </c>
    </row>
    <row r="324">
      <c r="A324" s="40">
        <f>Scores!A334</f>
        <v>323</v>
      </c>
      <c r="B324" s="38">
        <f>Compilation!B331</f>
        <v>100</v>
      </c>
      <c r="C324" s="38">
        <f>Scores!AY334</f>
        <v>100</v>
      </c>
      <c r="D324" s="38">
        <f t="shared" si="1"/>
        <v>0</v>
      </c>
      <c r="E324" s="21">
        <v>311.0</v>
      </c>
      <c r="F324" s="14">
        <v>32.0</v>
      </c>
      <c r="G324" s="14">
        <v>32.0</v>
      </c>
      <c r="H324" s="14">
        <v>0.0</v>
      </c>
    </row>
    <row r="325">
      <c r="A325" s="40">
        <f>Scores!A335</f>
        <v>324</v>
      </c>
      <c r="B325" s="38">
        <f>Compilation!B332</f>
        <v>216</v>
      </c>
      <c r="C325" s="38">
        <f>Scores!AY335</f>
        <v>207</v>
      </c>
      <c r="D325" s="38">
        <f t="shared" si="1"/>
        <v>9</v>
      </c>
      <c r="E325" s="21">
        <v>312.0</v>
      </c>
      <c r="F325" s="14">
        <v>44.0</v>
      </c>
      <c r="G325" s="14">
        <v>44.0</v>
      </c>
      <c r="H325" s="14">
        <v>0.0</v>
      </c>
    </row>
    <row r="326">
      <c r="A326" s="40">
        <f>Scores!A336</f>
        <v>325</v>
      </c>
      <c r="B326" s="38">
        <f>Compilation!B333</f>
        <v>140</v>
      </c>
      <c r="C326" s="38">
        <f>Scores!AY336</f>
        <v>139</v>
      </c>
      <c r="D326" s="38">
        <f t="shared" si="1"/>
        <v>1</v>
      </c>
      <c r="E326" s="21">
        <v>313.0</v>
      </c>
      <c r="F326" s="14">
        <v>61.0</v>
      </c>
      <c r="G326" s="14">
        <v>61.0</v>
      </c>
      <c r="H326" s="14">
        <v>0.0</v>
      </c>
    </row>
    <row r="327">
      <c r="A327" s="40">
        <f>Scores!A337</f>
        <v>326</v>
      </c>
      <c r="B327" s="38">
        <f>Compilation!B334</f>
        <v>30</v>
      </c>
      <c r="C327" s="38">
        <f>Scores!AY337</f>
        <v>30</v>
      </c>
      <c r="D327" s="38">
        <f t="shared" si="1"/>
        <v>0</v>
      </c>
      <c r="E327" s="21">
        <v>314.0</v>
      </c>
      <c r="F327" s="14">
        <v>82.0</v>
      </c>
      <c r="G327" s="14">
        <v>82.0</v>
      </c>
      <c r="H327" s="14">
        <v>0.0</v>
      </c>
    </row>
    <row r="328">
      <c r="A328" s="40">
        <f>Scores!A338</f>
        <v>327</v>
      </c>
      <c r="B328" s="38">
        <f>Compilation!B335</f>
        <v>67</v>
      </c>
      <c r="C328" s="38">
        <f>Scores!AY338</f>
        <v>67</v>
      </c>
      <c r="D328" s="38">
        <f t="shared" si="1"/>
        <v>0</v>
      </c>
      <c r="E328" s="21">
        <v>315.0</v>
      </c>
      <c r="F328" s="14">
        <v>63.0</v>
      </c>
      <c r="G328" s="14">
        <v>63.0</v>
      </c>
      <c r="H328" s="14">
        <v>0.0</v>
      </c>
    </row>
    <row r="329">
      <c r="A329" s="40">
        <f>Scores!A339</f>
        <v>328</v>
      </c>
      <c r="B329" s="38">
        <f>Compilation!B336</f>
        <v>158</v>
      </c>
      <c r="C329" s="38">
        <f>Scores!AY339</f>
        <v>158</v>
      </c>
      <c r="D329" s="38">
        <f t="shared" si="1"/>
        <v>0</v>
      </c>
      <c r="E329" s="21">
        <v>316.0</v>
      </c>
      <c r="F329" s="14">
        <v>71.0</v>
      </c>
      <c r="G329" s="14">
        <v>71.0</v>
      </c>
      <c r="H329" s="14">
        <v>0.0</v>
      </c>
    </row>
    <row r="330">
      <c r="A330" s="40">
        <f>Scores!A340</f>
        <v>329</v>
      </c>
      <c r="B330" s="38">
        <f>Compilation!B337</f>
        <v>54</v>
      </c>
      <c r="C330" s="38">
        <f>Scores!AY340</f>
        <v>54</v>
      </c>
      <c r="D330" s="38">
        <f t="shared" si="1"/>
        <v>0</v>
      </c>
      <c r="E330" s="21">
        <v>317.0</v>
      </c>
      <c r="F330" s="14">
        <v>43.0</v>
      </c>
      <c r="G330" s="14">
        <v>43.0</v>
      </c>
      <c r="H330" s="14">
        <v>0.0</v>
      </c>
    </row>
    <row r="331">
      <c r="A331" s="40">
        <f>Scores!A341</f>
        <v>330</v>
      </c>
      <c r="B331" s="38">
        <f>Compilation!B338</f>
        <v>110</v>
      </c>
      <c r="C331" s="38">
        <f>Scores!AY341</f>
        <v>110</v>
      </c>
      <c r="D331" s="38">
        <f t="shared" si="1"/>
        <v>0</v>
      </c>
      <c r="E331" s="21">
        <v>318.0</v>
      </c>
      <c r="F331" s="14">
        <v>54.0</v>
      </c>
      <c r="G331" s="14">
        <v>54.0</v>
      </c>
      <c r="H331" s="14">
        <v>0.0</v>
      </c>
    </row>
    <row r="332">
      <c r="A332" s="40">
        <f>Scores!A342</f>
        <v>331</v>
      </c>
      <c r="B332" s="38">
        <f>Compilation!B339</f>
        <v>82</v>
      </c>
      <c r="C332" s="38">
        <f>Scores!AY342</f>
        <v>82</v>
      </c>
      <c r="D332" s="38">
        <f t="shared" si="1"/>
        <v>0</v>
      </c>
      <c r="E332" s="21">
        <v>319.0</v>
      </c>
      <c r="F332" s="14">
        <v>194.0</v>
      </c>
      <c r="G332" s="14">
        <v>194.0</v>
      </c>
      <c r="H332" s="14">
        <v>0.0</v>
      </c>
    </row>
    <row r="333">
      <c r="A333" s="40">
        <f>Scores!A343</f>
        <v>332</v>
      </c>
      <c r="B333" s="38">
        <f>Compilation!B340</f>
        <v>58</v>
      </c>
      <c r="C333" s="38">
        <f>Scores!AY343</f>
        <v>58</v>
      </c>
      <c r="D333" s="38">
        <f t="shared" si="1"/>
        <v>0</v>
      </c>
      <c r="E333" s="21">
        <v>320.0</v>
      </c>
      <c r="F333" s="14">
        <v>65.0</v>
      </c>
      <c r="G333" s="14">
        <v>65.0</v>
      </c>
      <c r="H333" s="14">
        <v>0.0</v>
      </c>
    </row>
    <row r="334">
      <c r="A334" s="40">
        <f>Scores!A344</f>
        <v>333</v>
      </c>
      <c r="B334" s="38">
        <f>Compilation!B341</f>
        <v>83</v>
      </c>
      <c r="C334" s="38">
        <f>Scores!AY344</f>
        <v>83</v>
      </c>
      <c r="D334" s="38">
        <f t="shared" si="1"/>
        <v>0</v>
      </c>
      <c r="E334" s="21">
        <v>321.0</v>
      </c>
      <c r="F334" s="14">
        <v>54.0</v>
      </c>
      <c r="G334" s="14">
        <v>54.0</v>
      </c>
      <c r="H334" s="14">
        <v>0.0</v>
      </c>
    </row>
    <row r="335">
      <c r="A335" s="40">
        <f>Scores!A345</f>
        <v>334</v>
      </c>
      <c r="B335" s="38">
        <f>Compilation!B342</f>
        <v>65</v>
      </c>
      <c r="C335" s="38">
        <f>Scores!AY345</f>
        <v>65</v>
      </c>
      <c r="D335" s="38">
        <f t="shared" si="1"/>
        <v>0</v>
      </c>
      <c r="E335" s="21">
        <v>322.0</v>
      </c>
      <c r="F335" s="14">
        <v>45.0</v>
      </c>
      <c r="G335" s="14">
        <v>45.0</v>
      </c>
      <c r="H335" s="14">
        <v>0.0</v>
      </c>
    </row>
    <row r="336">
      <c r="A336" s="40">
        <f>Scores!A346</f>
        <v>335</v>
      </c>
      <c r="B336" s="38">
        <f>Compilation!B343</f>
        <v>105</v>
      </c>
      <c r="C336" s="38">
        <f>Scores!AY346</f>
        <v>105</v>
      </c>
      <c r="D336" s="38">
        <f t="shared" si="1"/>
        <v>0</v>
      </c>
      <c r="E336" s="21">
        <v>323.0</v>
      </c>
      <c r="F336" s="14">
        <v>100.0</v>
      </c>
      <c r="G336" s="14">
        <v>100.0</v>
      </c>
      <c r="H336" s="14">
        <v>0.0</v>
      </c>
    </row>
    <row r="337">
      <c r="A337" s="40">
        <f>Scores!A347</f>
        <v>336</v>
      </c>
      <c r="B337" s="38">
        <f>Compilation!B344</f>
        <v>86</v>
      </c>
      <c r="C337" s="38">
        <f>Scores!AY347</f>
        <v>81</v>
      </c>
      <c r="D337" s="38">
        <f t="shared" si="1"/>
        <v>5</v>
      </c>
      <c r="E337" s="21">
        <v>326.0</v>
      </c>
      <c r="F337" s="14">
        <v>30.0</v>
      </c>
      <c r="G337" s="14">
        <v>30.0</v>
      </c>
      <c r="H337" s="14">
        <v>0.0</v>
      </c>
    </row>
    <row r="338">
      <c r="A338" s="40">
        <f>Scores!A348</f>
        <v>337</v>
      </c>
      <c r="B338" s="38">
        <f>Compilation!B345</f>
        <v>43</v>
      </c>
      <c r="C338" s="38">
        <f>Scores!AY348</f>
        <v>43</v>
      </c>
      <c r="D338" s="38">
        <f t="shared" si="1"/>
        <v>0</v>
      </c>
      <c r="E338" s="21">
        <v>327.0</v>
      </c>
      <c r="F338" s="14">
        <v>67.0</v>
      </c>
      <c r="G338" s="14">
        <v>67.0</v>
      </c>
      <c r="H338" s="14">
        <v>0.0</v>
      </c>
    </row>
    <row r="339">
      <c r="A339" s="40">
        <f>Scores!A349</f>
        <v>338</v>
      </c>
      <c r="B339" s="38">
        <f>Compilation!B346</f>
        <v>62</v>
      </c>
      <c r="C339" s="38">
        <f>Scores!AY349</f>
        <v>62</v>
      </c>
      <c r="D339" s="38">
        <f t="shared" si="1"/>
        <v>0</v>
      </c>
      <c r="E339" s="21">
        <v>328.0</v>
      </c>
      <c r="F339" s="14">
        <v>158.0</v>
      </c>
      <c r="G339" s="14">
        <v>158.0</v>
      </c>
      <c r="H339" s="14">
        <v>0.0</v>
      </c>
    </row>
    <row r="340">
      <c r="A340" s="40">
        <f>Scores!A350</f>
        <v>339</v>
      </c>
      <c r="B340" s="38">
        <f>Compilation!B347</f>
        <v>37</v>
      </c>
      <c r="C340" s="38">
        <f>Scores!AY350</f>
        <v>37</v>
      </c>
      <c r="D340" s="38">
        <f t="shared" si="1"/>
        <v>0</v>
      </c>
      <c r="E340" s="21">
        <v>329.0</v>
      </c>
      <c r="F340" s="14">
        <v>54.0</v>
      </c>
      <c r="G340" s="14">
        <v>54.0</v>
      </c>
      <c r="H340" s="14">
        <v>0.0</v>
      </c>
    </row>
    <row r="341">
      <c r="A341" s="40">
        <f>Scores!A351</f>
        <v>340</v>
      </c>
      <c r="B341" s="38">
        <f>Compilation!B348</f>
        <v>111</v>
      </c>
      <c r="C341" s="38">
        <f>Scores!AY351</f>
        <v>111</v>
      </c>
      <c r="D341" s="38">
        <f t="shared" si="1"/>
        <v>0</v>
      </c>
      <c r="E341" s="21">
        <v>330.0</v>
      </c>
      <c r="F341" s="14">
        <v>110.0</v>
      </c>
      <c r="G341" s="14">
        <v>110.0</v>
      </c>
      <c r="H341" s="14">
        <v>0.0</v>
      </c>
    </row>
    <row r="342">
      <c r="A342" s="40">
        <f>Scores!A352</f>
        <v>341</v>
      </c>
      <c r="B342" s="38">
        <f>Compilation!B349</f>
        <v>108</v>
      </c>
      <c r="C342" s="38">
        <f>Scores!AY352</f>
        <v>108</v>
      </c>
      <c r="D342" s="38">
        <f t="shared" si="1"/>
        <v>0</v>
      </c>
      <c r="E342" s="21">
        <v>331.0</v>
      </c>
      <c r="F342" s="14">
        <v>82.0</v>
      </c>
      <c r="G342" s="14">
        <v>82.0</v>
      </c>
      <c r="H342" s="14">
        <v>0.0</v>
      </c>
    </row>
    <row r="343">
      <c r="A343" s="40">
        <f>Scores!A353</f>
        <v>342</v>
      </c>
      <c r="B343" s="38">
        <f>Compilation!B350</f>
        <v>106</v>
      </c>
      <c r="C343" s="38">
        <f>Scores!AY353</f>
        <v>106</v>
      </c>
      <c r="D343" s="38">
        <f t="shared" si="1"/>
        <v>0</v>
      </c>
      <c r="E343" s="21">
        <v>332.0</v>
      </c>
      <c r="F343" s="14">
        <v>58.0</v>
      </c>
      <c r="G343" s="14">
        <v>58.0</v>
      </c>
      <c r="H343" s="14">
        <v>0.0</v>
      </c>
    </row>
    <row r="344">
      <c r="A344" s="40">
        <f>Scores!A354</f>
        <v>343</v>
      </c>
      <c r="B344" s="38">
        <f>Compilation!B351</f>
        <v>63</v>
      </c>
      <c r="C344" s="38">
        <f>Scores!AY354</f>
        <v>63</v>
      </c>
      <c r="D344" s="38">
        <f t="shared" si="1"/>
        <v>0</v>
      </c>
      <c r="E344" s="21">
        <v>333.0</v>
      </c>
      <c r="F344" s="14">
        <v>83.0</v>
      </c>
      <c r="G344" s="14">
        <v>83.0</v>
      </c>
      <c r="H344" s="14">
        <v>0.0</v>
      </c>
    </row>
    <row r="345">
      <c r="A345" s="40">
        <f>Scores!A355</f>
        <v>344</v>
      </c>
      <c r="B345" s="38">
        <f>Compilation!B352</f>
        <v>74</v>
      </c>
      <c r="C345" s="38">
        <f>Scores!AY355</f>
        <v>74</v>
      </c>
      <c r="D345" s="38">
        <f t="shared" si="1"/>
        <v>0</v>
      </c>
      <c r="E345" s="21">
        <v>334.0</v>
      </c>
      <c r="F345" s="14">
        <v>65.0</v>
      </c>
      <c r="G345" s="14">
        <v>65.0</v>
      </c>
      <c r="H345" s="14">
        <v>0.0</v>
      </c>
    </row>
    <row r="346">
      <c r="A346" s="40">
        <f>Scores!A356</f>
        <v>345</v>
      </c>
      <c r="B346" s="38">
        <f>Compilation!B353</f>
        <v>89</v>
      </c>
      <c r="C346" s="38">
        <f>Scores!AY356</f>
        <v>89</v>
      </c>
      <c r="D346" s="38">
        <f t="shared" si="1"/>
        <v>0</v>
      </c>
      <c r="E346" s="21">
        <v>335.0</v>
      </c>
      <c r="F346" s="14">
        <v>105.0</v>
      </c>
      <c r="G346" s="14">
        <v>105.0</v>
      </c>
      <c r="H346" s="14">
        <v>0.0</v>
      </c>
    </row>
    <row r="347">
      <c r="A347" s="40">
        <f>Scores!A357</f>
        <v>346</v>
      </c>
      <c r="B347" s="38">
        <f>Compilation!B354</f>
        <v>52</v>
      </c>
      <c r="C347" s="38">
        <f>Scores!AY357</f>
        <v>52</v>
      </c>
      <c r="D347" s="38">
        <f t="shared" si="1"/>
        <v>0</v>
      </c>
      <c r="E347" s="21">
        <v>337.0</v>
      </c>
      <c r="F347" s="14">
        <v>43.0</v>
      </c>
      <c r="G347" s="14">
        <v>43.0</v>
      </c>
      <c r="H347" s="14">
        <v>0.0</v>
      </c>
    </row>
    <row r="348">
      <c r="A348" s="40">
        <f>Scores!A358</f>
        <v>347</v>
      </c>
      <c r="B348" s="38">
        <f>Compilation!B355</f>
        <v>50</v>
      </c>
      <c r="C348" s="38">
        <f>Scores!AY358</f>
        <v>50</v>
      </c>
      <c r="D348" s="38">
        <f t="shared" si="1"/>
        <v>0</v>
      </c>
      <c r="E348" s="21">
        <v>338.0</v>
      </c>
      <c r="F348" s="14">
        <v>62.0</v>
      </c>
      <c r="G348" s="14">
        <v>62.0</v>
      </c>
      <c r="H348" s="14">
        <v>0.0</v>
      </c>
    </row>
    <row r="349">
      <c r="A349" s="40">
        <f>Scores!A359</f>
        <v>348</v>
      </c>
      <c r="B349" s="38">
        <f>Compilation!B356</f>
        <v>88</v>
      </c>
      <c r="C349" s="38">
        <f>Scores!AY359</f>
        <v>88</v>
      </c>
      <c r="D349" s="38">
        <f t="shared" si="1"/>
        <v>0</v>
      </c>
      <c r="E349" s="21">
        <v>339.0</v>
      </c>
      <c r="F349" s="14">
        <v>37.0</v>
      </c>
      <c r="G349" s="14">
        <v>37.0</v>
      </c>
      <c r="H349" s="14">
        <v>0.0</v>
      </c>
    </row>
    <row r="350">
      <c r="A350" s="40">
        <f>Scores!A360</f>
        <v>349</v>
      </c>
      <c r="B350" s="38">
        <f>Compilation!B357</f>
        <v>172</v>
      </c>
      <c r="C350" s="38">
        <f>Scores!AY360</f>
        <v>162</v>
      </c>
      <c r="D350" s="38">
        <f t="shared" si="1"/>
        <v>10</v>
      </c>
      <c r="E350" s="21">
        <v>340.0</v>
      </c>
      <c r="F350" s="14">
        <v>111.0</v>
      </c>
      <c r="G350" s="14">
        <v>111.0</v>
      </c>
      <c r="H350" s="14">
        <v>0.0</v>
      </c>
    </row>
    <row r="351">
      <c r="A351" s="40">
        <f>Scores!A361</f>
        <v>350</v>
      </c>
      <c r="B351" s="38">
        <f>Compilation!B358</f>
        <v>89</v>
      </c>
      <c r="C351" s="38">
        <f>Scores!AY361</f>
        <v>89</v>
      </c>
      <c r="D351" s="38">
        <f t="shared" si="1"/>
        <v>0</v>
      </c>
      <c r="E351" s="21">
        <v>341.0</v>
      </c>
      <c r="F351" s="14">
        <v>108.0</v>
      </c>
      <c r="G351" s="14">
        <v>108.0</v>
      </c>
      <c r="H351" s="14">
        <v>0.0</v>
      </c>
    </row>
    <row r="352">
      <c r="A352" s="40">
        <f>Scores!A362</f>
        <v>351</v>
      </c>
      <c r="B352" s="38">
        <f>Compilation!B359</f>
        <v>66</v>
      </c>
      <c r="C352" s="38">
        <f>Scores!AY362</f>
        <v>66</v>
      </c>
      <c r="D352" s="38">
        <f t="shared" si="1"/>
        <v>0</v>
      </c>
      <c r="E352" s="21">
        <v>342.0</v>
      </c>
      <c r="F352" s="14">
        <v>106.0</v>
      </c>
      <c r="G352" s="14">
        <v>106.0</v>
      </c>
      <c r="H352" s="14">
        <v>0.0</v>
      </c>
    </row>
    <row r="353">
      <c r="A353" s="40">
        <f>Scores!A363</f>
        <v>352</v>
      </c>
      <c r="B353" s="38">
        <f>Compilation!B360</f>
        <v>82</v>
      </c>
      <c r="C353" s="38">
        <f>Scores!AY363</f>
        <v>82</v>
      </c>
      <c r="D353" s="38">
        <f t="shared" si="1"/>
        <v>0</v>
      </c>
      <c r="E353" s="21">
        <v>343.0</v>
      </c>
      <c r="F353" s="14">
        <v>63.0</v>
      </c>
      <c r="G353" s="14">
        <v>63.0</v>
      </c>
      <c r="H353" s="14">
        <v>0.0</v>
      </c>
    </row>
    <row r="354">
      <c r="A354" s="40">
        <f>Scores!A364</f>
        <v>353</v>
      </c>
      <c r="B354" s="38">
        <f>Compilation!B361</f>
        <v>83</v>
      </c>
      <c r="C354" s="38">
        <f>Scores!AY364</f>
        <v>83</v>
      </c>
      <c r="D354" s="38">
        <f t="shared" si="1"/>
        <v>0</v>
      </c>
      <c r="E354" s="21">
        <v>344.0</v>
      </c>
      <c r="F354" s="14">
        <v>74.0</v>
      </c>
      <c r="G354" s="14">
        <v>74.0</v>
      </c>
      <c r="H354" s="14">
        <v>0.0</v>
      </c>
    </row>
    <row r="355">
      <c r="A355" s="40">
        <f>Scores!A365</f>
        <v>354</v>
      </c>
      <c r="B355" s="38">
        <f>Compilation!B362</f>
        <v>92</v>
      </c>
      <c r="C355" s="38">
        <f>Scores!AY365</f>
        <v>91</v>
      </c>
      <c r="D355" s="38">
        <f t="shared" si="1"/>
        <v>1</v>
      </c>
      <c r="E355" s="21">
        <v>345.0</v>
      </c>
      <c r="F355" s="14">
        <v>89.0</v>
      </c>
      <c r="G355" s="14">
        <v>89.0</v>
      </c>
      <c r="H355" s="14">
        <v>0.0</v>
      </c>
    </row>
    <row r="356">
      <c r="A356" s="40">
        <f>Scores!A366</f>
        <v>355</v>
      </c>
      <c r="B356" s="38">
        <f>Compilation!B363</f>
        <v>95</v>
      </c>
      <c r="C356" s="38">
        <f>Scores!AY366</f>
        <v>95</v>
      </c>
      <c r="D356" s="38">
        <f t="shared" si="1"/>
        <v>0</v>
      </c>
      <c r="E356" s="21">
        <v>346.0</v>
      </c>
      <c r="F356" s="14">
        <v>52.0</v>
      </c>
      <c r="G356" s="14">
        <v>52.0</v>
      </c>
      <c r="H356" s="14">
        <v>0.0</v>
      </c>
    </row>
    <row r="357">
      <c r="A357" s="40">
        <f>Scores!A367</f>
        <v>356</v>
      </c>
      <c r="B357" s="38">
        <f>Compilation!B364</f>
        <v>92</v>
      </c>
      <c r="C357" s="38">
        <f>Scores!AY367</f>
        <v>92</v>
      </c>
      <c r="D357" s="38">
        <f t="shared" si="1"/>
        <v>0</v>
      </c>
      <c r="E357" s="21">
        <v>347.0</v>
      </c>
      <c r="F357" s="14">
        <v>50.0</v>
      </c>
      <c r="G357" s="14">
        <v>50.0</v>
      </c>
      <c r="H357" s="14">
        <v>0.0</v>
      </c>
    </row>
    <row r="358">
      <c r="A358" s="40">
        <f>Scores!A368</f>
        <v>357</v>
      </c>
      <c r="B358" s="38">
        <f>Compilation!B365</f>
        <v>81</v>
      </c>
      <c r="C358" s="38">
        <f>Scores!AY368</f>
        <v>81</v>
      </c>
      <c r="D358" s="38">
        <f t="shared" si="1"/>
        <v>0</v>
      </c>
      <c r="E358" s="21">
        <v>348.0</v>
      </c>
      <c r="F358" s="14">
        <v>88.0</v>
      </c>
      <c r="G358" s="14">
        <v>88.0</v>
      </c>
      <c r="H358" s="14">
        <v>0.0</v>
      </c>
    </row>
    <row r="359">
      <c r="A359" s="40">
        <f>Scores!A369</f>
        <v>358</v>
      </c>
      <c r="B359" s="38">
        <f>Compilation!B366</f>
        <v>90</v>
      </c>
      <c r="C359" s="38">
        <f>Scores!AY369</f>
        <v>90</v>
      </c>
      <c r="D359" s="38">
        <f t="shared" si="1"/>
        <v>0</v>
      </c>
      <c r="E359" s="21">
        <v>350.0</v>
      </c>
      <c r="F359" s="14">
        <v>89.0</v>
      </c>
      <c r="G359" s="14">
        <v>89.0</v>
      </c>
      <c r="H359" s="14">
        <v>0.0</v>
      </c>
    </row>
    <row r="360">
      <c r="A360" s="40">
        <f>Scores!A370</f>
        <v>359</v>
      </c>
      <c r="B360" s="38">
        <f>Compilation!B367</f>
        <v>64</v>
      </c>
      <c r="C360" s="38">
        <f>Scores!AY370</f>
        <v>64</v>
      </c>
      <c r="D360" s="38">
        <f t="shared" si="1"/>
        <v>0</v>
      </c>
      <c r="E360" s="21">
        <v>351.0</v>
      </c>
      <c r="F360" s="14">
        <v>66.0</v>
      </c>
      <c r="G360" s="14">
        <v>66.0</v>
      </c>
      <c r="H360" s="14">
        <v>0.0</v>
      </c>
    </row>
    <row r="361">
      <c r="A361" s="40">
        <f>Scores!A371</f>
        <v>360</v>
      </c>
      <c r="B361" s="38">
        <f>Compilation!B368</f>
        <v>45</v>
      </c>
      <c r="C361" s="38">
        <f>Scores!AY371</f>
        <v>45</v>
      </c>
      <c r="D361" s="38">
        <f t="shared" si="1"/>
        <v>0</v>
      </c>
      <c r="E361" s="21">
        <v>352.0</v>
      </c>
      <c r="F361" s="14">
        <v>82.0</v>
      </c>
      <c r="G361" s="14">
        <v>82.0</v>
      </c>
      <c r="H361" s="14">
        <v>0.0</v>
      </c>
    </row>
    <row r="362">
      <c r="A362" s="40">
        <f>Scores!A372</f>
        <v>361</v>
      </c>
      <c r="B362" s="38">
        <f>Compilation!B369</f>
        <v>185</v>
      </c>
      <c r="C362" s="38">
        <f>Scores!AY372</f>
        <v>183</v>
      </c>
      <c r="D362" s="38">
        <f t="shared" si="1"/>
        <v>2</v>
      </c>
      <c r="E362" s="21">
        <v>353.0</v>
      </c>
      <c r="F362" s="14">
        <v>83.0</v>
      </c>
      <c r="G362" s="14">
        <v>83.0</v>
      </c>
      <c r="H362" s="14">
        <v>0.0</v>
      </c>
    </row>
    <row r="363">
      <c r="A363" s="40">
        <f>Scores!A373</f>
        <v>362</v>
      </c>
      <c r="B363" s="38">
        <f>Compilation!B370</f>
        <v>67</v>
      </c>
      <c r="C363" s="38">
        <f>Scores!AY373</f>
        <v>67</v>
      </c>
      <c r="D363" s="38">
        <f t="shared" si="1"/>
        <v>0</v>
      </c>
      <c r="E363" s="21">
        <v>355.0</v>
      </c>
      <c r="F363" s="14">
        <v>95.0</v>
      </c>
      <c r="G363" s="14">
        <v>95.0</v>
      </c>
      <c r="H363" s="14">
        <v>0.0</v>
      </c>
    </row>
    <row r="364">
      <c r="A364" s="40">
        <f>Scores!A374</f>
        <v>363</v>
      </c>
      <c r="B364" s="38">
        <f>Compilation!B371</f>
        <v>175</v>
      </c>
      <c r="C364" s="38">
        <f>Scores!AY374</f>
        <v>175</v>
      </c>
      <c r="D364" s="38">
        <f t="shared" si="1"/>
        <v>0</v>
      </c>
      <c r="E364" s="21">
        <v>356.0</v>
      </c>
      <c r="F364" s="14">
        <v>92.0</v>
      </c>
      <c r="G364" s="14">
        <v>92.0</v>
      </c>
      <c r="H364" s="14">
        <v>0.0</v>
      </c>
    </row>
    <row r="365">
      <c r="A365" s="40">
        <f>Scores!A375</f>
        <v>364</v>
      </c>
      <c r="B365" s="38">
        <f>Compilation!B372</f>
        <v>133</v>
      </c>
      <c r="C365" s="38">
        <f>Scores!AY375</f>
        <v>133</v>
      </c>
      <c r="D365" s="38">
        <f t="shared" si="1"/>
        <v>0</v>
      </c>
      <c r="E365" s="21">
        <v>357.0</v>
      </c>
      <c r="F365" s="14">
        <v>81.0</v>
      </c>
      <c r="G365" s="14">
        <v>81.0</v>
      </c>
      <c r="H365" s="14">
        <v>0.0</v>
      </c>
    </row>
    <row r="366">
      <c r="A366" s="40">
        <f>Scores!A376</f>
        <v>365</v>
      </c>
      <c r="B366" s="38">
        <f>Compilation!B373</f>
        <v>111</v>
      </c>
      <c r="C366" s="38">
        <f>Scores!AY376</f>
        <v>111</v>
      </c>
      <c r="D366" s="38">
        <f t="shared" si="1"/>
        <v>0</v>
      </c>
      <c r="E366" s="21">
        <v>358.0</v>
      </c>
      <c r="F366" s="14">
        <v>90.0</v>
      </c>
      <c r="G366" s="14">
        <v>90.0</v>
      </c>
      <c r="H366" s="14">
        <v>0.0</v>
      </c>
    </row>
    <row r="367">
      <c r="A367" s="40">
        <f>Scores!A377</f>
        <v>366</v>
      </c>
      <c r="B367" s="38">
        <f>Compilation!B374</f>
        <v>301</v>
      </c>
      <c r="C367" s="38">
        <f>Scores!AY377</f>
        <v>295</v>
      </c>
      <c r="D367" s="38">
        <f t="shared" si="1"/>
        <v>6</v>
      </c>
      <c r="E367" s="21">
        <v>359.0</v>
      </c>
      <c r="F367" s="14">
        <v>64.0</v>
      </c>
      <c r="G367" s="14">
        <v>64.0</v>
      </c>
      <c r="H367" s="14">
        <v>0.0</v>
      </c>
    </row>
    <row r="368">
      <c r="A368" s="40">
        <f>Scores!A378</f>
        <v>367</v>
      </c>
      <c r="B368" s="38">
        <f>Compilation!B375</f>
        <v>126</v>
      </c>
      <c r="C368" s="38">
        <f>Scores!AY378</f>
        <v>125</v>
      </c>
      <c r="D368" s="38">
        <f t="shared" si="1"/>
        <v>1</v>
      </c>
      <c r="E368" s="21">
        <v>360.0</v>
      </c>
      <c r="F368" s="14">
        <v>45.0</v>
      </c>
      <c r="G368" s="14">
        <v>45.0</v>
      </c>
      <c r="H368" s="14">
        <v>0.0</v>
      </c>
    </row>
    <row r="369">
      <c r="A369" s="40">
        <f>Scores!A379</f>
        <v>368</v>
      </c>
      <c r="B369" s="38">
        <f>Compilation!B376</f>
        <v>129</v>
      </c>
      <c r="C369" s="38">
        <f>Scores!AY379</f>
        <v>123</v>
      </c>
      <c r="D369" s="38">
        <f t="shared" si="1"/>
        <v>6</v>
      </c>
      <c r="E369" s="21">
        <v>362.0</v>
      </c>
      <c r="F369" s="14">
        <v>67.0</v>
      </c>
      <c r="G369" s="14">
        <v>67.0</v>
      </c>
      <c r="H369" s="14">
        <v>0.0</v>
      </c>
    </row>
    <row r="370">
      <c r="A370" s="40">
        <f>Scores!A380</f>
        <v>369</v>
      </c>
      <c r="B370" s="38">
        <f>Compilation!B377</f>
        <v>109</v>
      </c>
      <c r="C370" s="38">
        <f>Scores!AY380</f>
        <v>109</v>
      </c>
      <c r="D370" s="38">
        <f t="shared" si="1"/>
        <v>0</v>
      </c>
      <c r="E370" s="21">
        <v>363.0</v>
      </c>
      <c r="F370" s="14">
        <v>175.0</v>
      </c>
      <c r="G370" s="14">
        <v>175.0</v>
      </c>
      <c r="H370" s="14">
        <v>0.0</v>
      </c>
    </row>
    <row r="371">
      <c r="A371" s="40">
        <f>Scores!A381</f>
        <v>370</v>
      </c>
      <c r="B371" s="38">
        <f>Compilation!B378</f>
        <v>159</v>
      </c>
      <c r="C371" s="38">
        <f>Scores!AY381</f>
        <v>159</v>
      </c>
      <c r="D371" s="38">
        <f t="shared" si="1"/>
        <v>0</v>
      </c>
      <c r="E371" s="21">
        <v>364.0</v>
      </c>
      <c r="F371" s="14">
        <v>133.0</v>
      </c>
      <c r="G371" s="14">
        <v>133.0</v>
      </c>
      <c r="H371" s="14">
        <v>0.0</v>
      </c>
    </row>
    <row r="372">
      <c r="A372" s="40">
        <f>Scores!A382</f>
        <v>371</v>
      </c>
      <c r="B372" s="38">
        <f>Compilation!B379</f>
        <v>102</v>
      </c>
      <c r="C372" s="38">
        <f>Scores!AY382</f>
        <v>102</v>
      </c>
      <c r="D372" s="38">
        <f t="shared" si="1"/>
        <v>0</v>
      </c>
      <c r="E372" s="21">
        <v>365.0</v>
      </c>
      <c r="F372" s="14">
        <v>111.0</v>
      </c>
      <c r="G372" s="14">
        <v>111.0</v>
      </c>
      <c r="H372" s="14">
        <v>0.0</v>
      </c>
    </row>
    <row r="373">
      <c r="A373" s="40">
        <f>Scores!A383</f>
        <v>372</v>
      </c>
      <c r="B373" s="38">
        <f>Compilation!B380</f>
        <v>47</v>
      </c>
      <c r="C373" s="38">
        <f>Scores!AY383</f>
        <v>47</v>
      </c>
      <c r="D373" s="38">
        <f t="shared" si="1"/>
        <v>0</v>
      </c>
      <c r="E373" s="21">
        <v>369.0</v>
      </c>
      <c r="F373" s="14">
        <v>109.0</v>
      </c>
      <c r="G373" s="14">
        <v>109.0</v>
      </c>
      <c r="H373" s="14">
        <v>0.0</v>
      </c>
    </row>
    <row r="374">
      <c r="A374" s="40">
        <f>Scores!A384</f>
        <v>373</v>
      </c>
      <c r="B374" s="38">
        <f>Compilation!B381</f>
        <v>38</v>
      </c>
      <c r="C374" s="38">
        <f>Scores!AY384</f>
        <v>38</v>
      </c>
      <c r="D374" s="38">
        <f t="shared" si="1"/>
        <v>0</v>
      </c>
      <c r="E374" s="21">
        <v>370.0</v>
      </c>
      <c r="F374" s="14">
        <v>159.0</v>
      </c>
      <c r="G374" s="14">
        <v>159.0</v>
      </c>
      <c r="H374" s="14">
        <v>0.0</v>
      </c>
    </row>
    <row r="375">
      <c r="A375" s="40">
        <f>Scores!A385</f>
        <v>374</v>
      </c>
      <c r="B375" s="38">
        <f>Compilation!B382</f>
        <v>103</v>
      </c>
      <c r="C375" s="38">
        <f>Scores!AY385</f>
        <v>103</v>
      </c>
      <c r="D375" s="38">
        <f t="shared" si="1"/>
        <v>0</v>
      </c>
      <c r="E375" s="21">
        <v>371.0</v>
      </c>
      <c r="F375" s="14">
        <v>102.0</v>
      </c>
      <c r="G375" s="14">
        <v>102.0</v>
      </c>
      <c r="H375" s="14">
        <v>0.0</v>
      </c>
    </row>
    <row r="376">
      <c r="A376" s="40">
        <f>Scores!A386</f>
        <v>375</v>
      </c>
      <c r="B376" s="38">
        <f>Compilation!B383</f>
        <v>53</v>
      </c>
      <c r="C376" s="38">
        <f>Scores!AY386</f>
        <v>53</v>
      </c>
      <c r="D376" s="38">
        <f t="shared" si="1"/>
        <v>0</v>
      </c>
      <c r="E376" s="21">
        <v>372.0</v>
      </c>
      <c r="F376" s="14">
        <v>47.0</v>
      </c>
      <c r="G376" s="14">
        <v>47.0</v>
      </c>
      <c r="H376" s="14">
        <v>0.0</v>
      </c>
    </row>
    <row r="377">
      <c r="A377" s="40">
        <f>Scores!A387</f>
        <v>376</v>
      </c>
      <c r="B377" s="38">
        <f>Compilation!B384</f>
        <v>30</v>
      </c>
      <c r="C377" s="38">
        <f>Scores!AY387</f>
        <v>30</v>
      </c>
      <c r="D377" s="38">
        <f t="shared" si="1"/>
        <v>0</v>
      </c>
      <c r="E377" s="21">
        <v>373.0</v>
      </c>
      <c r="F377" s="14">
        <v>38.0</v>
      </c>
      <c r="G377" s="14">
        <v>38.0</v>
      </c>
      <c r="H377" s="14">
        <v>0.0</v>
      </c>
    </row>
    <row r="378">
      <c r="A378" s="40">
        <f>Scores!A388</f>
        <v>377</v>
      </c>
      <c r="B378" s="38">
        <f>Compilation!B385</f>
        <v>55</v>
      </c>
      <c r="C378" s="38">
        <f>Scores!AY388</f>
        <v>55</v>
      </c>
      <c r="D378" s="38">
        <f t="shared" si="1"/>
        <v>0</v>
      </c>
      <c r="E378" s="21">
        <v>374.0</v>
      </c>
      <c r="F378" s="14">
        <v>103.0</v>
      </c>
      <c r="G378" s="14">
        <v>103.0</v>
      </c>
      <c r="H378" s="14">
        <v>0.0</v>
      </c>
    </row>
    <row r="379">
      <c r="A379" s="40">
        <f>Scores!A389</f>
        <v>378</v>
      </c>
      <c r="B379" s="38">
        <f>Compilation!B386</f>
        <v>131</v>
      </c>
      <c r="C379" s="38">
        <f>Scores!AY389</f>
        <v>131</v>
      </c>
      <c r="D379" s="38">
        <f t="shared" si="1"/>
        <v>0</v>
      </c>
      <c r="E379" s="21">
        <v>375.0</v>
      </c>
      <c r="F379" s="14">
        <v>53.0</v>
      </c>
      <c r="G379" s="14">
        <v>53.0</v>
      </c>
      <c r="H379" s="14">
        <v>0.0</v>
      </c>
    </row>
    <row r="380">
      <c r="A380" s="40">
        <f>Scores!A390</f>
        <v>379</v>
      </c>
      <c r="B380" s="38">
        <f>Compilation!B387</f>
        <v>135</v>
      </c>
      <c r="C380" s="38">
        <f>Scores!AY390</f>
        <v>135</v>
      </c>
      <c r="D380" s="38">
        <f t="shared" si="1"/>
        <v>0</v>
      </c>
      <c r="E380" s="21">
        <v>376.0</v>
      </c>
      <c r="F380" s="14">
        <v>30.0</v>
      </c>
      <c r="G380" s="14">
        <v>30.0</v>
      </c>
      <c r="H380" s="14">
        <v>0.0</v>
      </c>
    </row>
    <row r="381">
      <c r="A381" s="40">
        <f>Scores!A391</f>
        <v>380</v>
      </c>
      <c r="B381" s="38">
        <f>Compilation!B388</f>
        <v>27</v>
      </c>
      <c r="C381" s="38">
        <f>Scores!AY391</f>
        <v>27</v>
      </c>
      <c r="D381" s="38">
        <f t="shared" si="1"/>
        <v>0</v>
      </c>
      <c r="E381" s="21">
        <v>377.0</v>
      </c>
      <c r="F381" s="14">
        <v>55.0</v>
      </c>
      <c r="G381" s="14">
        <v>55.0</v>
      </c>
      <c r="H381" s="14">
        <v>0.0</v>
      </c>
    </row>
    <row r="382">
      <c r="A382" s="40">
        <f>Scores!A392</f>
        <v>381</v>
      </c>
      <c r="B382" s="38">
        <f>Compilation!B389</f>
        <v>79</v>
      </c>
      <c r="C382" s="38">
        <f>Scores!AY392</f>
        <v>79</v>
      </c>
      <c r="D382" s="38">
        <f t="shared" si="1"/>
        <v>0</v>
      </c>
      <c r="E382" s="21">
        <v>378.0</v>
      </c>
      <c r="F382" s="14">
        <v>131.0</v>
      </c>
      <c r="G382" s="14">
        <v>131.0</v>
      </c>
      <c r="H382" s="14">
        <v>0.0</v>
      </c>
    </row>
    <row r="383">
      <c r="A383" s="40">
        <f>Scores!A393</f>
        <v>382</v>
      </c>
      <c r="B383" s="38">
        <f>Compilation!B390</f>
        <v>124</v>
      </c>
      <c r="C383" s="38">
        <f>Scores!AY393</f>
        <v>119</v>
      </c>
      <c r="D383" s="38">
        <f t="shared" si="1"/>
        <v>5</v>
      </c>
      <c r="E383" s="21">
        <v>379.0</v>
      </c>
      <c r="F383" s="14">
        <v>135.0</v>
      </c>
      <c r="G383" s="14">
        <v>135.0</v>
      </c>
      <c r="H383" s="14">
        <v>0.0</v>
      </c>
    </row>
    <row r="384">
      <c r="A384" s="40">
        <f>Scores!A394</f>
        <v>383</v>
      </c>
      <c r="B384" s="38">
        <f>Compilation!B391</f>
        <v>120</v>
      </c>
      <c r="C384" s="38">
        <f>Scores!AY394</f>
        <v>120</v>
      </c>
      <c r="D384" s="38">
        <f t="shared" si="1"/>
        <v>0</v>
      </c>
      <c r="E384" s="21">
        <v>380.0</v>
      </c>
      <c r="F384" s="14">
        <v>27.0</v>
      </c>
      <c r="G384" s="14">
        <v>27.0</v>
      </c>
      <c r="H384" s="14">
        <v>0.0</v>
      </c>
    </row>
    <row r="385">
      <c r="A385" s="40">
        <f>Scores!A395</f>
        <v>384</v>
      </c>
      <c r="B385" s="38">
        <f>Compilation!B392</f>
        <v>61</v>
      </c>
      <c r="C385" s="38">
        <f>Scores!AY395</f>
        <v>61</v>
      </c>
      <c r="D385" s="38">
        <f t="shared" si="1"/>
        <v>0</v>
      </c>
      <c r="E385" s="21">
        <v>381.0</v>
      </c>
      <c r="F385" s="14">
        <v>79.0</v>
      </c>
      <c r="G385" s="14">
        <v>79.0</v>
      </c>
      <c r="H385" s="14">
        <v>0.0</v>
      </c>
    </row>
    <row r="386">
      <c r="A386" s="40">
        <f>Scores!A396</f>
        <v>385</v>
      </c>
      <c r="B386" s="38">
        <f>Compilation!B393</f>
        <v>25</v>
      </c>
      <c r="C386" s="38">
        <f>Scores!AY396</f>
        <v>25</v>
      </c>
      <c r="D386" s="38">
        <f t="shared" si="1"/>
        <v>0</v>
      </c>
      <c r="E386" s="21">
        <v>383.0</v>
      </c>
      <c r="F386" s="14">
        <v>120.0</v>
      </c>
      <c r="G386" s="14">
        <v>120.0</v>
      </c>
      <c r="H386" s="14">
        <v>0.0</v>
      </c>
    </row>
    <row r="387">
      <c r="A387" s="40">
        <f>Scores!A397</f>
        <v>386</v>
      </c>
      <c r="B387" s="38">
        <f>Compilation!B394</f>
        <v>50</v>
      </c>
      <c r="C387" s="38">
        <f>Scores!AY397</f>
        <v>50</v>
      </c>
      <c r="D387" s="38">
        <f t="shared" si="1"/>
        <v>0</v>
      </c>
      <c r="E387" s="21">
        <v>384.0</v>
      </c>
      <c r="F387" s="14">
        <v>61.0</v>
      </c>
      <c r="G387" s="14">
        <v>61.0</v>
      </c>
      <c r="H387" s="14">
        <v>0.0</v>
      </c>
    </row>
    <row r="388">
      <c r="A388" s="40">
        <f>Scores!A398</f>
        <v>387</v>
      </c>
      <c r="B388" s="38">
        <f>Compilation!B395</f>
        <v>192</v>
      </c>
      <c r="C388" s="38">
        <f>Scores!AY398</f>
        <v>183</v>
      </c>
      <c r="D388" s="38">
        <f t="shared" si="1"/>
        <v>9</v>
      </c>
      <c r="E388" s="21">
        <v>385.0</v>
      </c>
      <c r="F388" s="14">
        <v>25.0</v>
      </c>
      <c r="G388" s="14">
        <v>25.0</v>
      </c>
      <c r="H388" s="14">
        <v>0.0</v>
      </c>
    </row>
    <row r="389">
      <c r="A389" s="40">
        <f>Scores!A399</f>
        <v>388</v>
      </c>
      <c r="B389" s="38">
        <f>Compilation!B396</f>
        <v>61</v>
      </c>
      <c r="C389" s="38">
        <f>Scores!AY399</f>
        <v>61</v>
      </c>
      <c r="D389" s="38">
        <f t="shared" si="1"/>
        <v>0</v>
      </c>
      <c r="E389" s="21">
        <v>386.0</v>
      </c>
      <c r="F389" s="14">
        <v>50.0</v>
      </c>
      <c r="G389" s="14">
        <v>50.0</v>
      </c>
      <c r="H389" s="14">
        <v>0.0</v>
      </c>
    </row>
    <row r="390">
      <c r="A390" s="40">
        <f>Scores!A400</f>
        <v>389</v>
      </c>
      <c r="B390" s="38">
        <f>Compilation!B397</f>
        <v>57</v>
      </c>
      <c r="C390" s="38">
        <f>Scores!AY400</f>
        <v>57</v>
      </c>
      <c r="D390" s="38">
        <f t="shared" si="1"/>
        <v>0</v>
      </c>
      <c r="E390" s="21">
        <v>388.0</v>
      </c>
      <c r="F390" s="14">
        <v>61.0</v>
      </c>
      <c r="G390" s="14">
        <v>61.0</v>
      </c>
      <c r="H390" s="14">
        <v>0.0</v>
      </c>
    </row>
    <row r="391">
      <c r="A391" s="40">
        <f>Scores!A401</f>
        <v>390</v>
      </c>
      <c r="B391" s="38">
        <f>Compilation!B398</f>
        <v>98</v>
      </c>
      <c r="C391" s="38">
        <f>Scores!AY401</f>
        <v>98</v>
      </c>
      <c r="D391" s="38">
        <f t="shared" si="1"/>
        <v>0</v>
      </c>
      <c r="E391" s="21">
        <v>389.0</v>
      </c>
      <c r="F391" s="14">
        <v>57.0</v>
      </c>
      <c r="G391" s="14">
        <v>57.0</v>
      </c>
      <c r="H391" s="14">
        <v>0.0</v>
      </c>
    </row>
    <row r="392">
      <c r="A392" s="40">
        <f>Scores!A402</f>
        <v>391</v>
      </c>
      <c r="B392" s="38">
        <f>Compilation!B399</f>
        <v>63</v>
      </c>
      <c r="C392" s="38">
        <f>Scores!AY402</f>
        <v>63</v>
      </c>
      <c r="D392" s="38">
        <f t="shared" si="1"/>
        <v>0</v>
      </c>
      <c r="E392" s="21">
        <v>390.0</v>
      </c>
      <c r="F392" s="14">
        <v>98.0</v>
      </c>
      <c r="G392" s="14">
        <v>98.0</v>
      </c>
      <c r="H392" s="14">
        <v>0.0</v>
      </c>
    </row>
    <row r="393">
      <c r="A393" s="40">
        <f>Scores!A403</f>
        <v>392</v>
      </c>
      <c r="B393" s="38">
        <f>Compilation!B400</f>
        <v>135</v>
      </c>
      <c r="C393" s="38">
        <f>Scores!AY403</f>
        <v>135</v>
      </c>
      <c r="D393" s="38">
        <f t="shared" si="1"/>
        <v>0</v>
      </c>
      <c r="E393" s="21">
        <v>391.0</v>
      </c>
      <c r="F393" s="14">
        <v>63.0</v>
      </c>
      <c r="G393" s="14">
        <v>63.0</v>
      </c>
      <c r="H393" s="14">
        <v>0.0</v>
      </c>
    </row>
    <row r="394">
      <c r="A394" s="40">
        <f>Scores!A404</f>
        <v>393</v>
      </c>
      <c r="B394" s="38">
        <f>Compilation!B401</f>
        <v>63</v>
      </c>
      <c r="C394" s="38">
        <f>Scores!AY404</f>
        <v>63</v>
      </c>
      <c r="D394" s="38">
        <f t="shared" si="1"/>
        <v>0</v>
      </c>
      <c r="E394" s="21">
        <v>392.0</v>
      </c>
      <c r="F394" s="14">
        <v>135.0</v>
      </c>
      <c r="G394" s="14">
        <v>135.0</v>
      </c>
      <c r="H394" s="14">
        <v>0.0</v>
      </c>
    </row>
    <row r="395">
      <c r="A395" s="40">
        <f>Scores!A405</f>
        <v>394</v>
      </c>
      <c r="B395" s="38">
        <f>Compilation!B402</f>
        <v>85</v>
      </c>
      <c r="C395" s="38">
        <f>Scores!AY405</f>
        <v>85</v>
      </c>
      <c r="D395" s="38">
        <f t="shared" si="1"/>
        <v>0</v>
      </c>
      <c r="E395" s="21">
        <v>393.0</v>
      </c>
      <c r="F395" s="14">
        <v>63.0</v>
      </c>
      <c r="G395" s="14">
        <v>63.0</v>
      </c>
      <c r="H395" s="14">
        <v>0.0</v>
      </c>
    </row>
    <row r="396">
      <c r="A396" s="40">
        <f>Scores!A406</f>
        <v>395</v>
      </c>
      <c r="B396" s="38">
        <f>Compilation!B403</f>
        <v>53</v>
      </c>
      <c r="C396" s="38">
        <f>Scores!AY406</f>
        <v>53</v>
      </c>
      <c r="D396" s="38">
        <f t="shared" si="1"/>
        <v>0</v>
      </c>
      <c r="E396" s="21">
        <v>394.0</v>
      </c>
      <c r="F396" s="14">
        <v>85.0</v>
      </c>
      <c r="G396" s="14">
        <v>85.0</v>
      </c>
      <c r="H396" s="14">
        <v>0.0</v>
      </c>
    </row>
    <row r="397">
      <c r="A397" s="40">
        <f>Scores!A407</f>
        <v>396</v>
      </c>
      <c r="B397" s="38">
        <f>Compilation!B404</f>
        <v>139</v>
      </c>
      <c r="C397" s="38">
        <f>Scores!AY407</f>
        <v>138</v>
      </c>
      <c r="D397" s="38">
        <f t="shared" si="1"/>
        <v>1</v>
      </c>
      <c r="E397" s="21">
        <v>395.0</v>
      </c>
      <c r="F397" s="14">
        <v>53.0</v>
      </c>
      <c r="G397" s="14">
        <v>53.0</v>
      </c>
      <c r="H397" s="14">
        <v>0.0</v>
      </c>
    </row>
    <row r="398">
      <c r="A398" s="40">
        <f>Scores!A408</f>
        <v>397</v>
      </c>
      <c r="B398" s="38">
        <f>Compilation!B405</f>
        <v>110</v>
      </c>
      <c r="C398" s="38">
        <f>Scores!AY408</f>
        <v>110</v>
      </c>
      <c r="D398" s="38">
        <f t="shared" si="1"/>
        <v>0</v>
      </c>
      <c r="E398" s="21">
        <v>397.0</v>
      </c>
      <c r="F398" s="14">
        <v>110.0</v>
      </c>
      <c r="G398" s="14">
        <v>110.0</v>
      </c>
      <c r="H398" s="14">
        <v>0.0</v>
      </c>
    </row>
    <row r="399">
      <c r="A399" s="40">
        <f>Scores!A409</f>
        <v>398</v>
      </c>
      <c r="B399" s="38">
        <f>Compilation!B406</f>
        <v>72</v>
      </c>
      <c r="C399" s="38">
        <f>Scores!AY409</f>
        <v>72</v>
      </c>
      <c r="D399" s="38">
        <f t="shared" si="1"/>
        <v>0</v>
      </c>
      <c r="E399" s="21">
        <v>398.0</v>
      </c>
      <c r="F399" s="14">
        <v>72.0</v>
      </c>
      <c r="G399" s="14">
        <v>72.0</v>
      </c>
      <c r="H399" s="14">
        <v>0.0</v>
      </c>
    </row>
    <row r="400">
      <c r="A400" s="40">
        <f>Scores!A410</f>
        <v>399</v>
      </c>
      <c r="B400" s="38">
        <f>Compilation!B407</f>
        <v>62</v>
      </c>
      <c r="C400" s="38">
        <f>Scores!AY410</f>
        <v>62</v>
      </c>
      <c r="D400" s="38">
        <f t="shared" si="1"/>
        <v>0</v>
      </c>
      <c r="E400" s="21">
        <v>399.0</v>
      </c>
      <c r="F400" s="14">
        <v>62.0</v>
      </c>
      <c r="G400" s="14">
        <v>62.0</v>
      </c>
      <c r="H400" s="14">
        <v>0.0</v>
      </c>
    </row>
    <row r="401">
      <c r="A401" s="40">
        <f>Scores!A411</f>
        <v>400</v>
      </c>
      <c r="B401" s="38">
        <f>Compilation!B408</f>
        <v>66</v>
      </c>
      <c r="C401" s="38">
        <f>Scores!AY411</f>
        <v>66</v>
      </c>
      <c r="D401" s="38">
        <f t="shared" si="1"/>
        <v>0</v>
      </c>
      <c r="E401" s="21">
        <v>400.0</v>
      </c>
      <c r="F401" s="14">
        <v>66.0</v>
      </c>
      <c r="G401" s="14">
        <v>66.0</v>
      </c>
      <c r="H401" s="14">
        <v>0.0</v>
      </c>
    </row>
  </sheetData>
  <hyperlinks>
    <hyperlink r:id="rId1" ref="E3"/>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 r:id="rId22" ref="E24"/>
    <hyperlink r:id="rId23" ref="E25"/>
    <hyperlink r:id="rId24" ref="E26"/>
    <hyperlink r:id="rId25" ref="E27"/>
    <hyperlink r:id="rId26" ref="E28"/>
    <hyperlink r:id="rId27" ref="E29"/>
    <hyperlink r:id="rId28" ref="E30"/>
    <hyperlink r:id="rId29" ref="E31"/>
    <hyperlink r:id="rId30" ref="E32"/>
    <hyperlink r:id="rId31" ref="E33"/>
    <hyperlink r:id="rId32" ref="E34"/>
    <hyperlink r:id="rId33" ref="E35"/>
    <hyperlink r:id="rId34" ref="E36"/>
    <hyperlink r:id="rId35" ref="E37"/>
    <hyperlink r:id="rId36" ref="E38"/>
    <hyperlink r:id="rId37" ref="E39"/>
    <hyperlink r:id="rId38" ref="E40"/>
    <hyperlink r:id="rId39" ref="E41"/>
    <hyperlink r:id="rId40" ref="E42"/>
    <hyperlink r:id="rId41" ref="E43"/>
    <hyperlink r:id="rId42" ref="E44"/>
    <hyperlink r:id="rId43" ref="E45"/>
    <hyperlink r:id="rId44" ref="E46"/>
    <hyperlink r:id="rId45" ref="E47"/>
    <hyperlink r:id="rId46" ref="E48"/>
    <hyperlink r:id="rId47" ref="E49"/>
    <hyperlink r:id="rId48" ref="E50"/>
    <hyperlink r:id="rId49" ref="E51"/>
    <hyperlink r:id="rId50" ref="E52"/>
    <hyperlink r:id="rId51" ref="E53"/>
    <hyperlink r:id="rId52" ref="E54"/>
    <hyperlink r:id="rId53" ref="E55"/>
    <hyperlink r:id="rId54" ref="E56"/>
    <hyperlink r:id="rId55" ref="E57"/>
    <hyperlink r:id="rId56" ref="E58"/>
    <hyperlink r:id="rId57" ref="E59"/>
    <hyperlink r:id="rId58" ref="E60"/>
    <hyperlink r:id="rId59" ref="E61"/>
    <hyperlink r:id="rId60" ref="E62"/>
    <hyperlink r:id="rId61" ref="E63"/>
    <hyperlink r:id="rId62" ref="E64"/>
    <hyperlink r:id="rId63" ref="E65"/>
    <hyperlink r:id="rId64" ref="E66"/>
    <hyperlink r:id="rId65" ref="E67"/>
    <hyperlink r:id="rId66" ref="E68"/>
    <hyperlink r:id="rId67" ref="E69"/>
    <hyperlink r:id="rId68" ref="E70"/>
    <hyperlink r:id="rId69" ref="E71"/>
    <hyperlink r:id="rId70" ref="E72"/>
    <hyperlink r:id="rId71" ref="E73"/>
    <hyperlink r:id="rId72" ref="E74"/>
    <hyperlink r:id="rId73" ref="E75"/>
    <hyperlink r:id="rId74" ref="E76"/>
    <hyperlink r:id="rId75" ref="E77"/>
    <hyperlink r:id="rId76" ref="E78"/>
    <hyperlink r:id="rId77" ref="E79"/>
    <hyperlink r:id="rId78" ref="E80"/>
    <hyperlink r:id="rId79" ref="E81"/>
    <hyperlink r:id="rId80" ref="E82"/>
    <hyperlink r:id="rId81" ref="E83"/>
    <hyperlink r:id="rId82" ref="E84"/>
    <hyperlink r:id="rId83" ref="E85"/>
    <hyperlink r:id="rId84" ref="E86"/>
    <hyperlink r:id="rId85" ref="E87"/>
    <hyperlink r:id="rId86" ref="E88"/>
    <hyperlink r:id="rId87" ref="E89"/>
    <hyperlink r:id="rId88" ref="E90"/>
    <hyperlink r:id="rId89" ref="E91"/>
    <hyperlink r:id="rId90" ref="E92"/>
    <hyperlink r:id="rId91" ref="E93"/>
    <hyperlink r:id="rId92" ref="E94"/>
    <hyperlink r:id="rId93" ref="E95"/>
    <hyperlink r:id="rId94" ref="E96"/>
    <hyperlink r:id="rId95" ref="E97"/>
    <hyperlink r:id="rId96" ref="E98"/>
    <hyperlink r:id="rId97" ref="E99"/>
    <hyperlink r:id="rId98" ref="E100"/>
    <hyperlink r:id="rId99" ref="E101"/>
    <hyperlink r:id="rId100" ref="E102"/>
    <hyperlink r:id="rId101" ref="E103"/>
    <hyperlink r:id="rId102" ref="E104"/>
    <hyperlink r:id="rId103" ref="E105"/>
    <hyperlink r:id="rId104" ref="E106"/>
    <hyperlink r:id="rId105" ref="E107"/>
    <hyperlink r:id="rId106" ref="E108"/>
    <hyperlink r:id="rId107" ref="E109"/>
    <hyperlink r:id="rId108" ref="E110"/>
    <hyperlink r:id="rId109" ref="E111"/>
    <hyperlink r:id="rId110" ref="E112"/>
    <hyperlink r:id="rId111" ref="E113"/>
    <hyperlink r:id="rId112" ref="E114"/>
    <hyperlink r:id="rId113" ref="E115"/>
    <hyperlink r:id="rId114" ref="E116"/>
    <hyperlink r:id="rId115" ref="E117"/>
    <hyperlink r:id="rId116" ref="E118"/>
    <hyperlink r:id="rId117" ref="E119"/>
    <hyperlink r:id="rId118" ref="E120"/>
    <hyperlink r:id="rId119" ref="E121"/>
    <hyperlink r:id="rId120" ref="E122"/>
    <hyperlink r:id="rId121" ref="E123"/>
    <hyperlink r:id="rId122" ref="E124"/>
    <hyperlink r:id="rId123" ref="E125"/>
    <hyperlink r:id="rId124" ref="E126"/>
    <hyperlink r:id="rId125" ref="E127"/>
    <hyperlink r:id="rId126" ref="E128"/>
    <hyperlink r:id="rId127" ref="E129"/>
    <hyperlink r:id="rId128" ref="E130"/>
    <hyperlink r:id="rId129" ref="E131"/>
    <hyperlink r:id="rId130" ref="E132"/>
    <hyperlink r:id="rId131" ref="E133"/>
    <hyperlink r:id="rId132" ref="E134"/>
    <hyperlink r:id="rId133" ref="E135"/>
    <hyperlink r:id="rId134" ref="E136"/>
    <hyperlink r:id="rId135" ref="E137"/>
    <hyperlink r:id="rId136" ref="E138"/>
    <hyperlink r:id="rId137" ref="E139"/>
    <hyperlink r:id="rId138" ref="E140"/>
    <hyperlink r:id="rId139" ref="E141"/>
    <hyperlink r:id="rId140" ref="E142"/>
    <hyperlink r:id="rId141" ref="E143"/>
    <hyperlink r:id="rId142" ref="E144"/>
    <hyperlink r:id="rId143" ref="E145"/>
    <hyperlink r:id="rId144" ref="E146"/>
    <hyperlink r:id="rId145" ref="E147"/>
    <hyperlink r:id="rId146" ref="E148"/>
    <hyperlink r:id="rId147" ref="E149"/>
    <hyperlink r:id="rId148" ref="E150"/>
    <hyperlink r:id="rId149" ref="E151"/>
    <hyperlink r:id="rId150" ref="E152"/>
    <hyperlink r:id="rId151" ref="E153"/>
    <hyperlink r:id="rId152" ref="E154"/>
    <hyperlink r:id="rId153" ref="E155"/>
    <hyperlink r:id="rId154" ref="E156"/>
    <hyperlink r:id="rId155" ref="E157"/>
    <hyperlink r:id="rId156" ref="E158"/>
    <hyperlink r:id="rId157" ref="E159"/>
    <hyperlink r:id="rId158" ref="E160"/>
    <hyperlink r:id="rId159" ref="E161"/>
    <hyperlink r:id="rId160" ref="E162"/>
    <hyperlink r:id="rId161" ref="E163"/>
    <hyperlink r:id="rId162" ref="E164"/>
    <hyperlink r:id="rId163" ref="E165"/>
    <hyperlink r:id="rId164" ref="E166"/>
    <hyperlink r:id="rId165" ref="E167"/>
    <hyperlink r:id="rId166" ref="E168"/>
    <hyperlink r:id="rId167" ref="E169"/>
    <hyperlink r:id="rId168" ref="E170"/>
    <hyperlink r:id="rId169" ref="E171"/>
    <hyperlink r:id="rId170" ref="E172"/>
    <hyperlink r:id="rId171" ref="E173"/>
    <hyperlink r:id="rId172" ref="E174"/>
    <hyperlink r:id="rId173" ref="E175"/>
    <hyperlink r:id="rId174" ref="E176"/>
    <hyperlink r:id="rId175" ref="E177"/>
    <hyperlink r:id="rId176" ref="E178"/>
    <hyperlink r:id="rId177" ref="E179"/>
    <hyperlink r:id="rId178" ref="E180"/>
    <hyperlink r:id="rId179" ref="E181"/>
    <hyperlink r:id="rId180" ref="E182"/>
    <hyperlink r:id="rId181" ref="E183"/>
    <hyperlink r:id="rId182" ref="E184"/>
    <hyperlink r:id="rId183" ref="E185"/>
    <hyperlink r:id="rId184" ref="E186"/>
    <hyperlink r:id="rId185" ref="E187"/>
    <hyperlink r:id="rId186" ref="E188"/>
    <hyperlink r:id="rId187" ref="E189"/>
    <hyperlink r:id="rId188" ref="E190"/>
    <hyperlink r:id="rId189" ref="E191"/>
    <hyperlink r:id="rId190" ref="E192"/>
    <hyperlink r:id="rId191" ref="E193"/>
    <hyperlink r:id="rId192" ref="E194"/>
    <hyperlink r:id="rId193" ref="E195"/>
    <hyperlink r:id="rId194" ref="E196"/>
    <hyperlink r:id="rId195" ref="E197"/>
    <hyperlink r:id="rId196" ref="E198"/>
    <hyperlink r:id="rId197" ref="E199"/>
    <hyperlink r:id="rId198" ref="E200"/>
    <hyperlink r:id="rId199" ref="E201"/>
    <hyperlink r:id="rId200" ref="E202"/>
    <hyperlink r:id="rId201" ref="E203"/>
    <hyperlink r:id="rId202" ref="E204"/>
    <hyperlink r:id="rId203" ref="E205"/>
    <hyperlink r:id="rId204" ref="E206"/>
    <hyperlink r:id="rId205" ref="E207"/>
    <hyperlink r:id="rId206" ref="E208"/>
    <hyperlink r:id="rId207" ref="E209"/>
    <hyperlink r:id="rId208" ref="E210"/>
    <hyperlink r:id="rId209" ref="E211"/>
    <hyperlink r:id="rId210" ref="E212"/>
    <hyperlink r:id="rId211" ref="E213"/>
    <hyperlink r:id="rId212" ref="E214"/>
    <hyperlink r:id="rId213" ref="E215"/>
    <hyperlink r:id="rId214" ref="E216"/>
    <hyperlink r:id="rId215" ref="E217"/>
    <hyperlink r:id="rId216" ref="E218"/>
    <hyperlink r:id="rId217" ref="E219"/>
    <hyperlink r:id="rId218" ref="E220"/>
    <hyperlink r:id="rId219" ref="E221"/>
    <hyperlink r:id="rId220" ref="E222"/>
    <hyperlink r:id="rId221" ref="E223"/>
    <hyperlink r:id="rId222" ref="E224"/>
    <hyperlink r:id="rId223" ref="E225"/>
    <hyperlink r:id="rId224" ref="E226"/>
    <hyperlink r:id="rId225" ref="E227"/>
    <hyperlink r:id="rId226" ref="E228"/>
    <hyperlink r:id="rId227" ref="E229"/>
    <hyperlink r:id="rId228" ref="E230"/>
    <hyperlink r:id="rId229" ref="E231"/>
    <hyperlink r:id="rId230" ref="E232"/>
    <hyperlink r:id="rId231" ref="E233"/>
    <hyperlink r:id="rId232" ref="E234"/>
    <hyperlink r:id="rId233" ref="E235"/>
    <hyperlink r:id="rId234" ref="E236"/>
    <hyperlink r:id="rId235" ref="E237"/>
    <hyperlink r:id="rId236" ref="E238"/>
    <hyperlink r:id="rId237" ref="E239"/>
    <hyperlink r:id="rId238" ref="E240"/>
    <hyperlink r:id="rId239" ref="E241"/>
    <hyperlink r:id="rId240" ref="E242"/>
    <hyperlink r:id="rId241" ref="E243"/>
    <hyperlink r:id="rId242" ref="E244"/>
    <hyperlink r:id="rId243" ref="E245"/>
    <hyperlink r:id="rId244" ref="E246"/>
    <hyperlink r:id="rId245" ref="E247"/>
    <hyperlink r:id="rId246" ref="E248"/>
    <hyperlink r:id="rId247" ref="E249"/>
    <hyperlink r:id="rId248" ref="E250"/>
    <hyperlink r:id="rId249" ref="E251"/>
    <hyperlink r:id="rId250" ref="E252"/>
    <hyperlink r:id="rId251" ref="E253"/>
    <hyperlink r:id="rId252" ref="E254"/>
    <hyperlink r:id="rId253" ref="E255"/>
    <hyperlink r:id="rId254" ref="E256"/>
    <hyperlink r:id="rId255" ref="E257"/>
    <hyperlink r:id="rId256" ref="E258"/>
    <hyperlink r:id="rId257" ref="E259"/>
    <hyperlink r:id="rId258" ref="E260"/>
    <hyperlink r:id="rId259" ref="E261"/>
    <hyperlink r:id="rId260" ref="E262"/>
    <hyperlink r:id="rId261" ref="E263"/>
    <hyperlink r:id="rId262" ref="E264"/>
    <hyperlink r:id="rId263" ref="E265"/>
    <hyperlink r:id="rId264" ref="E266"/>
    <hyperlink r:id="rId265" ref="E267"/>
    <hyperlink r:id="rId266" ref="E268"/>
    <hyperlink r:id="rId267" ref="E269"/>
    <hyperlink r:id="rId268" ref="E270"/>
    <hyperlink r:id="rId269" ref="E271"/>
    <hyperlink r:id="rId270" ref="E272"/>
    <hyperlink r:id="rId271" ref="E273"/>
    <hyperlink r:id="rId272" ref="E274"/>
    <hyperlink r:id="rId273" ref="E275"/>
    <hyperlink r:id="rId274" ref="E276"/>
    <hyperlink r:id="rId275" ref="E277"/>
    <hyperlink r:id="rId276" ref="E278"/>
    <hyperlink r:id="rId277" ref="E279"/>
    <hyperlink r:id="rId278" ref="E280"/>
    <hyperlink r:id="rId279" ref="E281"/>
    <hyperlink r:id="rId280" ref="E282"/>
    <hyperlink r:id="rId281" ref="E283"/>
    <hyperlink r:id="rId282" ref="E284"/>
    <hyperlink r:id="rId283" ref="E285"/>
    <hyperlink r:id="rId284" ref="E286"/>
    <hyperlink r:id="rId285" ref="E287"/>
    <hyperlink r:id="rId286" ref="E288"/>
    <hyperlink r:id="rId287" ref="E289"/>
    <hyperlink r:id="rId288" ref="E290"/>
    <hyperlink r:id="rId289" ref="E291"/>
    <hyperlink r:id="rId290" ref="E292"/>
    <hyperlink r:id="rId291" ref="E293"/>
    <hyperlink r:id="rId292" ref="E294"/>
    <hyperlink r:id="rId293" ref="E295"/>
    <hyperlink r:id="rId294" ref="E296"/>
    <hyperlink r:id="rId295" ref="E297"/>
    <hyperlink r:id="rId296" ref="E298"/>
    <hyperlink r:id="rId297" ref="E299"/>
    <hyperlink r:id="rId298" ref="E300"/>
    <hyperlink r:id="rId299" ref="E301"/>
    <hyperlink r:id="rId300" ref="E302"/>
    <hyperlink r:id="rId301" ref="E303"/>
    <hyperlink r:id="rId302" ref="E304"/>
    <hyperlink r:id="rId303" ref="E305"/>
    <hyperlink r:id="rId304" ref="E306"/>
    <hyperlink r:id="rId305" ref="E307"/>
    <hyperlink r:id="rId306" ref="E308"/>
    <hyperlink r:id="rId307" ref="E309"/>
    <hyperlink r:id="rId308" ref="E310"/>
    <hyperlink r:id="rId309" ref="E311"/>
    <hyperlink r:id="rId310" ref="E312"/>
    <hyperlink r:id="rId311" ref="E313"/>
    <hyperlink r:id="rId312" ref="E314"/>
    <hyperlink r:id="rId313" ref="E315"/>
    <hyperlink r:id="rId314" ref="E316"/>
    <hyperlink r:id="rId315" ref="E317"/>
    <hyperlink r:id="rId316" ref="E318"/>
    <hyperlink r:id="rId317" ref="E319"/>
    <hyperlink r:id="rId318" ref="E320"/>
    <hyperlink r:id="rId319" ref="E321"/>
    <hyperlink r:id="rId320" ref="E322"/>
    <hyperlink r:id="rId321" ref="E323"/>
    <hyperlink r:id="rId322" ref="E324"/>
    <hyperlink r:id="rId323" ref="E325"/>
    <hyperlink r:id="rId324" ref="E326"/>
    <hyperlink r:id="rId325" ref="E327"/>
    <hyperlink r:id="rId326" ref="E328"/>
    <hyperlink r:id="rId327" ref="E329"/>
    <hyperlink r:id="rId328" ref="E330"/>
    <hyperlink r:id="rId329" ref="E331"/>
    <hyperlink r:id="rId330" ref="E332"/>
    <hyperlink r:id="rId331" ref="E333"/>
    <hyperlink r:id="rId332" ref="E334"/>
    <hyperlink r:id="rId333" ref="E335"/>
    <hyperlink r:id="rId334" ref="E336"/>
    <hyperlink r:id="rId335" ref="E337"/>
    <hyperlink r:id="rId336" ref="E338"/>
    <hyperlink r:id="rId337" ref="E339"/>
    <hyperlink r:id="rId338" ref="E340"/>
    <hyperlink r:id="rId339" ref="E341"/>
    <hyperlink r:id="rId340" ref="E342"/>
    <hyperlink r:id="rId341" ref="E343"/>
    <hyperlink r:id="rId342" ref="E344"/>
    <hyperlink r:id="rId343" ref="E345"/>
    <hyperlink r:id="rId344" ref="E346"/>
    <hyperlink r:id="rId345" ref="E347"/>
    <hyperlink r:id="rId346" ref="E348"/>
    <hyperlink r:id="rId347" ref="E349"/>
    <hyperlink r:id="rId348" ref="E350"/>
    <hyperlink r:id="rId349" ref="E351"/>
    <hyperlink r:id="rId350" ref="E352"/>
    <hyperlink r:id="rId351" ref="E353"/>
    <hyperlink r:id="rId352" ref="E354"/>
    <hyperlink r:id="rId353" ref="E355"/>
    <hyperlink r:id="rId354" ref="E356"/>
    <hyperlink r:id="rId355" ref="E357"/>
    <hyperlink r:id="rId356" ref="E358"/>
    <hyperlink r:id="rId357" ref="E359"/>
    <hyperlink r:id="rId358" ref="E360"/>
    <hyperlink r:id="rId359" ref="E361"/>
    <hyperlink r:id="rId360" ref="E362"/>
    <hyperlink r:id="rId361" ref="E363"/>
    <hyperlink r:id="rId362" ref="E364"/>
    <hyperlink r:id="rId363" ref="E365"/>
    <hyperlink r:id="rId364" ref="E366"/>
    <hyperlink r:id="rId365" ref="E367"/>
    <hyperlink r:id="rId366" ref="E368"/>
    <hyperlink r:id="rId367" ref="E369"/>
    <hyperlink r:id="rId368" ref="E370"/>
    <hyperlink r:id="rId369" ref="E371"/>
    <hyperlink r:id="rId370" ref="E372"/>
    <hyperlink r:id="rId371" ref="E373"/>
    <hyperlink r:id="rId372" ref="E374"/>
    <hyperlink r:id="rId373" ref="E375"/>
    <hyperlink r:id="rId374" ref="E376"/>
    <hyperlink r:id="rId375" ref="E377"/>
    <hyperlink r:id="rId376" ref="E378"/>
    <hyperlink r:id="rId377" ref="E379"/>
    <hyperlink r:id="rId378" ref="E380"/>
    <hyperlink r:id="rId379" ref="E381"/>
    <hyperlink r:id="rId380" ref="E382"/>
    <hyperlink r:id="rId381" ref="E383"/>
    <hyperlink r:id="rId382" ref="E384"/>
    <hyperlink r:id="rId383" ref="E385"/>
    <hyperlink r:id="rId384" ref="E386"/>
    <hyperlink r:id="rId385" ref="E387"/>
    <hyperlink r:id="rId386" ref="E388"/>
    <hyperlink r:id="rId387" ref="E389"/>
    <hyperlink r:id="rId388" ref="E390"/>
    <hyperlink r:id="rId389" ref="E391"/>
    <hyperlink r:id="rId390" ref="E392"/>
    <hyperlink r:id="rId391" ref="E393"/>
    <hyperlink r:id="rId392" ref="E394"/>
    <hyperlink r:id="rId393" ref="E395"/>
    <hyperlink r:id="rId394" ref="E396"/>
    <hyperlink r:id="rId395" ref="E397"/>
    <hyperlink r:id="rId396" ref="E398"/>
    <hyperlink r:id="rId397" ref="E399"/>
    <hyperlink r:id="rId398" ref="E400"/>
    <hyperlink r:id="rId399" ref="E401"/>
  </hyperlinks>
  <drawing r:id="rId40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88"/>
    <col customWidth="1" min="3" max="3" width="10.38"/>
    <col customWidth="1" min="4" max="4" width="16.5"/>
    <col customWidth="1" min="14" max="14" width="10.63"/>
  </cols>
  <sheetData>
    <row r="1">
      <c r="A1" s="41"/>
      <c r="B1" s="42" t="s">
        <v>63</v>
      </c>
      <c r="C1" s="42" t="s">
        <v>64</v>
      </c>
      <c r="D1" s="42" t="s">
        <v>65</v>
      </c>
      <c r="E1" s="42" t="s">
        <v>66</v>
      </c>
      <c r="S1" s="36" t="s">
        <v>67</v>
      </c>
      <c r="W1" s="36" t="s">
        <v>68</v>
      </c>
      <c r="AA1" s="36" t="s">
        <v>69</v>
      </c>
    </row>
    <row r="2">
      <c r="A2" s="41"/>
      <c r="K2" s="43" t="s">
        <v>2</v>
      </c>
      <c r="L2" s="44" t="s">
        <v>70</v>
      </c>
      <c r="M2" s="45">
        <f>K4/400</f>
        <v>1</v>
      </c>
      <c r="N2" s="44" t="s">
        <v>71</v>
      </c>
    </row>
    <row r="3">
      <c r="A3" s="41" t="s">
        <v>49</v>
      </c>
      <c r="B3" s="39">
        <f>sum(C9:C408)</f>
        <v>963197</v>
      </c>
      <c r="C3" s="39">
        <f>AVERAGE(Scores!B2:AE2)</f>
        <v>761149.5714</v>
      </c>
      <c r="D3" s="39">
        <f>sum(Scores!B2:AE2)</f>
        <v>37296329</v>
      </c>
      <c r="E3" s="39">
        <f t="array" ref="E3">sum(byrow(Scores!B12:AE411,lambda(row,let(score,max(row),if(score,max(2500-score,1),0)))))</f>
        <v>867129</v>
      </c>
      <c r="K3" s="36" t="s">
        <v>72</v>
      </c>
      <c r="L3" s="36" t="s">
        <v>73</v>
      </c>
    </row>
    <row r="4">
      <c r="A4" s="41" t="s">
        <v>51</v>
      </c>
      <c r="B4" s="14">
        <f>IFERROR(__xludf.DUMMYFUNCTION("rows(filter(A9:A408,not(B9:B408="""")))"),400.0)</f>
        <v>400</v>
      </c>
      <c r="C4" s="46">
        <f>AVERAGE(Scores!B4:AE4)</f>
        <v>323.7346939</v>
      </c>
      <c r="D4" s="14">
        <f>IFERROR(__xludf.DUMMYFUNCTION("rows(let(a,FLATTEN(Scores!B12:AE411),filter(a,a)))"),15863.0)</f>
        <v>15863</v>
      </c>
      <c r="E4" s="14">
        <v>400.0</v>
      </c>
      <c r="K4" s="14">
        <f>IFERROR(__xludf.DUMMYFUNCTION("rows(filter(K9:K408,K9:K408))"),400.0)</f>
        <v>400</v>
      </c>
      <c r="L4" s="14">
        <f>IFERROR(__xludf.DUMMYFUNCTION("IFERROR(ROWS(FILTER(L9:L408, L9:L408)), 0)
"),0.0)</f>
        <v>0</v>
      </c>
    </row>
    <row r="5">
      <c r="A5" s="41" t="s">
        <v>52</v>
      </c>
      <c r="B5" s="47">
        <f>sum(B9:B408)</f>
        <v>36803</v>
      </c>
      <c r="C5" s="48">
        <f>AVERAGE(Scores!B5:AE5)</f>
        <v>48217.18367</v>
      </c>
      <c r="D5" s="47">
        <f>IFERROR(__xludf.DUMMYFUNCTION("SUM(FLATTEN(Scores!B12:AE411))"),2362642.0)</f>
        <v>2362642</v>
      </c>
      <c r="E5" s="47">
        <f t="array" ref="E5">sum(byrow(Scores!B12:AE411,lambda(row,max(row))))</f>
        <v>134342</v>
      </c>
    </row>
    <row r="6">
      <c r="A6" s="41" t="s">
        <v>53</v>
      </c>
      <c r="B6" s="49">
        <f>AVERAGE(B9:B408)</f>
        <v>92.0075</v>
      </c>
      <c r="C6" s="49">
        <f>AVERAGE(Scores!B6:AE6)</f>
        <v>143.6499379</v>
      </c>
      <c r="D6" s="49">
        <f>IFERROR(__xludf.DUMMYFUNCTION("AVERAGE(let(a,FLATTEN(Scores!B12:AE411),filter(a,a)))"),148.94042740969553)</f>
        <v>148.9404274</v>
      </c>
      <c r="E6" s="49">
        <f t="array" ref="E6">AVERAGE(byrow(Scores!B12:AE411,lambda(row,max(row))))</f>
        <v>335.855</v>
      </c>
    </row>
    <row r="7">
      <c r="A7" s="7"/>
    </row>
    <row r="8">
      <c r="A8" s="36" t="s">
        <v>56</v>
      </c>
      <c r="B8" s="36" t="s">
        <v>63</v>
      </c>
      <c r="C8" s="36" t="s">
        <v>49</v>
      </c>
      <c r="D8" s="36" t="s">
        <v>74</v>
      </c>
      <c r="E8" s="50" t="s">
        <v>75</v>
      </c>
      <c r="F8" s="50" t="s">
        <v>76</v>
      </c>
      <c r="G8" s="50" t="s">
        <v>77</v>
      </c>
      <c r="H8" s="50" t="s">
        <v>78</v>
      </c>
      <c r="I8" s="36" t="s">
        <v>69</v>
      </c>
      <c r="J8" s="36" t="s">
        <v>79</v>
      </c>
      <c r="K8" s="36" t="s">
        <v>56</v>
      </c>
      <c r="L8" s="36" t="s">
        <v>56</v>
      </c>
      <c r="O8" s="36" t="s">
        <v>80</v>
      </c>
      <c r="P8" s="36" t="s">
        <v>81</v>
      </c>
      <c r="S8" s="36" t="s">
        <v>56</v>
      </c>
      <c r="T8" s="36" t="s">
        <v>82</v>
      </c>
      <c r="U8" s="36" t="s">
        <v>49</v>
      </c>
      <c r="W8" s="36" t="s">
        <v>56</v>
      </c>
      <c r="X8" s="36" t="s">
        <v>82</v>
      </c>
      <c r="Y8" s="36" t="s">
        <v>49</v>
      </c>
      <c r="AA8" s="36" t="s">
        <v>56</v>
      </c>
      <c r="AB8" s="36" t="s">
        <v>69</v>
      </c>
      <c r="AC8" s="36" t="s">
        <v>82</v>
      </c>
    </row>
    <row r="9">
      <c r="A9" s="21">
        <f>HYPERLINK("https://arcprize.org/play?task=007bbfb7", 1)</f>
        <v>1</v>
      </c>
      <c r="B9" s="14">
        <f>IFERROR(__xludf.DUMMYFUNCTION("min(filter(Scores!B12:AX12,Scores!B12:AX12&gt;0))"),58.0)</f>
        <v>58</v>
      </c>
      <c r="C9" s="14">
        <f t="array" ref="C9:C408">IF(B9:B408="","",IF(2500-B9:B408&lt;=1,1,2500-B9:B408))</f>
        <v>2442</v>
      </c>
      <c r="D9" s="51" t="str">
        <f t="array" ref="D9">if(B9,if(countif(Scores!B12:AX12,B9)=1,concat("💎",XLOOKUP(B9,Scores!B12:AX12,Scores!B$1:AX$1)),concat("🥇 x",countif(Scores!B12:AX12,B9))),"")</f>
        <v>🥇 x3</v>
      </c>
      <c r="E9" s="14">
        <f>if(countif(Scores!B12:AX12,B9)=1,F9,-1)</f>
        <v>-1</v>
      </c>
      <c r="F9" s="14">
        <f t="shared" ref="F9:F408" si="1">if(B9,B9,-1)</f>
        <v>58</v>
      </c>
      <c r="G9" s="14">
        <f>IFERROR(__xludf.DUMMYFUNCTION("if(iferror(small(filter(Scores!B12:AX12,Scores!B12:AX12&gt;0),2),-1)&lt;&gt;F9,iferror(small(filter(Scores!B12:AX12,Scores!B12:AX12&gt;0),2),-1),-1)"),-1.0)</f>
        <v>-1</v>
      </c>
      <c r="H9" s="14">
        <f>IFERROR(__xludf.DUMMYFUNCTION("if(iferror(small(filter(Scores!B12:AX12,Scores!B12:AX12&gt;0),3),-1)&lt;&gt;iferror(small(filter(Scores!B12:AX12,Scores!B12:AX12&gt;0),2),-1),iferror(small(filter(Scores!B12:AX12,Scores!B12:AX12&gt;0),3),-1),-1)"),-1.0)</f>
        <v>-1</v>
      </c>
      <c r="I9" s="14">
        <f>IFERROR(__xludf.DUMMYFUNCTION("IFERROR(COLUMNS(filter(Scores!B12:AE12,Scores!B12:AE12)),"""")"),48.0)</f>
        <v>48</v>
      </c>
      <c r="J9" s="14">
        <f>COUNTIF(Scores!B12:AX12,B9)</f>
        <v>3</v>
      </c>
      <c r="K9" s="21">
        <f>IFERROR(__xludf.DUMMYFUNCTION("let(a,xlookup(K2,Scores!B1:AE1,Scores!B12:AE411),filter(A9:A408,not(a="""")))"),1.0)</f>
        <v>1</v>
      </c>
      <c r="L9" s="36" t="str">
        <f>IFERROR(__xludf.DUMMYFUNCTION("IFERROR(LET(a, XLOOKUP(K2, Scores!B1:AE1, Scores!B12:AE411), FILTER(A9:A408, a="""")), """")
"),"")</f>
        <v/>
      </c>
      <c r="N9" s="52">
        <v>1.0</v>
      </c>
      <c r="O9" s="14" t="str">
        <f t="shared" ref="O9:O49" si="2">CONCATENATE(N9,IF(N10&lt;1000,concat("-",N10-1),"+"))</f>
        <v>1-9</v>
      </c>
      <c r="P9" s="14">
        <f t="shared" ref="P9:P49" si="3">countif($B$9:$B$408,concat("&gt;=",N9))-countif($B$9:$B$408,concat("&gt;=",N10))</f>
        <v>0</v>
      </c>
      <c r="S9" s="21">
        <f t="array" ref="S9:U408">sort(A9:C408,2,true)</f>
        <v>155</v>
      </c>
      <c r="T9" s="14">
        <v>18.0</v>
      </c>
      <c r="U9" s="14">
        <v>2482.0</v>
      </c>
      <c r="W9" s="21">
        <f t="array" ref="W9:Y408">sort(A9:C408,2,false)</f>
        <v>366</v>
      </c>
      <c r="X9" s="14">
        <v>301.0</v>
      </c>
      <c r="Y9" s="14">
        <v>2199.0</v>
      </c>
      <c r="AA9" s="21">
        <f t="array" ref="AA9:AC408">sort({A9:A408,I9:I408,B9:B408},2,true,3,false)</f>
        <v>219</v>
      </c>
      <c r="AB9" s="14">
        <v>33.0</v>
      </c>
      <c r="AC9" s="14">
        <v>241.0</v>
      </c>
    </row>
    <row r="10">
      <c r="A10" s="27">
        <f>HYPERLINK("https://arcprize.org/play?task=00d62c1b", 2)</f>
        <v>2</v>
      </c>
      <c r="B10" s="14">
        <f>IFERROR(__xludf.DUMMYFUNCTION("min(filter(Scores!B13:AX13,Scores!B13:AX13&gt;0))"),86.0)</f>
        <v>86</v>
      </c>
      <c r="C10" s="14">
        <v>2414.0</v>
      </c>
      <c r="D10" s="51" t="str">
        <f t="array" ref="D10">if(B10,if(countif(Scores!B13:AX13,B10)=1,concat("💎",XLOOKUP(B10,Scores!B13:AX13,Scores!B$1:AX$1)),concat("🥇 x",countif(Scores!B13:AX13,B10))),"")</f>
        <v>💎jailctf merger</v>
      </c>
      <c r="E10" s="14">
        <f>if(countif(Scores!B13:AX13,B10)=1,F10,-1)</f>
        <v>86</v>
      </c>
      <c r="F10" s="14">
        <f t="shared" si="1"/>
        <v>86</v>
      </c>
      <c r="G10" s="14">
        <f>IFERROR(__xludf.DUMMYFUNCTION("if(iferror(small(filter(Scores!B13:AX13,Scores!B13:AX13&gt;0),2),-1)&lt;&gt;F10,iferror(small(filter(Scores!B13:AX13,Scores!B13:AX13&gt;0),2),-1),-1)"),88.0)</f>
        <v>88</v>
      </c>
      <c r="H10" s="14">
        <f>IFERROR(__xludf.DUMMYFUNCTION("if(iferror(small(filter(Scores!B13:AX13,Scores!B13:AX13&gt;0),3),-1)&lt;&gt;iferror(small(filter(Scores!B13:AX13,Scores!B13:AX13&gt;0),2),-1),iferror(small(filter(Scores!B13:AX13,Scores!B13:AX13&gt;0),3),-1),-1)"),-1.0)</f>
        <v>-1</v>
      </c>
      <c r="I10" s="14">
        <f>IFERROR(__xludf.DUMMYFUNCTION("IFERROR(COLUMNS(filter(Scores!B13:AE13,Scores!B13:AE13)),"""")"),45.0)</f>
        <v>45</v>
      </c>
      <c r="J10" s="14">
        <f>COUNTIF(Scores!B13:AX13,B10)</f>
        <v>1</v>
      </c>
      <c r="K10" s="21">
        <f>IFERROR(__xludf.DUMMYFUNCTION("""COMPUTED_VALUE"""),2.0)</f>
        <v>2</v>
      </c>
      <c r="L10" s="36"/>
      <c r="N10" s="52">
        <v>10.0</v>
      </c>
      <c r="O10" s="14" t="str">
        <f t="shared" si="2"/>
        <v>10-19</v>
      </c>
      <c r="P10" s="14">
        <f t="shared" si="3"/>
        <v>1</v>
      </c>
      <c r="S10" s="21">
        <v>116.0</v>
      </c>
      <c r="T10" s="14">
        <v>20.0</v>
      </c>
      <c r="U10" s="14">
        <v>2480.0</v>
      </c>
      <c r="W10" s="21">
        <v>96.0</v>
      </c>
      <c r="X10" s="14">
        <v>282.0</v>
      </c>
      <c r="Y10" s="14">
        <v>2218.0</v>
      </c>
      <c r="AA10" s="21">
        <v>285.0</v>
      </c>
      <c r="AB10" s="14">
        <v>33.0</v>
      </c>
      <c r="AC10" s="14">
        <v>226.0</v>
      </c>
    </row>
    <row r="11">
      <c r="A11" s="27">
        <f>HYPERLINK("https://arcprize.org/play?task=017c7c7b", 3)</f>
        <v>3</v>
      </c>
      <c r="B11" s="14">
        <f>IFERROR(__xludf.DUMMYFUNCTION("min(filter(Scores!B14:AX14,Scores!B14:AX14&gt;0))"),58.0)</f>
        <v>58</v>
      </c>
      <c r="C11" s="14">
        <v>2442.0</v>
      </c>
      <c r="D11" s="51" t="str">
        <f t="array" ref="D11">if(B11,if(countif(Scores!B14:AX14,B11)=1,concat("💎",XLOOKUP(B11,Scores!B14:AX14,Scores!B$1:AX$1)),concat("🥇 x",countif(Scores!B14:AX14,B11))),"")</f>
        <v>🥇 x11</v>
      </c>
      <c r="E11" s="14">
        <f>if(countif(Scores!B14:AX14,B11)=1,F11,-1)</f>
        <v>-1</v>
      </c>
      <c r="F11" s="14">
        <f t="shared" si="1"/>
        <v>58</v>
      </c>
      <c r="G11" s="14">
        <f>IFERROR(__xludf.DUMMYFUNCTION("if(iferror(small(filter(Scores!B14:AX14,Scores!B14:AX14&gt;0),2),-1)&lt;&gt;F11,iferror(small(filter(Scores!B14:AX14,Scores!B14:AX14&gt;0),2),-1),-1)"),-1.0)</f>
        <v>-1</v>
      </c>
      <c r="H11" s="14">
        <f>IFERROR(__xludf.DUMMYFUNCTION("if(iferror(small(filter(Scores!B14:AX14,Scores!B14:AX14&gt;0),3),-1)&lt;&gt;iferror(small(filter(Scores!B14:AX14,Scores!B14:AX14&gt;0),2),-1),iferror(small(filter(Scores!B14:AX14,Scores!B14:AX14&gt;0),3),-1),-1)"),-1.0)</f>
        <v>-1</v>
      </c>
      <c r="I11" s="14">
        <f>IFERROR(__xludf.DUMMYFUNCTION("IFERROR(COLUMNS(filter(Scores!B14:AE14,Scores!B14:AE14)),"""")"),46.0)</f>
        <v>46</v>
      </c>
      <c r="J11" s="14">
        <f>COUNTIF(Scores!B14:AX14,B11)</f>
        <v>11</v>
      </c>
      <c r="K11" s="21">
        <f>IFERROR(__xludf.DUMMYFUNCTION("""COMPUTED_VALUE"""),3.0)</f>
        <v>3</v>
      </c>
      <c r="L11" s="36"/>
      <c r="N11" s="52">
        <f t="shared" ref="N11:N49" si="4">N10+10</f>
        <v>20</v>
      </c>
      <c r="O11" s="14" t="str">
        <f t="shared" si="2"/>
        <v>20-29</v>
      </c>
      <c r="P11" s="14">
        <f t="shared" si="3"/>
        <v>11</v>
      </c>
      <c r="S11" s="21">
        <v>172.0</v>
      </c>
      <c r="T11" s="14">
        <v>20.0</v>
      </c>
      <c r="U11" s="14">
        <v>2480.0</v>
      </c>
      <c r="W11" s="21">
        <v>18.0</v>
      </c>
      <c r="X11" s="14">
        <v>275.0</v>
      </c>
      <c r="Y11" s="14">
        <v>2225.0</v>
      </c>
      <c r="AA11" s="21">
        <v>255.0</v>
      </c>
      <c r="AB11" s="14">
        <v>33.0</v>
      </c>
      <c r="AC11" s="14">
        <v>212.0</v>
      </c>
    </row>
    <row r="12">
      <c r="A12" s="27">
        <f>HYPERLINK("https://arcprize.org/play?task=025d127b", 4)</f>
        <v>4</v>
      </c>
      <c r="B12" s="14">
        <f>IFERROR(__xludf.DUMMYFUNCTION("min(filter(Scores!B15:AX15,Scores!B15:AX15&gt;0))"),73.0)</f>
        <v>73</v>
      </c>
      <c r="C12" s="14">
        <v>2427.0</v>
      </c>
      <c r="D12" s="51" t="str">
        <f t="array" ref="D12">if(B12,if(countif(Scores!B15:AX15,B12)=1,concat("💎",XLOOKUP(B12,Scores!B15:AX15,Scores!B$1:AX$1)),concat("🥇 x",countif(Scores!B15:AX15,B12))),"")</f>
        <v>💎ox jam</v>
      </c>
      <c r="E12" s="14">
        <f>if(countif(Scores!B15:AX15,B12)=1,F12,-1)</f>
        <v>73</v>
      </c>
      <c r="F12" s="14">
        <f t="shared" si="1"/>
        <v>73</v>
      </c>
      <c r="G12" s="14">
        <f>IFERROR(__xludf.DUMMYFUNCTION("if(iferror(small(filter(Scores!B15:AX15,Scores!B15:AX15&gt;0),2),-1)&lt;&gt;F12,iferror(small(filter(Scores!B15:AX15,Scores!B15:AX15&gt;0),2),-1),-1)"),74.0)</f>
        <v>74</v>
      </c>
      <c r="H12" s="14">
        <f>IFERROR(__xludf.DUMMYFUNCTION("if(iferror(small(filter(Scores!B15:AX15,Scores!B15:AX15&gt;0),3),-1)&lt;&gt;iferror(small(filter(Scores!B15:AX15,Scores!B15:AX15&gt;0),2),-1),iferror(small(filter(Scores!B15:AX15,Scores!B15:AX15&gt;0),3),-1),-1)"),79.0)</f>
        <v>79</v>
      </c>
      <c r="I12" s="14">
        <f>IFERROR(__xludf.DUMMYFUNCTION("IFERROR(COLUMNS(filter(Scores!B15:AE15,Scores!B15:AE15)),"""")"),42.0)</f>
        <v>42</v>
      </c>
      <c r="J12" s="14">
        <f>COUNTIF(Scores!B15:AX15,B12)</f>
        <v>1</v>
      </c>
      <c r="K12" s="21">
        <f>IFERROR(__xludf.DUMMYFUNCTION("""COMPUTED_VALUE"""),4.0)</f>
        <v>4</v>
      </c>
      <c r="L12" s="36"/>
      <c r="N12" s="52">
        <f t="shared" si="4"/>
        <v>30</v>
      </c>
      <c r="O12" s="14" t="str">
        <f t="shared" si="2"/>
        <v>30-39</v>
      </c>
      <c r="P12" s="14">
        <f t="shared" si="3"/>
        <v>18</v>
      </c>
      <c r="S12" s="21">
        <v>210.0</v>
      </c>
      <c r="T12" s="14">
        <v>20.0</v>
      </c>
      <c r="U12" s="14">
        <v>2480.0</v>
      </c>
      <c r="W12" s="21">
        <v>133.0</v>
      </c>
      <c r="X12" s="14">
        <v>273.0</v>
      </c>
      <c r="Y12" s="14">
        <v>2227.0</v>
      </c>
      <c r="AA12" s="21">
        <v>86.0</v>
      </c>
      <c r="AB12" s="14">
        <v>33.0</v>
      </c>
      <c r="AC12" s="14">
        <v>151.0</v>
      </c>
    </row>
    <row r="13">
      <c r="A13" s="27">
        <f>HYPERLINK("https://arcprize.org/play?task=045e512c", 5)</f>
        <v>5</v>
      </c>
      <c r="B13" s="14">
        <f>IFERROR(__xludf.DUMMYFUNCTION("min(filter(Scores!B16:AX16,Scores!B16:AX16&gt;0))"),166.0)</f>
        <v>166</v>
      </c>
      <c r="C13" s="14">
        <v>2334.0</v>
      </c>
      <c r="D13" s="51" t="str">
        <f t="array" ref="D13">if(B13,if(countif(Scores!B16:AX16,B13)=1,concat("💎",XLOOKUP(B13,Scores!B16:AX16,Scores!B$1:AX$1)),concat("🥇 x",countif(Scores!B16:AX16,B13))),"")</f>
        <v>💎jailctf merger</v>
      </c>
      <c r="E13" s="14">
        <f>if(countif(Scores!B16:AX16,B13)=1,F13,-1)</f>
        <v>166</v>
      </c>
      <c r="F13" s="14">
        <f t="shared" si="1"/>
        <v>166</v>
      </c>
      <c r="G13" s="14">
        <f>IFERROR(__xludf.DUMMYFUNCTION("if(iferror(small(filter(Scores!B16:AX16,Scores!B16:AX16&gt;0),2),-1)&lt;&gt;F13,iferror(small(filter(Scores!B16:AX16,Scores!B16:AX16&gt;0),2),-1),-1)"),174.0)</f>
        <v>174</v>
      </c>
      <c r="H13" s="14">
        <f>IFERROR(__xludf.DUMMYFUNCTION("if(iferror(small(filter(Scores!B16:AX16,Scores!B16:AX16&gt;0),3),-1)&lt;&gt;iferror(small(filter(Scores!B16:AX16,Scores!B16:AX16&gt;0),2),-1),iferror(small(filter(Scores!B16:AX16,Scores!B16:AX16&gt;0),3),-1),-1)"),199.0)</f>
        <v>199</v>
      </c>
      <c r="I13" s="14">
        <f>IFERROR(__xludf.DUMMYFUNCTION("IFERROR(COLUMNS(filter(Scores!B16:AE16,Scores!B16:AE16)),"""")"),38.0)</f>
        <v>38</v>
      </c>
      <c r="J13" s="14">
        <f>COUNTIF(Scores!B16:AX16,B13)</f>
        <v>1</v>
      </c>
      <c r="K13" s="21">
        <f>IFERROR(__xludf.DUMMYFUNCTION("""COMPUTED_VALUE"""),5.0)</f>
        <v>5</v>
      </c>
      <c r="L13" s="36"/>
      <c r="N13" s="52">
        <f t="shared" si="4"/>
        <v>40</v>
      </c>
      <c r="O13" s="14" t="str">
        <f t="shared" si="2"/>
        <v>40-49</v>
      </c>
      <c r="P13" s="14">
        <f t="shared" si="3"/>
        <v>29</v>
      </c>
      <c r="S13" s="21">
        <v>53.0</v>
      </c>
      <c r="T13" s="14">
        <v>21.0</v>
      </c>
      <c r="U13" s="14">
        <v>2479.0</v>
      </c>
      <c r="W13" s="21">
        <v>54.0</v>
      </c>
      <c r="X13" s="14">
        <v>266.0</v>
      </c>
      <c r="Y13" s="14">
        <v>2234.0</v>
      </c>
      <c r="AA13" s="21">
        <v>205.0</v>
      </c>
      <c r="AB13" s="14">
        <v>33.0</v>
      </c>
      <c r="AC13" s="14">
        <v>134.0</v>
      </c>
    </row>
    <row r="14">
      <c r="A14" s="27">
        <f>HYPERLINK("https://arcprize.org/play?task=0520fde7", 6)</f>
        <v>6</v>
      </c>
      <c r="B14" s="14">
        <f>IFERROR(__xludf.DUMMYFUNCTION("min(filter(Scores!B17:AX17,Scores!B17:AX17&gt;0))"),49.0)</f>
        <v>49</v>
      </c>
      <c r="C14" s="14">
        <v>2451.0</v>
      </c>
      <c r="D14" s="51" t="str">
        <f t="array" ref="D14">if(B14,if(countif(Scores!B17:AX17,B14)=1,concat("💎",XLOOKUP(B14,Scores!B17:AX17,Scores!B$1:AX$1)),concat("🥇 x",countif(Scores!B17:AX17,B14))),"")</f>
        <v>🥇 x4</v>
      </c>
      <c r="E14" s="14">
        <f>if(countif(Scores!B17:AX17,B14)=1,F14,-1)</f>
        <v>-1</v>
      </c>
      <c r="F14" s="14">
        <f t="shared" si="1"/>
        <v>49</v>
      </c>
      <c r="G14" s="14">
        <f>IFERROR(__xludf.DUMMYFUNCTION("if(iferror(small(filter(Scores!B17:AX17,Scores!B17:AX17&gt;0),2),-1)&lt;&gt;F14,iferror(small(filter(Scores!B17:AX17,Scores!B17:AX17&gt;0),2),-1),-1)"),-1.0)</f>
        <v>-1</v>
      </c>
      <c r="H14" s="14">
        <f>IFERROR(__xludf.DUMMYFUNCTION("if(iferror(small(filter(Scores!B17:AX17,Scores!B17:AX17&gt;0),3),-1)&lt;&gt;iferror(small(filter(Scores!B17:AX17,Scores!B17:AX17&gt;0),2),-1),iferror(small(filter(Scores!B17:AX17,Scores!B17:AX17&gt;0),3),-1),-1)"),-1.0)</f>
        <v>-1</v>
      </c>
      <c r="I14" s="14">
        <f>IFERROR(__xludf.DUMMYFUNCTION("IFERROR(COLUMNS(filter(Scores!B17:AE17,Scores!B17:AE17)),"""")"),47.0)</f>
        <v>47</v>
      </c>
      <c r="J14" s="14">
        <f>COUNTIF(Scores!B17:AX17,B14)</f>
        <v>4</v>
      </c>
      <c r="K14" s="21">
        <f>IFERROR(__xludf.DUMMYFUNCTION("""COMPUTED_VALUE"""),6.0)</f>
        <v>6</v>
      </c>
      <c r="L14" s="36"/>
      <c r="N14" s="52">
        <f t="shared" si="4"/>
        <v>50</v>
      </c>
      <c r="O14" s="14" t="str">
        <f t="shared" si="2"/>
        <v>50-59</v>
      </c>
      <c r="P14" s="14">
        <f t="shared" si="3"/>
        <v>49</v>
      </c>
      <c r="S14" s="21">
        <v>179.0</v>
      </c>
      <c r="T14" s="14">
        <v>21.0</v>
      </c>
      <c r="U14" s="14">
        <v>2479.0</v>
      </c>
      <c r="W14" s="21">
        <v>233.0</v>
      </c>
      <c r="X14" s="14">
        <v>261.0</v>
      </c>
      <c r="Y14" s="14">
        <v>2239.0</v>
      </c>
      <c r="AA14" s="21">
        <v>367.0</v>
      </c>
      <c r="AB14" s="14">
        <v>33.0</v>
      </c>
      <c r="AC14" s="14">
        <v>126.0</v>
      </c>
    </row>
    <row r="15">
      <c r="A15" s="27">
        <f>HYPERLINK("https://arcprize.org/play?task=05269061", 7)</f>
        <v>7</v>
      </c>
      <c r="B15" s="14">
        <f>IFERROR(__xludf.DUMMYFUNCTION("min(filter(Scores!B18:AX18,Scores!B18:AX18&gt;0))"),62.0)</f>
        <v>62</v>
      </c>
      <c r="C15" s="14">
        <v>2438.0</v>
      </c>
      <c r="D15" s="51" t="str">
        <f t="array" ref="D15">if(B15,if(countif(Scores!B18:AX18,B15)=1,concat("💎",XLOOKUP(B15,Scores!B18:AX18,Scores!B$1:AX$1)),concat("🥇 x",countif(Scores!B18:AX18,B15))),"")</f>
        <v>🥇 x2</v>
      </c>
      <c r="E15" s="14">
        <f>if(countif(Scores!B18:AX18,B15)=1,F15,-1)</f>
        <v>-1</v>
      </c>
      <c r="F15" s="14">
        <f t="shared" si="1"/>
        <v>62</v>
      </c>
      <c r="G15" s="14">
        <f>IFERROR(__xludf.DUMMYFUNCTION("if(iferror(small(filter(Scores!B18:AX18,Scores!B18:AX18&gt;0),2),-1)&lt;&gt;F15,iferror(small(filter(Scores!B18:AX18,Scores!B18:AX18&gt;0),2),-1),-1)"),-1.0)</f>
        <v>-1</v>
      </c>
      <c r="H15" s="14">
        <f>IFERROR(__xludf.DUMMYFUNCTION("if(iferror(small(filter(Scores!B18:AX18,Scores!B18:AX18&gt;0),3),-1)&lt;&gt;iferror(small(filter(Scores!B18:AX18,Scores!B18:AX18&gt;0),2),-1),iferror(small(filter(Scores!B18:AX18,Scores!B18:AX18&gt;0),3),-1),-1)"),63.0)</f>
        <v>63</v>
      </c>
      <c r="I15" s="14">
        <f>IFERROR(__xludf.DUMMYFUNCTION("IFERROR(COLUMNS(filter(Scores!B18:AE18,Scores!B18:AE18)),"""")"),44.0)</f>
        <v>44</v>
      </c>
      <c r="J15" s="14">
        <f>COUNTIF(Scores!B18:AX18,B15)</f>
        <v>2</v>
      </c>
      <c r="K15" s="21">
        <f>IFERROR(__xludf.DUMMYFUNCTION("""COMPUTED_VALUE"""),7.0)</f>
        <v>7</v>
      </c>
      <c r="L15" s="36"/>
      <c r="N15" s="52">
        <f t="shared" si="4"/>
        <v>60</v>
      </c>
      <c r="O15" s="14" t="str">
        <f t="shared" si="2"/>
        <v>60-69</v>
      </c>
      <c r="P15" s="14">
        <f t="shared" si="3"/>
        <v>47</v>
      </c>
      <c r="S15" s="21">
        <v>241.0</v>
      </c>
      <c r="T15" s="14">
        <v>21.0</v>
      </c>
      <c r="U15" s="14">
        <v>2479.0</v>
      </c>
      <c r="W15" s="21">
        <v>158.0</v>
      </c>
      <c r="X15" s="14">
        <v>260.0</v>
      </c>
      <c r="Y15" s="14">
        <v>2240.0</v>
      </c>
      <c r="AA15" s="21">
        <v>76.0</v>
      </c>
      <c r="AB15" s="14">
        <v>34.0</v>
      </c>
      <c r="AC15" s="14">
        <v>258.0</v>
      </c>
    </row>
    <row r="16">
      <c r="A16" s="27">
        <f>HYPERLINK("https://arcprize.org/play?task=05f2a901", 8)</f>
        <v>8</v>
      </c>
      <c r="B16" s="14">
        <f>IFERROR(__xludf.DUMMYFUNCTION("min(filter(Scores!B19:AX19,Scores!B19:AX19&gt;0))"),84.0)</f>
        <v>84</v>
      </c>
      <c r="C16" s="14">
        <v>2416.0</v>
      </c>
      <c r="D16" s="51" t="str">
        <f t="array" ref="D16">if(B16,if(countif(Scores!B19:AX19,B16)=1,concat("💎",XLOOKUP(B16,Scores!B19:AX19,Scores!B$1:AX$1)),concat("🥇 x",countif(Scores!B19:AX19,B16))),"")</f>
        <v>🥇 x2</v>
      </c>
      <c r="E16" s="14">
        <f>if(countif(Scores!B19:AX19,B16)=1,F16,-1)</f>
        <v>-1</v>
      </c>
      <c r="F16" s="14">
        <f t="shared" si="1"/>
        <v>84</v>
      </c>
      <c r="G16" s="14">
        <f>IFERROR(__xludf.DUMMYFUNCTION("if(iferror(small(filter(Scores!B19:AX19,Scores!B19:AX19&gt;0),2),-1)&lt;&gt;F16,iferror(small(filter(Scores!B19:AX19,Scores!B19:AX19&gt;0),2),-1),-1)"),-1.0)</f>
        <v>-1</v>
      </c>
      <c r="H16" s="14">
        <f>IFERROR(__xludf.DUMMYFUNCTION("if(iferror(small(filter(Scores!B19:AX19,Scores!B19:AX19&gt;0),3),-1)&lt;&gt;iferror(small(filter(Scores!B19:AX19,Scores!B19:AX19&gt;0),2),-1),iferror(small(filter(Scores!B19:AX19,Scores!B19:AX19&gt;0),3),-1),-1)"),90.0)</f>
        <v>90</v>
      </c>
      <c r="I16" s="14">
        <f>IFERROR(__xludf.DUMMYFUNCTION("IFERROR(COLUMNS(filter(Scores!B19:AE19,Scores!B19:AE19)),"""")"),40.0)</f>
        <v>40</v>
      </c>
      <c r="J16" s="14">
        <f>COUNTIF(Scores!B19:AX19,B16)</f>
        <v>2</v>
      </c>
      <c r="K16" s="21">
        <f>IFERROR(__xludf.DUMMYFUNCTION("""COMPUTED_VALUE"""),8.0)</f>
        <v>8</v>
      </c>
      <c r="L16" s="36"/>
      <c r="N16" s="52">
        <f t="shared" si="4"/>
        <v>70</v>
      </c>
      <c r="O16" s="14" t="str">
        <f t="shared" si="2"/>
        <v>70-79</v>
      </c>
      <c r="P16" s="14">
        <f t="shared" si="3"/>
        <v>34</v>
      </c>
      <c r="S16" s="21">
        <v>113.0</v>
      </c>
      <c r="T16" s="14">
        <v>25.0</v>
      </c>
      <c r="U16" s="14">
        <v>2475.0</v>
      </c>
      <c r="W16" s="21">
        <v>76.0</v>
      </c>
      <c r="X16" s="14">
        <v>258.0</v>
      </c>
      <c r="Y16" s="14">
        <v>2242.0</v>
      </c>
      <c r="AA16" s="21">
        <v>101.0</v>
      </c>
      <c r="AB16" s="14">
        <v>34.0</v>
      </c>
      <c r="AC16" s="14">
        <v>258.0</v>
      </c>
    </row>
    <row r="17">
      <c r="A17" s="27">
        <f>HYPERLINK("https://arcprize.org/play?task=06df4c85", 9)</f>
        <v>9</v>
      </c>
      <c r="B17" s="14">
        <f>IFERROR(__xludf.DUMMYFUNCTION("min(filter(Scores!B20:AX20,Scores!B20:AX20&gt;0))"),95.0)</f>
        <v>95</v>
      </c>
      <c r="C17" s="14">
        <v>2405.0</v>
      </c>
      <c r="D17" s="51" t="str">
        <f t="array" ref="D17">if(B17,if(countif(Scores!B20:AX20,B17)=1,concat("💎",XLOOKUP(B17,Scores!B20:AX20,Scores!B$1:AX$1)),concat("🥇 x",countif(Scores!B20:AX20,B17))),"")</f>
        <v>💎Code Golf International</v>
      </c>
      <c r="E17" s="14">
        <f>if(countif(Scores!B20:AX20,B17)=1,F17,-1)</f>
        <v>95</v>
      </c>
      <c r="F17" s="14">
        <f t="shared" si="1"/>
        <v>95</v>
      </c>
      <c r="G17" s="14">
        <f>IFERROR(__xludf.DUMMYFUNCTION("if(iferror(small(filter(Scores!B20:AX20,Scores!B20:AX20&gt;0),2),-1)&lt;&gt;F17,iferror(small(filter(Scores!B20:AX20,Scores!B20:AX20&gt;0),2),-1),-1)"),107.0)</f>
        <v>107</v>
      </c>
      <c r="H17" s="14">
        <f>IFERROR(__xludf.DUMMYFUNCTION("if(iferror(small(filter(Scores!B20:AX20,Scores!B20:AX20&gt;0),3),-1)&lt;&gt;iferror(small(filter(Scores!B20:AX20,Scores!B20:AX20&gt;0),2),-1),iferror(small(filter(Scores!B20:AX20,Scores!B20:AX20&gt;0),3),-1),-1)"),108.0)</f>
        <v>108</v>
      </c>
      <c r="I17" s="14">
        <f>IFERROR(__xludf.DUMMYFUNCTION("IFERROR(COLUMNS(filter(Scores!B20:AE20,Scores!B20:AE20)),"""")"),41.0)</f>
        <v>41</v>
      </c>
      <c r="J17" s="14">
        <f>COUNTIF(Scores!B20:AX20,B17)</f>
        <v>1</v>
      </c>
      <c r="K17" s="21">
        <f>IFERROR(__xludf.DUMMYFUNCTION("""COMPUTED_VALUE"""),9.0)</f>
        <v>9</v>
      </c>
      <c r="L17" s="36"/>
      <c r="N17" s="52">
        <f t="shared" si="4"/>
        <v>80</v>
      </c>
      <c r="O17" s="14" t="str">
        <f t="shared" si="2"/>
        <v>80-89</v>
      </c>
      <c r="P17" s="14">
        <f t="shared" si="3"/>
        <v>43</v>
      </c>
      <c r="S17" s="21">
        <v>385.0</v>
      </c>
      <c r="T17" s="14">
        <v>25.0</v>
      </c>
      <c r="U17" s="14">
        <v>2475.0</v>
      </c>
      <c r="W17" s="21">
        <v>101.0</v>
      </c>
      <c r="X17" s="14">
        <v>258.0</v>
      </c>
      <c r="Y17" s="14">
        <v>2242.0</v>
      </c>
      <c r="AA17" s="21">
        <v>209.0</v>
      </c>
      <c r="AB17" s="14">
        <v>34.0</v>
      </c>
      <c r="AC17" s="14">
        <v>247.0</v>
      </c>
    </row>
    <row r="18">
      <c r="A18" s="27">
        <f>HYPERLINK("https://arcprize.org/play?task=08ed6ac7", 10)</f>
        <v>10</v>
      </c>
      <c r="B18" s="14">
        <f>IFERROR(__xludf.DUMMYFUNCTION("min(filter(Scores!B21:AX21,Scores!B21:AX21&gt;0))"),66.0)</f>
        <v>66</v>
      </c>
      <c r="C18" s="14">
        <v>2434.0</v>
      </c>
      <c r="D18" s="51" t="str">
        <f t="array" ref="D18">if(B18,if(countif(Scores!B21:AX21,B18)=1,concat("💎",XLOOKUP(B18,Scores!B21:AX21,Scores!B$1:AX$1)),concat("🥇 x",countif(Scores!B21:AX21,B18))),"")</f>
        <v>💎Code Golf International</v>
      </c>
      <c r="E18" s="14">
        <f>if(countif(Scores!B21:AX21,B18)=1,F18,-1)</f>
        <v>66</v>
      </c>
      <c r="F18" s="14">
        <f t="shared" si="1"/>
        <v>66</v>
      </c>
      <c r="G18" s="14">
        <f>IFERROR(__xludf.DUMMYFUNCTION("if(iferror(small(filter(Scores!B21:AX21,Scores!B21:AX21&gt;0),2),-1)&lt;&gt;F18,iferror(small(filter(Scores!B21:AX21,Scores!B21:AX21&gt;0),2),-1),-1)"),67.0)</f>
        <v>67</v>
      </c>
      <c r="H18" s="14">
        <f>IFERROR(__xludf.DUMMYFUNCTION("if(iferror(small(filter(Scores!B21:AX21,Scores!B21:AX21&gt;0),3),-1)&lt;&gt;iferror(small(filter(Scores!B21:AX21,Scores!B21:AX21&gt;0),2),-1),iferror(small(filter(Scores!B21:AX21,Scores!B21:AX21&gt;0),3),-1),-1)"),-1.0)</f>
        <v>-1</v>
      </c>
      <c r="I18" s="14">
        <f>IFERROR(__xludf.DUMMYFUNCTION("IFERROR(COLUMNS(filter(Scores!B21:AE21,Scores!B21:AE21)),"""")"),45.0)</f>
        <v>45</v>
      </c>
      <c r="J18" s="14">
        <f>COUNTIF(Scores!B21:AX21,B18)</f>
        <v>1</v>
      </c>
      <c r="K18" s="21">
        <f>IFERROR(__xludf.DUMMYFUNCTION("""COMPUTED_VALUE"""),10.0)</f>
        <v>10</v>
      </c>
      <c r="L18" s="36"/>
      <c r="N18" s="52">
        <f t="shared" si="4"/>
        <v>90</v>
      </c>
      <c r="O18" s="14" t="str">
        <f t="shared" si="2"/>
        <v>90-99</v>
      </c>
      <c r="P18" s="14">
        <f t="shared" si="3"/>
        <v>39</v>
      </c>
      <c r="S18" s="21">
        <v>249.0</v>
      </c>
      <c r="T18" s="14">
        <v>26.0</v>
      </c>
      <c r="U18" s="14">
        <v>2474.0</v>
      </c>
      <c r="W18" s="21">
        <v>209.0</v>
      </c>
      <c r="X18" s="14">
        <v>247.0</v>
      </c>
      <c r="Y18" s="14">
        <v>2253.0</v>
      </c>
      <c r="AA18" s="21">
        <v>89.0</v>
      </c>
      <c r="AB18" s="14">
        <v>34.0</v>
      </c>
      <c r="AC18" s="14">
        <v>232.0</v>
      </c>
    </row>
    <row r="19">
      <c r="A19" s="27">
        <f>HYPERLINK("https://arcprize.org/play?task=09629e4f", 11)</f>
        <v>11</v>
      </c>
      <c r="B19" s="14">
        <f>IFERROR(__xludf.DUMMYFUNCTION("min(filter(Scores!B22:AX22,Scores!B22:AX22&gt;0))"),114.0)</f>
        <v>114</v>
      </c>
      <c r="C19" s="14">
        <v>2386.0</v>
      </c>
      <c r="D19" s="51" t="str">
        <f t="array" ref="D19">if(B19,if(countif(Scores!B22:AX22,B19)=1,concat("💎",XLOOKUP(B19,Scores!B22:AX22,Scores!B$1:AX$1)),concat("🥇 x",countif(Scores!B22:AX22,B19))),"")</f>
        <v>💎ox jam</v>
      </c>
      <c r="E19" s="14">
        <f>if(countif(Scores!B22:AX22,B19)=1,F19,-1)</f>
        <v>114</v>
      </c>
      <c r="F19" s="14">
        <f t="shared" si="1"/>
        <v>114</v>
      </c>
      <c r="G19" s="14">
        <f>IFERROR(__xludf.DUMMYFUNCTION("if(iferror(small(filter(Scores!B22:AX22,Scores!B22:AX22&gt;0),2),-1)&lt;&gt;F19,iferror(small(filter(Scores!B22:AX22,Scores!B22:AX22&gt;0),2),-1),-1)"),120.0)</f>
        <v>120</v>
      </c>
      <c r="H19" s="14">
        <f>IFERROR(__xludf.DUMMYFUNCTION("if(iferror(small(filter(Scores!B22:AX22,Scores!B22:AX22&gt;0),3),-1)&lt;&gt;iferror(small(filter(Scores!B22:AX22,Scores!B22:AX22&gt;0),2),-1),iferror(small(filter(Scores!B22:AX22,Scores!B22:AX22&gt;0),3),-1),-1)"),121.0)</f>
        <v>121</v>
      </c>
      <c r="I19" s="14">
        <f>IFERROR(__xludf.DUMMYFUNCTION("IFERROR(COLUMNS(filter(Scores!B22:AE22,Scores!B22:AE22)),"""")"),42.0)</f>
        <v>42</v>
      </c>
      <c r="J19" s="14">
        <f>COUNTIF(Scores!B22:AX22,B19)</f>
        <v>1</v>
      </c>
      <c r="K19" s="21">
        <f>IFERROR(__xludf.DUMMYFUNCTION("""COMPUTED_VALUE"""),11.0)</f>
        <v>11</v>
      </c>
      <c r="L19" s="36"/>
      <c r="N19" s="52">
        <f t="shared" si="4"/>
        <v>100</v>
      </c>
      <c r="O19" s="14" t="str">
        <f t="shared" si="2"/>
        <v>100-109</v>
      </c>
      <c r="P19" s="14">
        <f t="shared" si="3"/>
        <v>30</v>
      </c>
      <c r="S19" s="21">
        <v>380.0</v>
      </c>
      <c r="T19" s="14">
        <v>27.0</v>
      </c>
      <c r="U19" s="14">
        <v>2473.0</v>
      </c>
      <c r="W19" s="21">
        <v>219.0</v>
      </c>
      <c r="X19" s="14">
        <v>241.0</v>
      </c>
      <c r="Y19" s="14">
        <v>2259.0</v>
      </c>
      <c r="AA19" s="21">
        <v>80.0</v>
      </c>
      <c r="AB19" s="14">
        <v>34.0</v>
      </c>
      <c r="AC19" s="14">
        <v>231.0</v>
      </c>
    </row>
    <row r="20">
      <c r="A20" s="27">
        <f>HYPERLINK("https://arcprize.org/play?task=0962bcdd", 12)</f>
        <v>12</v>
      </c>
      <c r="B20" s="14">
        <f>IFERROR(__xludf.DUMMYFUNCTION("min(filter(Scores!B23:AX23,Scores!B23:AX23&gt;0))"),122.0)</f>
        <v>122</v>
      </c>
      <c r="C20" s="14">
        <v>2378.0</v>
      </c>
      <c r="D20" s="51" t="str">
        <f t="array" ref="D20">if(B20,if(countif(Scores!B23:AX23,B20)=1,concat("💎",XLOOKUP(B20,Scores!B23:AX23,Scores!B$1:AX$1)),concat("🥇 x",countif(Scores!B23:AX23,B20))),"")</f>
        <v>💎Code Golf International</v>
      </c>
      <c r="E20" s="14">
        <f>if(countif(Scores!B23:AX23,B20)=1,F20,-1)</f>
        <v>122</v>
      </c>
      <c r="F20" s="14">
        <f t="shared" si="1"/>
        <v>122</v>
      </c>
      <c r="G20" s="14">
        <f>IFERROR(__xludf.DUMMYFUNCTION("if(iferror(small(filter(Scores!B23:AX23,Scores!B23:AX23&gt;0),2),-1)&lt;&gt;F20,iferror(small(filter(Scores!B23:AX23,Scores!B23:AX23&gt;0),2),-1),-1)"),126.0)</f>
        <v>126</v>
      </c>
      <c r="H20" s="14">
        <f>IFERROR(__xludf.DUMMYFUNCTION("if(iferror(small(filter(Scores!B23:AX23,Scores!B23:AX23&gt;0),3),-1)&lt;&gt;iferror(small(filter(Scores!B23:AX23,Scores!B23:AX23&gt;0),2),-1),iferror(small(filter(Scores!B23:AX23,Scores!B23:AX23&gt;0),3),-1),-1)"),129.0)</f>
        <v>129</v>
      </c>
      <c r="I20" s="14">
        <f>IFERROR(__xludf.DUMMYFUNCTION("IFERROR(COLUMNS(filter(Scores!B23:AE23,Scores!B23:AE23)),"""")"),40.0)</f>
        <v>40</v>
      </c>
      <c r="J20" s="14">
        <f>COUNTIF(Scores!B23:AX23,B20)</f>
        <v>1</v>
      </c>
      <c r="K20" s="21">
        <f>IFERROR(__xludf.DUMMYFUNCTION("""COMPUTED_VALUE"""),12.0)</f>
        <v>12</v>
      </c>
      <c r="L20" s="36"/>
      <c r="N20" s="52">
        <f t="shared" si="4"/>
        <v>110</v>
      </c>
      <c r="O20" s="14" t="str">
        <f t="shared" si="2"/>
        <v>110-119</v>
      </c>
      <c r="P20" s="14">
        <f t="shared" si="3"/>
        <v>22</v>
      </c>
      <c r="S20" s="21">
        <v>103.0</v>
      </c>
      <c r="T20" s="14">
        <v>29.0</v>
      </c>
      <c r="U20" s="14">
        <v>2471.0</v>
      </c>
      <c r="W20" s="21">
        <v>66.0</v>
      </c>
      <c r="X20" s="14">
        <v>237.0</v>
      </c>
      <c r="Y20" s="14">
        <v>2263.0</v>
      </c>
      <c r="AA20" s="21">
        <v>191.0</v>
      </c>
      <c r="AB20" s="14">
        <v>34.0</v>
      </c>
      <c r="AC20" s="14">
        <v>221.0</v>
      </c>
    </row>
    <row r="21">
      <c r="A21" s="27">
        <f>HYPERLINK("https://arcprize.org/play?task=0a938d79", 13)</f>
        <v>13</v>
      </c>
      <c r="B21" s="14">
        <f>IFERROR(__xludf.DUMMYFUNCTION("min(filter(Scores!B24:AX24,Scores!B24:AX24&gt;0))"),124.0)</f>
        <v>124</v>
      </c>
      <c r="C21" s="14">
        <v>2376.0</v>
      </c>
      <c r="D21" s="51" t="str">
        <f t="array" ref="D21">if(B21,if(countif(Scores!B24:AX24,B21)=1,concat("💎",XLOOKUP(B21,Scores!B24:AX24,Scores!B$1:AX$1)),concat("🥇 x",countif(Scores!B24:AX24,B21))),"")</f>
        <v>💎Code Golf International</v>
      </c>
      <c r="E21" s="14">
        <f>if(countif(Scores!B24:AX24,B21)=1,F21,-1)</f>
        <v>124</v>
      </c>
      <c r="F21" s="14">
        <f t="shared" si="1"/>
        <v>124</v>
      </c>
      <c r="G21" s="14">
        <f>IFERROR(__xludf.DUMMYFUNCTION("if(iferror(small(filter(Scores!B24:AX24,Scores!B24:AX24&gt;0),2),-1)&lt;&gt;F21,iferror(small(filter(Scores!B24:AX24,Scores!B24:AX24&gt;0),2),-1),-1)"),129.0)</f>
        <v>129</v>
      </c>
      <c r="H21" s="14">
        <f>IFERROR(__xludf.DUMMYFUNCTION("if(iferror(small(filter(Scores!B24:AX24,Scores!B24:AX24&gt;0),3),-1)&lt;&gt;iferror(small(filter(Scores!B24:AX24,Scores!B24:AX24&gt;0),2),-1),iferror(small(filter(Scores!B24:AX24,Scores!B24:AX24&gt;0),3),-1),-1)"),136.0)</f>
        <v>136</v>
      </c>
      <c r="I21" s="14">
        <f>IFERROR(__xludf.DUMMYFUNCTION("IFERROR(COLUMNS(filter(Scores!B24:AE24,Scores!B24:AE24)),"""")"),41.0)</f>
        <v>41</v>
      </c>
      <c r="J21" s="14">
        <f>COUNTIF(Scores!B24:AX24,B21)</f>
        <v>1</v>
      </c>
      <c r="K21" s="21">
        <f>IFERROR(__xludf.DUMMYFUNCTION("""COMPUTED_VALUE"""),13.0)</f>
        <v>13</v>
      </c>
      <c r="L21" s="36"/>
      <c r="N21" s="52">
        <f t="shared" si="4"/>
        <v>120</v>
      </c>
      <c r="O21" s="14" t="str">
        <f t="shared" si="2"/>
        <v>120-129</v>
      </c>
      <c r="P21" s="14">
        <f t="shared" si="3"/>
        <v>15</v>
      </c>
      <c r="S21" s="21">
        <v>150.0</v>
      </c>
      <c r="T21" s="14">
        <v>30.0</v>
      </c>
      <c r="U21" s="14">
        <v>2470.0</v>
      </c>
      <c r="W21" s="21">
        <v>157.0</v>
      </c>
      <c r="X21" s="14">
        <v>237.0</v>
      </c>
      <c r="Y21" s="14">
        <v>2263.0</v>
      </c>
      <c r="AA21" s="21">
        <v>324.0</v>
      </c>
      <c r="AB21" s="14">
        <v>34.0</v>
      </c>
      <c r="AC21" s="14">
        <v>216.0</v>
      </c>
    </row>
    <row r="22">
      <c r="A22" s="27">
        <f>HYPERLINK("https://arcprize.org/play?task=0b148d64", 14)</f>
        <v>14</v>
      </c>
      <c r="B22" s="14">
        <f>IFERROR(__xludf.DUMMYFUNCTION("min(filter(Scores!B25:AX25,Scores!B25:AX25&gt;0))"),57.0)</f>
        <v>57</v>
      </c>
      <c r="C22" s="14">
        <v>2443.0</v>
      </c>
      <c r="D22" s="51" t="str">
        <f t="array" ref="D22">if(B22,if(countif(Scores!B25:AX25,B22)=1,concat("💎",XLOOKUP(B22,Scores!B25:AX25,Scores!B$1:AX$1)),concat("🥇 x",countif(Scores!B25:AX25,B22))),"")</f>
        <v>💎Code Golf International</v>
      </c>
      <c r="E22" s="14">
        <f>if(countif(Scores!B25:AX25,B22)=1,F22,-1)</f>
        <v>57</v>
      </c>
      <c r="F22" s="14">
        <f t="shared" si="1"/>
        <v>57</v>
      </c>
      <c r="G22" s="14">
        <f>IFERROR(__xludf.DUMMYFUNCTION("if(iferror(small(filter(Scores!B25:AX25,Scores!B25:AX25&gt;0),2),-1)&lt;&gt;F22,iferror(small(filter(Scores!B25:AX25,Scores!B25:AX25&gt;0),2),-1),-1)"),67.0)</f>
        <v>67</v>
      </c>
      <c r="H22" s="14">
        <f>IFERROR(__xludf.DUMMYFUNCTION("if(iferror(small(filter(Scores!B25:AX25,Scores!B25:AX25&gt;0),3),-1)&lt;&gt;iferror(small(filter(Scores!B25:AX25,Scores!B25:AX25&gt;0),2),-1),iferror(small(filter(Scores!B25:AX25,Scores!B25:AX25&gt;0),3),-1),-1)"),68.0)</f>
        <v>68</v>
      </c>
      <c r="I22" s="14">
        <f>IFERROR(__xludf.DUMMYFUNCTION("IFERROR(COLUMNS(filter(Scores!B25:AE25,Scores!B25:AE25)),"""")"),44.0)</f>
        <v>44</v>
      </c>
      <c r="J22" s="14">
        <f>COUNTIF(Scores!B25:AX25,B22)</f>
        <v>1</v>
      </c>
      <c r="K22" s="21">
        <f>IFERROR(__xludf.DUMMYFUNCTION("""COMPUTED_VALUE"""),14.0)</f>
        <v>14</v>
      </c>
      <c r="L22" s="36"/>
      <c r="N22" s="52">
        <f t="shared" si="4"/>
        <v>130</v>
      </c>
      <c r="O22" s="14" t="str">
        <f t="shared" si="2"/>
        <v>130-139</v>
      </c>
      <c r="P22" s="14">
        <f t="shared" si="3"/>
        <v>13</v>
      </c>
      <c r="S22" s="21">
        <v>326.0</v>
      </c>
      <c r="T22" s="14">
        <v>30.0</v>
      </c>
      <c r="U22" s="14">
        <v>2470.0</v>
      </c>
      <c r="W22" s="21">
        <v>89.0</v>
      </c>
      <c r="X22" s="14">
        <v>232.0</v>
      </c>
      <c r="Y22" s="14">
        <v>2268.0</v>
      </c>
      <c r="AA22" s="21">
        <v>238.0</v>
      </c>
      <c r="AB22" s="14">
        <v>34.0</v>
      </c>
      <c r="AC22" s="14">
        <v>195.0</v>
      </c>
    </row>
    <row r="23">
      <c r="A23" s="27">
        <f>HYPERLINK("https://arcprize.org/play?task=0ca9ddb6", 15)</f>
        <v>15</v>
      </c>
      <c r="B23" s="14">
        <f>IFERROR(__xludf.DUMMYFUNCTION("min(filter(Scores!B26:AX26,Scores!B26:AX26&gt;0))"),87.0)</f>
        <v>87</v>
      </c>
      <c r="C23" s="14">
        <v>2413.0</v>
      </c>
      <c r="D23" s="51" t="str">
        <f t="array" ref="D23">if(B23,if(countif(Scores!B26:AX26,B23)=1,concat("💎",XLOOKUP(B23,Scores!B26:AX26,Scores!B$1:AX$1)),concat("🥇 x",countif(Scores!B26:AX26,B23))),"")</f>
        <v>💎jailctf merger</v>
      </c>
      <c r="E23" s="14">
        <f>if(countif(Scores!B26:AX26,B23)=1,F23,-1)</f>
        <v>87</v>
      </c>
      <c r="F23" s="14">
        <f t="shared" si="1"/>
        <v>87</v>
      </c>
      <c r="G23" s="14">
        <f>IFERROR(__xludf.DUMMYFUNCTION("if(iferror(small(filter(Scores!B26:AX26,Scores!B26:AX26&gt;0),2),-1)&lt;&gt;F23,iferror(small(filter(Scores!B26:AX26,Scores!B26:AX26&gt;0),2),-1),-1)"),92.0)</f>
        <v>92</v>
      </c>
      <c r="H23" s="14">
        <f>IFERROR(__xludf.DUMMYFUNCTION("if(iferror(small(filter(Scores!B26:AX26,Scores!B26:AX26&gt;0),3),-1)&lt;&gt;iferror(small(filter(Scores!B26:AX26,Scores!B26:AX26&gt;0),2),-1),iferror(small(filter(Scores!B26:AX26,Scores!B26:AX26&gt;0),3),-1),-1)"),-1.0)</f>
        <v>-1</v>
      </c>
      <c r="I23" s="14">
        <f>IFERROR(__xludf.DUMMYFUNCTION("IFERROR(COLUMNS(filter(Scores!B26:AE26,Scores!B26:AE26)),"""")"),41.0)</f>
        <v>41</v>
      </c>
      <c r="J23" s="14">
        <f>COUNTIF(Scores!B26:AX26,B23)</f>
        <v>1</v>
      </c>
      <c r="K23" s="21">
        <f>IFERROR(__xludf.DUMMYFUNCTION("""COMPUTED_VALUE"""),15.0)</f>
        <v>15</v>
      </c>
      <c r="L23" s="36"/>
      <c r="N23" s="52">
        <f t="shared" si="4"/>
        <v>140</v>
      </c>
      <c r="O23" s="14" t="str">
        <f t="shared" si="2"/>
        <v>140-149</v>
      </c>
      <c r="P23" s="14">
        <f t="shared" si="3"/>
        <v>4</v>
      </c>
      <c r="S23" s="21">
        <v>376.0</v>
      </c>
      <c r="T23" s="14">
        <v>30.0</v>
      </c>
      <c r="U23" s="14">
        <v>2470.0</v>
      </c>
      <c r="W23" s="21">
        <v>80.0</v>
      </c>
      <c r="X23" s="14">
        <v>231.0</v>
      </c>
      <c r="Y23" s="14">
        <v>2269.0</v>
      </c>
      <c r="AA23" s="21">
        <v>319.0</v>
      </c>
      <c r="AB23" s="14">
        <v>34.0</v>
      </c>
      <c r="AC23" s="14">
        <v>194.0</v>
      </c>
    </row>
    <row r="24">
      <c r="A24" s="27">
        <f>HYPERLINK("https://arcprize.org/play?task=0d3d703e", 16)</f>
        <v>16</v>
      </c>
      <c r="B24" s="14">
        <f>IFERROR(__xludf.DUMMYFUNCTION("min(filter(Scores!B27:AX27,Scores!B27:AX27&gt;0))"),43.0)</f>
        <v>43</v>
      </c>
      <c r="C24" s="14">
        <v>2457.0</v>
      </c>
      <c r="D24" s="51" t="str">
        <f t="array" ref="D24">if(B24,if(countif(Scores!B27:AX27,B24)=1,concat("💎",XLOOKUP(B24,Scores!B27:AX27,Scores!B$1:AX$1)),concat("🥇 x",countif(Scores!B27:AX27,B24))),"")</f>
        <v>🥇 x5</v>
      </c>
      <c r="E24" s="14">
        <f>if(countif(Scores!B27:AX27,B24)=1,F24,-1)</f>
        <v>-1</v>
      </c>
      <c r="F24" s="14">
        <f t="shared" si="1"/>
        <v>43</v>
      </c>
      <c r="G24" s="14">
        <f>IFERROR(__xludf.DUMMYFUNCTION("if(iferror(small(filter(Scores!B27:AX27,Scores!B27:AX27&gt;0),2),-1)&lt;&gt;F24,iferror(small(filter(Scores!B27:AX27,Scores!B27:AX27&gt;0),2),-1),-1)"),-1.0)</f>
        <v>-1</v>
      </c>
      <c r="H24" s="14">
        <f>IFERROR(__xludf.DUMMYFUNCTION("if(iferror(small(filter(Scores!B27:AX27,Scores!B27:AX27&gt;0),3),-1)&lt;&gt;iferror(small(filter(Scores!B27:AX27,Scores!B27:AX27&gt;0),2),-1),iferror(small(filter(Scores!B27:AX27,Scores!B27:AX27&gt;0),3),-1),-1)"),-1.0)</f>
        <v>-1</v>
      </c>
      <c r="I24" s="14">
        <f>IFERROR(__xludf.DUMMYFUNCTION("IFERROR(COLUMNS(filter(Scores!B27:AE27,Scores!B27:AE27)),"""")"),47.0)</f>
        <v>47</v>
      </c>
      <c r="J24" s="14">
        <f>COUNTIF(Scores!B27:AX27,B24)</f>
        <v>5</v>
      </c>
      <c r="K24" s="21">
        <f>IFERROR(__xludf.DUMMYFUNCTION("""COMPUTED_VALUE"""),16.0)</f>
        <v>16</v>
      </c>
      <c r="L24" s="36"/>
      <c r="N24" s="52">
        <f t="shared" si="4"/>
        <v>150</v>
      </c>
      <c r="O24" s="14" t="str">
        <f t="shared" si="2"/>
        <v>150-159</v>
      </c>
      <c r="P24" s="14">
        <f t="shared" si="3"/>
        <v>6</v>
      </c>
      <c r="S24" s="21">
        <v>301.0</v>
      </c>
      <c r="T24" s="14">
        <v>31.0</v>
      </c>
      <c r="U24" s="14">
        <v>2469.0</v>
      </c>
      <c r="W24" s="21">
        <v>285.0</v>
      </c>
      <c r="X24" s="14">
        <v>226.0</v>
      </c>
      <c r="Y24" s="14">
        <v>2274.0</v>
      </c>
      <c r="AA24" s="21">
        <v>268.0</v>
      </c>
      <c r="AB24" s="14">
        <v>34.0</v>
      </c>
      <c r="AC24" s="14">
        <v>190.0</v>
      </c>
    </row>
    <row r="25">
      <c r="A25" s="27">
        <f>HYPERLINK("https://arcprize.org/play?task=0dfd9992", 17)</f>
        <v>17</v>
      </c>
      <c r="B25" s="14">
        <f>IFERROR(__xludf.DUMMYFUNCTION("min(filter(Scores!B28:AX28,Scores!B28:AX28&gt;0))"),90.0)</f>
        <v>90</v>
      </c>
      <c r="C25" s="14">
        <v>2410.0</v>
      </c>
      <c r="D25" s="51" t="str">
        <f t="array" ref="D25">if(B25,if(countif(Scores!B28:AX28,B25)=1,concat("💎",XLOOKUP(B25,Scores!B28:AX28,Scores!B$1:AX$1)),concat("🥇 x",countif(Scores!B28:AX28,B25))),"")</f>
        <v>💎Code Golf International</v>
      </c>
      <c r="E25" s="14">
        <f>if(countif(Scores!B28:AX28,B25)=1,F25,-1)</f>
        <v>90</v>
      </c>
      <c r="F25" s="14">
        <f t="shared" si="1"/>
        <v>90</v>
      </c>
      <c r="G25" s="14">
        <f>IFERROR(__xludf.DUMMYFUNCTION("if(iferror(small(filter(Scores!B28:AX28,Scores!B28:AX28&gt;0),2),-1)&lt;&gt;F25,iferror(small(filter(Scores!B28:AX28,Scores!B28:AX28&gt;0),2),-1),-1)"),99.0)</f>
        <v>99</v>
      </c>
      <c r="H25" s="14">
        <f>IFERROR(__xludf.DUMMYFUNCTION("if(iferror(small(filter(Scores!B28:AX28,Scores!B28:AX28&gt;0),3),-1)&lt;&gt;iferror(small(filter(Scores!B28:AX28,Scores!B28:AX28&gt;0),2),-1),iferror(small(filter(Scores!B28:AX28,Scores!B28:AX28&gt;0),3),-1),-1)"),102.0)</f>
        <v>102</v>
      </c>
      <c r="I25" s="14">
        <f>IFERROR(__xludf.DUMMYFUNCTION("IFERROR(COLUMNS(filter(Scores!B28:AE28,Scores!B28:AE28)),"""")"),40.0)</f>
        <v>40</v>
      </c>
      <c r="J25" s="14">
        <f>COUNTIF(Scores!B28:AX28,B25)</f>
        <v>1</v>
      </c>
      <c r="K25" s="21">
        <f>IFERROR(__xludf.DUMMYFUNCTION("""COMPUTED_VALUE"""),17.0)</f>
        <v>17</v>
      </c>
      <c r="L25" s="36"/>
      <c r="N25" s="52">
        <f t="shared" si="4"/>
        <v>160</v>
      </c>
      <c r="O25" s="14" t="str">
        <f t="shared" si="2"/>
        <v>160-169</v>
      </c>
      <c r="P25" s="14">
        <f t="shared" si="3"/>
        <v>5</v>
      </c>
      <c r="S25" s="21">
        <v>135.0</v>
      </c>
      <c r="T25" s="14">
        <v>32.0</v>
      </c>
      <c r="U25" s="14">
        <v>2468.0</v>
      </c>
      <c r="W25" s="21">
        <v>118.0</v>
      </c>
      <c r="X25" s="14">
        <v>225.0</v>
      </c>
      <c r="Y25" s="14">
        <v>2275.0</v>
      </c>
      <c r="AA25" s="21">
        <v>264.0</v>
      </c>
      <c r="AB25" s="14">
        <v>34.0</v>
      </c>
      <c r="AC25" s="14">
        <v>178.0</v>
      </c>
    </row>
    <row r="26">
      <c r="A26" s="27">
        <f>HYPERLINK("https://arcprize.org/play?task=0e206a2e", 18)</f>
        <v>18</v>
      </c>
      <c r="B26" s="14">
        <f>IFERROR(__xludf.DUMMYFUNCTION("min(filter(Scores!B29:AX29,Scores!B29:AX29&gt;0))"),275.0)</f>
        <v>275</v>
      </c>
      <c r="C26" s="14">
        <v>2225.0</v>
      </c>
      <c r="D26" s="51" t="str">
        <f t="array" ref="D26">if(B26,if(countif(Scores!B29:AX29,B26)=1,concat("💎",XLOOKUP(B26,Scores!B29:AX29,Scores!B$1:AX$1)),concat("🥇 x",countif(Scores!B29:AX29,B26))),"")</f>
        <v>💎ox jam</v>
      </c>
      <c r="E26" s="14">
        <f>if(countif(Scores!B29:AX29,B26)=1,F26,-1)</f>
        <v>275</v>
      </c>
      <c r="F26" s="14">
        <f t="shared" si="1"/>
        <v>275</v>
      </c>
      <c r="G26" s="14">
        <f>IFERROR(__xludf.DUMMYFUNCTION("if(iferror(small(filter(Scores!B29:AX29,Scores!B29:AX29&gt;0),2),-1)&lt;&gt;F26,iferror(small(filter(Scores!B29:AX29,Scores!B29:AX29&gt;0),2),-1),-1)"),286.0)</f>
        <v>286</v>
      </c>
      <c r="H26" s="14">
        <f>IFERROR(__xludf.DUMMYFUNCTION("if(iferror(small(filter(Scores!B29:AX29,Scores!B29:AX29&gt;0),3),-1)&lt;&gt;iferror(small(filter(Scores!B29:AX29,Scores!B29:AX29&gt;0),2),-1),iferror(small(filter(Scores!B29:AX29,Scores!B29:AX29&gt;0),3),-1),-1)"),299.0)</f>
        <v>299</v>
      </c>
      <c r="I26" s="14">
        <f>IFERROR(__xludf.DUMMYFUNCTION("IFERROR(COLUMNS(filter(Scores!B29:AE29,Scores!B29:AE29)),"""")"),36.0)</f>
        <v>36</v>
      </c>
      <c r="J26" s="14">
        <f>COUNTIF(Scores!B29:AX29,B26)</f>
        <v>1</v>
      </c>
      <c r="K26" s="21">
        <f>IFERROR(__xludf.DUMMYFUNCTION("""COMPUTED_VALUE"""),18.0)</f>
        <v>18</v>
      </c>
      <c r="L26" s="36"/>
      <c r="N26" s="52">
        <f t="shared" si="4"/>
        <v>170</v>
      </c>
      <c r="O26" s="14" t="str">
        <f t="shared" si="2"/>
        <v>170-179</v>
      </c>
      <c r="P26" s="14">
        <f t="shared" si="3"/>
        <v>3</v>
      </c>
      <c r="S26" s="21">
        <v>164.0</v>
      </c>
      <c r="T26" s="14">
        <v>32.0</v>
      </c>
      <c r="U26" s="14">
        <v>2468.0</v>
      </c>
      <c r="W26" s="21">
        <v>191.0</v>
      </c>
      <c r="X26" s="14">
        <v>221.0</v>
      </c>
      <c r="Y26" s="14">
        <v>2279.0</v>
      </c>
      <c r="AA26" s="21">
        <v>349.0</v>
      </c>
      <c r="AB26" s="14">
        <v>34.0</v>
      </c>
      <c r="AC26" s="14">
        <v>172.0</v>
      </c>
    </row>
    <row r="27">
      <c r="A27" s="27">
        <f>HYPERLINK("https://arcprize.org/play?task=10fcaaa3", 19)</f>
        <v>19</v>
      </c>
      <c r="B27" s="14">
        <f>IFERROR(__xludf.DUMMYFUNCTION("min(filter(Scores!B30:AX30,Scores!B30:AX30&gt;0))"),103.0)</f>
        <v>103</v>
      </c>
      <c r="C27" s="14">
        <v>2397.0</v>
      </c>
      <c r="D27" s="51" t="str">
        <f t="array" ref="D27">if(B27,if(countif(Scores!B30:AX30,B27)=1,concat("💎",XLOOKUP(B27,Scores!B30:AX30,Scores!B$1:AX$1)),concat("🥇 x",countif(Scores!B30:AX30,B27))),"")</f>
        <v>💎Code Golf International</v>
      </c>
      <c r="E27" s="14">
        <f>if(countif(Scores!B30:AX30,B27)=1,F27,-1)</f>
        <v>103</v>
      </c>
      <c r="F27" s="14">
        <f t="shared" si="1"/>
        <v>103</v>
      </c>
      <c r="G27" s="14">
        <f>IFERROR(__xludf.DUMMYFUNCTION("if(iferror(small(filter(Scores!B30:AX30,Scores!B30:AX30&gt;0),2),-1)&lt;&gt;F27,iferror(small(filter(Scores!B30:AX30,Scores!B30:AX30&gt;0),2),-1),-1)"),104.0)</f>
        <v>104</v>
      </c>
      <c r="H27" s="14">
        <f>IFERROR(__xludf.DUMMYFUNCTION("if(iferror(small(filter(Scores!B30:AX30,Scores!B30:AX30&gt;0),3),-1)&lt;&gt;iferror(small(filter(Scores!B30:AX30,Scores!B30:AX30&gt;0),2),-1),iferror(small(filter(Scores!B30:AX30,Scores!B30:AX30&gt;0),3),-1),-1)"),105.0)</f>
        <v>105</v>
      </c>
      <c r="I27" s="14">
        <f>IFERROR(__xludf.DUMMYFUNCTION("IFERROR(COLUMNS(filter(Scores!B30:AE30,Scores!B30:AE30)),"""")"),41.0)</f>
        <v>41</v>
      </c>
      <c r="J27" s="14">
        <f>COUNTIF(Scores!B30:AX30,B27)</f>
        <v>1</v>
      </c>
      <c r="K27" s="21">
        <f>IFERROR(__xludf.DUMMYFUNCTION("""COMPUTED_VALUE"""),19.0)</f>
        <v>19</v>
      </c>
      <c r="L27" s="36"/>
      <c r="N27" s="52">
        <f t="shared" si="4"/>
        <v>180</v>
      </c>
      <c r="O27" s="14" t="str">
        <f t="shared" si="2"/>
        <v>180-189</v>
      </c>
      <c r="P27" s="14">
        <f t="shared" si="3"/>
        <v>3</v>
      </c>
      <c r="S27" s="21">
        <v>311.0</v>
      </c>
      <c r="T27" s="14">
        <v>32.0</v>
      </c>
      <c r="U27" s="14">
        <v>2468.0</v>
      </c>
      <c r="W27" s="21">
        <v>324.0</v>
      </c>
      <c r="X27" s="14">
        <v>216.0</v>
      </c>
      <c r="Y27" s="14">
        <v>2284.0</v>
      </c>
      <c r="AA27" s="21">
        <v>170.0</v>
      </c>
      <c r="AB27" s="14">
        <v>34.0</v>
      </c>
      <c r="AC27" s="14">
        <v>163.0</v>
      </c>
    </row>
    <row r="28">
      <c r="A28" s="27">
        <f>HYPERLINK("https://arcprize.org/play?task=11852cab", 20)</f>
        <v>20</v>
      </c>
      <c r="B28" s="14">
        <f>IFERROR(__xludf.DUMMYFUNCTION("min(filter(Scores!B31:AX31,Scores!B31:AX31&gt;0))"),126.0)</f>
        <v>126</v>
      </c>
      <c r="C28" s="14">
        <v>2374.0</v>
      </c>
      <c r="D28" s="51" t="str">
        <f t="array" ref="D28">if(B28,if(countif(Scores!B31:AX31,B28)=1,concat("💎",XLOOKUP(B28,Scores!B31:AX31,Scores!B$1:AX$1)),concat("🥇 x",countif(Scores!B31:AX31,B28))),"")</f>
        <v>💎LogicLynx</v>
      </c>
      <c r="E28" s="14">
        <f>if(countif(Scores!B31:AX31,B28)=1,F28,-1)</f>
        <v>126</v>
      </c>
      <c r="F28" s="14">
        <f t="shared" si="1"/>
        <v>126</v>
      </c>
      <c r="G28" s="14">
        <f>IFERROR(__xludf.DUMMYFUNCTION("if(iferror(small(filter(Scores!B31:AX31,Scores!B31:AX31&gt;0),2),-1)&lt;&gt;F28,iferror(small(filter(Scores!B31:AX31,Scores!B31:AX31&gt;0),2),-1),-1)"),133.0)</f>
        <v>133</v>
      </c>
      <c r="H28" s="14">
        <f>IFERROR(__xludf.DUMMYFUNCTION("if(iferror(small(filter(Scores!B31:AX31,Scores!B31:AX31&gt;0),3),-1)&lt;&gt;iferror(small(filter(Scores!B31:AX31,Scores!B31:AX31&gt;0),2),-1),iferror(small(filter(Scores!B31:AX31,Scores!B31:AX31&gt;0),3),-1),-1)"),135.0)</f>
        <v>135</v>
      </c>
      <c r="I28" s="14">
        <f>IFERROR(__xludf.DUMMYFUNCTION("IFERROR(COLUMNS(filter(Scores!B31:AE31,Scores!B31:AE31)),"""")"),39.0)</f>
        <v>39</v>
      </c>
      <c r="J28" s="14">
        <f>COUNTIF(Scores!B31:AX31,B28)</f>
        <v>1</v>
      </c>
      <c r="K28" s="21">
        <f>IFERROR(__xludf.DUMMYFUNCTION("""COMPUTED_VALUE"""),20.0)</f>
        <v>20</v>
      </c>
      <c r="L28" s="36"/>
      <c r="N28" s="52">
        <f t="shared" si="4"/>
        <v>190</v>
      </c>
      <c r="O28" s="14" t="str">
        <f t="shared" si="2"/>
        <v>190-199</v>
      </c>
      <c r="P28" s="14">
        <f t="shared" si="3"/>
        <v>7</v>
      </c>
      <c r="S28" s="21">
        <v>67.0</v>
      </c>
      <c r="T28" s="14">
        <v>33.0</v>
      </c>
      <c r="U28" s="14">
        <v>2467.0</v>
      </c>
      <c r="W28" s="21">
        <v>255.0</v>
      </c>
      <c r="X28" s="14">
        <v>212.0</v>
      </c>
      <c r="Y28" s="14">
        <v>2288.0</v>
      </c>
      <c r="AA28" s="21">
        <v>208.0</v>
      </c>
      <c r="AB28" s="14">
        <v>34.0</v>
      </c>
      <c r="AC28" s="14">
        <v>163.0</v>
      </c>
    </row>
    <row r="29">
      <c r="A29" s="27">
        <f>HYPERLINK("https://arcprize.org/play?task=1190e5a7", 21)</f>
        <v>21</v>
      </c>
      <c r="B29" s="14">
        <f>IFERROR(__xludf.DUMMYFUNCTION("min(filter(Scores!B32:AX32,Scores!B32:AX32&gt;0))"),51.0)</f>
        <v>51</v>
      </c>
      <c r="C29" s="14">
        <v>2449.0</v>
      </c>
      <c r="D29" s="51" t="str">
        <f t="array" ref="D29">if(B29,if(countif(Scores!B32:AX32,B29)=1,concat("💎",XLOOKUP(B29,Scores!B32:AX32,Scores!B$1:AX$1)),concat("🥇 x",countif(Scores!B32:AX32,B29))),"")</f>
        <v>🥇 x2</v>
      </c>
      <c r="E29" s="14">
        <f>if(countif(Scores!B32:AX32,B29)=1,F29,-1)</f>
        <v>-1</v>
      </c>
      <c r="F29" s="14">
        <f t="shared" si="1"/>
        <v>51</v>
      </c>
      <c r="G29" s="14">
        <f>IFERROR(__xludf.DUMMYFUNCTION("if(iferror(small(filter(Scores!B32:AX32,Scores!B32:AX32&gt;0),2),-1)&lt;&gt;F29,iferror(small(filter(Scores!B32:AX32,Scores!B32:AX32&gt;0),2),-1),-1)"),-1.0)</f>
        <v>-1</v>
      </c>
      <c r="H29" s="14">
        <f>IFERROR(__xludf.DUMMYFUNCTION("if(iferror(small(filter(Scores!B32:AX32,Scores!B32:AX32&gt;0),3),-1)&lt;&gt;iferror(small(filter(Scores!B32:AX32,Scores!B32:AX32&gt;0),2),-1),iferror(small(filter(Scores!B32:AX32,Scores!B32:AX32&gt;0),3),-1),-1)"),52.0)</f>
        <v>52</v>
      </c>
      <c r="I29" s="14">
        <f>IFERROR(__xludf.DUMMYFUNCTION("IFERROR(COLUMNS(filter(Scores!B32:AE32,Scores!B32:AE32)),"""")"),45.0)</f>
        <v>45</v>
      </c>
      <c r="J29" s="14">
        <f>COUNTIF(Scores!B32:AX32,B29)</f>
        <v>2</v>
      </c>
      <c r="K29" s="21">
        <f>IFERROR(__xludf.DUMMYFUNCTION("""COMPUTED_VALUE"""),21.0)</f>
        <v>21</v>
      </c>
      <c r="L29" s="36"/>
      <c r="N29" s="52">
        <f t="shared" si="4"/>
        <v>200</v>
      </c>
      <c r="O29" s="14" t="str">
        <f t="shared" si="2"/>
        <v>200-209</v>
      </c>
      <c r="P29" s="14">
        <f t="shared" si="3"/>
        <v>1</v>
      </c>
      <c r="S29" s="21">
        <v>87.0</v>
      </c>
      <c r="T29" s="14">
        <v>36.0</v>
      </c>
      <c r="U29" s="14">
        <v>2464.0</v>
      </c>
      <c r="W29" s="21">
        <v>173.0</v>
      </c>
      <c r="X29" s="14">
        <v>201.0</v>
      </c>
      <c r="Y29" s="14">
        <v>2299.0</v>
      </c>
      <c r="AA29" s="21">
        <v>182.0</v>
      </c>
      <c r="AB29" s="14">
        <v>34.0</v>
      </c>
      <c r="AC29" s="14">
        <v>160.0</v>
      </c>
    </row>
    <row r="30">
      <c r="A30" s="27">
        <f>HYPERLINK("https://arcprize.org/play?task=137eaa0f", 22)</f>
        <v>22</v>
      </c>
      <c r="B30" s="14">
        <f>IFERROR(__xludf.DUMMYFUNCTION("min(filter(Scores!B33:AX33,Scores!B33:AX33&gt;0))"),91.0)</f>
        <v>91</v>
      </c>
      <c r="C30" s="14">
        <v>2409.0</v>
      </c>
      <c r="D30" s="51" t="str">
        <f t="array" ref="D30">if(B30,if(countif(Scores!B33:AX33,B30)=1,concat("💎",XLOOKUP(B30,Scores!B33:AX33,Scores!B$1:AX$1)),concat("🥇 x",countif(Scores!B33:AX33,B30))),"")</f>
        <v>💎Code Golf International</v>
      </c>
      <c r="E30" s="14">
        <f>if(countif(Scores!B33:AX33,B30)=1,F30,-1)</f>
        <v>91</v>
      </c>
      <c r="F30" s="14">
        <f t="shared" si="1"/>
        <v>91</v>
      </c>
      <c r="G30" s="14">
        <f>IFERROR(__xludf.DUMMYFUNCTION("if(iferror(small(filter(Scores!B33:AX33,Scores!B33:AX33&gt;0),2),-1)&lt;&gt;F30,iferror(small(filter(Scores!B33:AX33,Scores!B33:AX33&gt;0),2),-1),-1)"),92.0)</f>
        <v>92</v>
      </c>
      <c r="H30" s="14">
        <f>IFERROR(__xludf.DUMMYFUNCTION("if(iferror(small(filter(Scores!B33:AX33,Scores!B33:AX33&gt;0),3),-1)&lt;&gt;iferror(small(filter(Scores!B33:AX33,Scores!B33:AX33&gt;0),2),-1),iferror(small(filter(Scores!B33:AX33,Scores!B33:AX33&gt;0),3),-1),-1)"),95.0)</f>
        <v>95</v>
      </c>
      <c r="I30" s="14">
        <f>IFERROR(__xludf.DUMMYFUNCTION("IFERROR(COLUMNS(filter(Scores!B33:AE33,Scores!B33:AE33)),"""")"),41.0)</f>
        <v>41</v>
      </c>
      <c r="J30" s="14">
        <f>COUNTIF(Scores!B33:AX33,B30)</f>
        <v>1</v>
      </c>
      <c r="K30" s="21">
        <f>IFERROR(__xludf.DUMMYFUNCTION("""COMPUTED_VALUE"""),22.0)</f>
        <v>22</v>
      </c>
      <c r="L30" s="36"/>
      <c r="N30" s="52">
        <f t="shared" si="4"/>
        <v>210</v>
      </c>
      <c r="O30" s="14" t="str">
        <f t="shared" si="2"/>
        <v>210-219</v>
      </c>
      <c r="P30" s="14">
        <f t="shared" si="3"/>
        <v>2</v>
      </c>
      <c r="S30" s="21">
        <v>140.0</v>
      </c>
      <c r="T30" s="14">
        <v>36.0</v>
      </c>
      <c r="U30" s="14">
        <v>2464.0</v>
      </c>
      <c r="W30" s="21">
        <v>44.0</v>
      </c>
      <c r="X30" s="14">
        <v>195.0</v>
      </c>
      <c r="Y30" s="14">
        <v>2305.0</v>
      </c>
      <c r="AA30" s="21">
        <v>370.0</v>
      </c>
      <c r="AB30" s="14">
        <v>34.0</v>
      </c>
      <c r="AC30" s="14">
        <v>159.0</v>
      </c>
    </row>
    <row r="31">
      <c r="A31" s="27">
        <f>HYPERLINK("https://arcprize.org/play?task=150deff5", 23)</f>
        <v>23</v>
      </c>
      <c r="B31" s="14">
        <f>IFERROR(__xludf.DUMMYFUNCTION("min(filter(Scores!B34:AX34,Scores!B34:AX34&gt;0))"),182.0)</f>
        <v>182</v>
      </c>
      <c r="C31" s="14">
        <v>2318.0</v>
      </c>
      <c r="D31" s="51" t="str">
        <f t="array" ref="D31">if(B31,if(countif(Scores!B34:AX34,B31)=1,concat("💎",XLOOKUP(B31,Scores!B34:AX34,Scores!B$1:AX$1)),concat("🥇 x",countif(Scores!B34:AX34,B31))),"")</f>
        <v>💎ox jam</v>
      </c>
      <c r="E31" s="14">
        <f>if(countif(Scores!B34:AX34,B31)=1,F31,-1)</f>
        <v>182</v>
      </c>
      <c r="F31" s="14">
        <f t="shared" si="1"/>
        <v>182</v>
      </c>
      <c r="G31" s="14">
        <f>IFERROR(__xludf.DUMMYFUNCTION("if(iferror(small(filter(Scores!B34:AX34,Scores!B34:AX34&gt;0),2),-1)&lt;&gt;F31,iferror(small(filter(Scores!B34:AX34,Scores!B34:AX34&gt;0),2),-1),-1)"),191.0)</f>
        <v>191</v>
      </c>
      <c r="H31" s="14">
        <f>IFERROR(__xludf.DUMMYFUNCTION("if(iferror(small(filter(Scores!B34:AX34,Scores!B34:AX34&gt;0),3),-1)&lt;&gt;iferror(small(filter(Scores!B34:AX34,Scores!B34:AX34&gt;0),2),-1),iferror(small(filter(Scores!B34:AX34,Scores!B34:AX34&gt;0),3),-1),-1)"),195.0)</f>
        <v>195</v>
      </c>
      <c r="I31" s="14">
        <f>IFERROR(__xludf.DUMMYFUNCTION("IFERROR(COLUMNS(filter(Scores!B34:AE34,Scores!B34:AE34)),"""")"),36.0)</f>
        <v>36</v>
      </c>
      <c r="J31" s="14">
        <f>COUNTIF(Scores!B34:AX34,B31)</f>
        <v>1</v>
      </c>
      <c r="K31" s="21">
        <f>IFERROR(__xludf.DUMMYFUNCTION("""COMPUTED_VALUE"""),23.0)</f>
        <v>23</v>
      </c>
      <c r="L31" s="36"/>
      <c r="N31" s="52">
        <f t="shared" si="4"/>
        <v>220</v>
      </c>
      <c r="O31" s="14" t="str">
        <f t="shared" si="2"/>
        <v>220-229</v>
      </c>
      <c r="P31" s="14">
        <f t="shared" si="3"/>
        <v>3</v>
      </c>
      <c r="S31" s="21">
        <v>309.0</v>
      </c>
      <c r="T31" s="14">
        <v>36.0</v>
      </c>
      <c r="U31" s="14">
        <v>2464.0</v>
      </c>
      <c r="W31" s="21">
        <v>238.0</v>
      </c>
      <c r="X31" s="14">
        <v>195.0</v>
      </c>
      <c r="Y31" s="14">
        <v>2305.0</v>
      </c>
      <c r="AA31" s="21">
        <v>277.0</v>
      </c>
      <c r="AB31" s="14">
        <v>34.0</v>
      </c>
      <c r="AC31" s="14">
        <v>155.0</v>
      </c>
    </row>
    <row r="32">
      <c r="A32" s="27">
        <f>HYPERLINK("https://arcprize.org/play?task=178fcbfb", 24)</f>
        <v>24</v>
      </c>
      <c r="B32" s="14">
        <f>IFERROR(__xludf.DUMMYFUNCTION("min(filter(Scores!B35:AX35,Scores!B35:AX35&gt;0))"),62.0)</f>
        <v>62</v>
      </c>
      <c r="C32" s="14">
        <v>2438.0</v>
      </c>
      <c r="D32" s="51" t="str">
        <f t="array" ref="D32">if(B32,if(countif(Scores!B35:AX35,B32)=1,concat("💎",XLOOKUP(B32,Scores!B35:AX35,Scores!B$1:AX$1)),concat("🥇 x",countif(Scores!B35:AX35,B32))),"")</f>
        <v>🥇 x10</v>
      </c>
      <c r="E32" s="14">
        <f>if(countif(Scores!B35:AX35,B32)=1,F32,-1)</f>
        <v>-1</v>
      </c>
      <c r="F32" s="14">
        <f t="shared" si="1"/>
        <v>62</v>
      </c>
      <c r="G32" s="14">
        <f>IFERROR(__xludf.DUMMYFUNCTION("if(iferror(small(filter(Scores!B35:AX35,Scores!B35:AX35&gt;0),2),-1)&lt;&gt;F32,iferror(small(filter(Scores!B35:AX35,Scores!B35:AX35&gt;0),2),-1),-1)"),-1.0)</f>
        <v>-1</v>
      </c>
      <c r="H32" s="14">
        <f>IFERROR(__xludf.DUMMYFUNCTION("if(iferror(small(filter(Scores!B35:AX35,Scores!B35:AX35&gt;0),3),-1)&lt;&gt;iferror(small(filter(Scores!B35:AX35,Scores!B35:AX35&gt;0),2),-1),iferror(small(filter(Scores!B35:AX35,Scores!B35:AX35&gt;0),3),-1),-1)"),-1.0)</f>
        <v>-1</v>
      </c>
      <c r="I32" s="14">
        <f>IFERROR(__xludf.DUMMYFUNCTION("IFERROR(COLUMNS(filter(Scores!B35:AE35,Scores!B35:AE35)),"""")"),44.0)</f>
        <v>44</v>
      </c>
      <c r="J32" s="14">
        <f>COUNTIF(Scores!B35:AX35,B32)</f>
        <v>10</v>
      </c>
      <c r="K32" s="21">
        <f>IFERROR(__xludf.DUMMYFUNCTION("""COMPUTED_VALUE"""),24.0)</f>
        <v>24</v>
      </c>
      <c r="L32" s="36"/>
      <c r="N32" s="52">
        <f t="shared" si="4"/>
        <v>230</v>
      </c>
      <c r="O32" s="14" t="str">
        <f t="shared" si="2"/>
        <v>230-239</v>
      </c>
      <c r="P32" s="14">
        <f t="shared" si="3"/>
        <v>4</v>
      </c>
      <c r="S32" s="21">
        <v>276.0</v>
      </c>
      <c r="T32" s="14">
        <v>37.0</v>
      </c>
      <c r="U32" s="14">
        <v>2463.0</v>
      </c>
      <c r="W32" s="21">
        <v>284.0</v>
      </c>
      <c r="X32" s="14">
        <v>195.0</v>
      </c>
      <c r="Y32" s="14">
        <v>2305.0</v>
      </c>
      <c r="AA32" s="21">
        <v>364.0</v>
      </c>
      <c r="AB32" s="14">
        <v>34.0</v>
      </c>
      <c r="AC32" s="14">
        <v>133.0</v>
      </c>
    </row>
    <row r="33">
      <c r="A33" s="27">
        <f>HYPERLINK("https://arcprize.org/play?task=1a07d186", 25)</f>
        <v>25</v>
      </c>
      <c r="B33" s="14">
        <f>IFERROR(__xludf.DUMMYFUNCTION("min(filter(Scores!B36:AX36,Scores!B36:AX36&gt;0))"),127.0)</f>
        <v>127</v>
      </c>
      <c r="C33" s="14">
        <v>2373.0</v>
      </c>
      <c r="D33" s="51" t="str">
        <f t="array" ref="D33">if(B33,if(countif(Scores!B36:AX36,B33)=1,concat("💎",XLOOKUP(B33,Scores!B36:AX36,Scores!B$1:AX$1)),concat("🥇 x",countif(Scores!B36:AX36,B33))),"")</f>
        <v>💎Code Golf International</v>
      </c>
      <c r="E33" s="14">
        <f>if(countif(Scores!B36:AX36,B33)=1,F33,-1)</f>
        <v>127</v>
      </c>
      <c r="F33" s="14">
        <f t="shared" si="1"/>
        <v>127</v>
      </c>
      <c r="G33" s="14">
        <f>IFERROR(__xludf.DUMMYFUNCTION("if(iferror(small(filter(Scores!B36:AX36,Scores!B36:AX36&gt;0),2),-1)&lt;&gt;F33,iferror(small(filter(Scores!B36:AX36,Scores!B36:AX36&gt;0),2),-1),-1)"),134.0)</f>
        <v>134</v>
      </c>
      <c r="H33" s="14">
        <f>IFERROR(__xludf.DUMMYFUNCTION("if(iferror(small(filter(Scores!B36:AX36,Scores!B36:AX36&gt;0),3),-1)&lt;&gt;iferror(small(filter(Scores!B36:AX36,Scores!B36:AX36&gt;0),2),-1),iferror(small(filter(Scores!B36:AX36,Scores!B36:AX36&gt;0),3),-1),-1)"),138.0)</f>
        <v>138</v>
      </c>
      <c r="I33" s="14">
        <f>IFERROR(__xludf.DUMMYFUNCTION("IFERROR(COLUMNS(filter(Scores!B36:AE36,Scores!B36:AE36)),"""")"),38.0)</f>
        <v>38</v>
      </c>
      <c r="J33" s="14">
        <f>COUNTIF(Scores!B36:AX36,B33)</f>
        <v>1</v>
      </c>
      <c r="K33" s="21">
        <f>IFERROR(__xludf.DUMMYFUNCTION("""COMPUTED_VALUE"""),25.0)</f>
        <v>25</v>
      </c>
      <c r="L33" s="36"/>
      <c r="N33" s="52">
        <f t="shared" si="4"/>
        <v>240</v>
      </c>
      <c r="O33" s="14" t="str">
        <f t="shared" si="2"/>
        <v>240-249</v>
      </c>
      <c r="P33" s="14">
        <f t="shared" si="3"/>
        <v>2</v>
      </c>
      <c r="S33" s="21">
        <v>339.0</v>
      </c>
      <c r="T33" s="14">
        <v>37.0</v>
      </c>
      <c r="U33" s="14">
        <v>2463.0</v>
      </c>
      <c r="W33" s="21">
        <v>319.0</v>
      </c>
      <c r="X33" s="14">
        <v>194.0</v>
      </c>
      <c r="Y33" s="14">
        <v>2306.0</v>
      </c>
      <c r="AA33" s="21">
        <v>260.0</v>
      </c>
      <c r="AB33" s="14">
        <v>34.0</v>
      </c>
      <c r="AC33" s="14">
        <v>130.0</v>
      </c>
    </row>
    <row r="34">
      <c r="A34" s="27">
        <f>HYPERLINK("https://arcprize.org/play?task=1b2d62fb", 26)</f>
        <v>26</v>
      </c>
      <c r="B34" s="14">
        <f>IFERROR(__xludf.DUMMYFUNCTION("min(filter(Scores!B37:AX37,Scores!B37:AX37&gt;0))"),50.0)</f>
        <v>50</v>
      </c>
      <c r="C34" s="14">
        <v>2450.0</v>
      </c>
      <c r="D34" s="51" t="str">
        <f t="array" ref="D34">if(B34,if(countif(Scores!B37:AX37,B34)=1,concat("💎",XLOOKUP(B34,Scores!B37:AX37,Scores!B$1:AX$1)),concat("🥇 x",countif(Scores!B37:AX37,B34))),"")</f>
        <v>🥇 x4</v>
      </c>
      <c r="E34" s="14">
        <f>if(countif(Scores!B37:AX37,B34)=1,F34,-1)</f>
        <v>-1</v>
      </c>
      <c r="F34" s="14">
        <f t="shared" si="1"/>
        <v>50</v>
      </c>
      <c r="G34" s="14">
        <f>IFERROR(__xludf.DUMMYFUNCTION("if(iferror(small(filter(Scores!B37:AX37,Scores!B37:AX37&gt;0),2),-1)&lt;&gt;F34,iferror(small(filter(Scores!B37:AX37,Scores!B37:AX37&gt;0),2),-1),-1)"),-1.0)</f>
        <v>-1</v>
      </c>
      <c r="H34" s="14">
        <f>IFERROR(__xludf.DUMMYFUNCTION("if(iferror(small(filter(Scores!B37:AX37,Scores!B37:AX37&gt;0),3),-1)&lt;&gt;iferror(small(filter(Scores!B37:AX37,Scores!B37:AX37&gt;0),2),-1),iferror(small(filter(Scores!B37:AX37,Scores!B37:AX37&gt;0),3),-1),-1)"),-1.0)</f>
        <v>-1</v>
      </c>
      <c r="I34" s="14">
        <f>IFERROR(__xludf.DUMMYFUNCTION("IFERROR(COLUMNS(filter(Scores!B37:AE37,Scores!B37:AE37)),"""")"),45.0)</f>
        <v>45</v>
      </c>
      <c r="J34" s="14">
        <f>COUNTIF(Scores!B37:AX37,B34)</f>
        <v>4</v>
      </c>
      <c r="K34" s="21">
        <f>IFERROR(__xludf.DUMMYFUNCTION("""COMPUTED_VALUE"""),26.0)</f>
        <v>26</v>
      </c>
      <c r="L34" s="36"/>
      <c r="N34" s="52">
        <f t="shared" si="4"/>
        <v>250</v>
      </c>
      <c r="O34" s="14" t="str">
        <f t="shared" si="2"/>
        <v>250-259</v>
      </c>
      <c r="P34" s="14">
        <f t="shared" si="3"/>
        <v>2</v>
      </c>
      <c r="S34" s="21">
        <v>373.0</v>
      </c>
      <c r="T34" s="14">
        <v>38.0</v>
      </c>
      <c r="U34" s="14">
        <v>2462.0</v>
      </c>
      <c r="W34" s="21">
        <v>308.0</v>
      </c>
      <c r="X34" s="14">
        <v>192.0</v>
      </c>
      <c r="Y34" s="14">
        <v>2308.0</v>
      </c>
      <c r="AA34" s="21">
        <v>382.0</v>
      </c>
      <c r="AB34" s="14">
        <v>34.0</v>
      </c>
      <c r="AC34" s="14">
        <v>124.0</v>
      </c>
    </row>
    <row r="35">
      <c r="A35" s="27">
        <f>HYPERLINK("https://arcprize.org/play?task=1b60fb0c", 27)</f>
        <v>27</v>
      </c>
      <c r="B35" s="14">
        <f>IFERROR(__xludf.DUMMYFUNCTION("min(filter(Scores!B38:AX38,Scores!B38:AX38&gt;0))"),97.0)</f>
        <v>97</v>
      </c>
      <c r="C35" s="14">
        <v>2403.0</v>
      </c>
      <c r="D35" s="51" t="str">
        <f t="array" ref="D35">if(B35,if(countif(Scores!B38:AX38,B35)=1,concat("💎",XLOOKUP(B35,Scores!B38:AX38,Scores!B$1:AX$1)),concat("🥇 x",countif(Scores!B38:AX38,B35))),"")</f>
        <v>💎Code Golf International</v>
      </c>
      <c r="E35" s="14">
        <f>if(countif(Scores!B38:AX38,B35)=1,F35,-1)</f>
        <v>97</v>
      </c>
      <c r="F35" s="14">
        <f t="shared" si="1"/>
        <v>97</v>
      </c>
      <c r="G35" s="14">
        <f>IFERROR(__xludf.DUMMYFUNCTION("if(iferror(small(filter(Scores!B38:AX38,Scores!B38:AX38&gt;0),2),-1)&lt;&gt;F35,iferror(small(filter(Scores!B38:AX38,Scores!B38:AX38&gt;0),2),-1),-1)"),103.0)</f>
        <v>103</v>
      </c>
      <c r="H35" s="14">
        <f>IFERROR(__xludf.DUMMYFUNCTION("if(iferror(small(filter(Scores!B38:AX38,Scores!B38:AX38&gt;0),3),-1)&lt;&gt;iferror(small(filter(Scores!B38:AX38,Scores!B38:AX38&gt;0),2),-1),iferror(small(filter(Scores!B38:AX38,Scores!B38:AX38&gt;0),3),-1),-1)"),-1.0)</f>
        <v>-1</v>
      </c>
      <c r="I35" s="14">
        <f>IFERROR(__xludf.DUMMYFUNCTION("IFERROR(COLUMNS(filter(Scores!B38:AE38,Scores!B38:AE38)),"""")"),39.0)</f>
        <v>39</v>
      </c>
      <c r="J35" s="14">
        <f>COUNTIF(Scores!B38:AX38,B35)</f>
        <v>1</v>
      </c>
      <c r="K35" s="21">
        <f>IFERROR(__xludf.DUMMYFUNCTION("""COMPUTED_VALUE"""),27.0)</f>
        <v>27</v>
      </c>
      <c r="L35" s="36"/>
      <c r="N35" s="52">
        <f t="shared" si="4"/>
        <v>260</v>
      </c>
      <c r="O35" s="14" t="str">
        <f t="shared" si="2"/>
        <v>260-269</v>
      </c>
      <c r="P35" s="14">
        <f t="shared" si="3"/>
        <v>3</v>
      </c>
      <c r="S35" s="21">
        <v>32.0</v>
      </c>
      <c r="T35" s="14">
        <v>39.0</v>
      </c>
      <c r="U35" s="14">
        <v>2461.0</v>
      </c>
      <c r="W35" s="21">
        <v>387.0</v>
      </c>
      <c r="X35" s="14">
        <v>192.0</v>
      </c>
      <c r="Y35" s="14">
        <v>2308.0</v>
      </c>
      <c r="AA35" s="21">
        <v>383.0</v>
      </c>
      <c r="AB35" s="14">
        <v>34.0</v>
      </c>
      <c r="AC35" s="14">
        <v>120.0</v>
      </c>
    </row>
    <row r="36">
      <c r="A36" s="27">
        <f>HYPERLINK("https://arcprize.org/play?task=1bfc4729", 28)</f>
        <v>28</v>
      </c>
      <c r="B36" s="14">
        <f>IFERROR(__xludf.DUMMYFUNCTION("min(filter(Scores!B39:AX39,Scores!B39:AX39&gt;0))"),63.0)</f>
        <v>63</v>
      </c>
      <c r="C36" s="14">
        <v>2437.0</v>
      </c>
      <c r="D36" s="51" t="str">
        <f t="array" ref="D36">if(B36,if(countif(Scores!B39:AX39,B36)=1,concat("💎",XLOOKUP(B36,Scores!B39:AX39,Scores!B$1:AX$1)),concat("🥇 x",countif(Scores!B39:AX39,B36))),"")</f>
        <v>🥇 x3</v>
      </c>
      <c r="E36" s="14">
        <f>if(countif(Scores!B39:AX39,B36)=1,F36,-1)</f>
        <v>-1</v>
      </c>
      <c r="F36" s="14">
        <f t="shared" si="1"/>
        <v>63</v>
      </c>
      <c r="G36" s="14">
        <f>IFERROR(__xludf.DUMMYFUNCTION("if(iferror(small(filter(Scores!B39:AX39,Scores!B39:AX39&gt;0),2),-1)&lt;&gt;F36,iferror(small(filter(Scores!B39:AX39,Scores!B39:AX39&gt;0),2),-1),-1)"),-1.0)</f>
        <v>-1</v>
      </c>
      <c r="H36" s="14">
        <f>IFERROR(__xludf.DUMMYFUNCTION("if(iferror(small(filter(Scores!B39:AX39,Scores!B39:AX39&gt;0),3),-1)&lt;&gt;iferror(small(filter(Scores!B39:AX39,Scores!B39:AX39&gt;0),2),-1),iferror(small(filter(Scores!B39:AX39,Scores!B39:AX39&gt;0),3),-1),-1)"),-1.0)</f>
        <v>-1</v>
      </c>
      <c r="I36" s="14">
        <f>IFERROR(__xludf.DUMMYFUNCTION("IFERROR(COLUMNS(filter(Scores!B39:AE39,Scores!B39:AE39)),"""")"),44.0)</f>
        <v>44</v>
      </c>
      <c r="J36" s="14">
        <f>COUNTIF(Scores!B39:AX39,B36)</f>
        <v>3</v>
      </c>
      <c r="K36" s="21">
        <f>IFERROR(__xludf.DUMMYFUNCTION("""COMPUTED_VALUE"""),28.0)</f>
        <v>28</v>
      </c>
      <c r="L36" s="36"/>
      <c r="N36" s="52">
        <f t="shared" si="4"/>
        <v>270</v>
      </c>
      <c r="O36" s="14" t="str">
        <f t="shared" si="2"/>
        <v>270-279</v>
      </c>
      <c r="P36" s="14">
        <f t="shared" si="3"/>
        <v>2</v>
      </c>
      <c r="S36" s="21">
        <v>56.0</v>
      </c>
      <c r="T36" s="14">
        <v>39.0</v>
      </c>
      <c r="U36" s="14">
        <v>2461.0</v>
      </c>
      <c r="W36" s="21">
        <v>268.0</v>
      </c>
      <c r="X36" s="14">
        <v>190.0</v>
      </c>
      <c r="Y36" s="14">
        <v>2310.0</v>
      </c>
      <c r="AA36" s="21">
        <v>153.0</v>
      </c>
      <c r="AB36" s="14">
        <v>34.0</v>
      </c>
      <c r="AC36" s="14">
        <v>118.0</v>
      </c>
    </row>
    <row r="37">
      <c r="A37" s="27">
        <f>HYPERLINK("https://arcprize.org/play?task=1c786137", 29)</f>
        <v>29</v>
      </c>
      <c r="B37" s="14">
        <f>IFERROR(__xludf.DUMMYFUNCTION("min(filter(Scores!B40:AX40,Scores!B40:AX40&gt;0))"),103.0)</f>
        <v>103</v>
      </c>
      <c r="C37" s="14">
        <v>2397.0</v>
      </c>
      <c r="D37" s="51" t="str">
        <f t="array" ref="D37">if(B37,if(countif(Scores!B40:AX40,B37)=1,concat("💎",XLOOKUP(B37,Scores!B40:AX40,Scores!B$1:AX$1)),concat("🥇 x",countif(Scores!B40:AX40,B37))),"")</f>
        <v>💎Code Golf International</v>
      </c>
      <c r="E37" s="14">
        <f>if(countif(Scores!B40:AX40,B37)=1,F37,-1)</f>
        <v>103</v>
      </c>
      <c r="F37" s="14">
        <f t="shared" si="1"/>
        <v>103</v>
      </c>
      <c r="G37" s="14">
        <f>IFERROR(__xludf.DUMMYFUNCTION("if(iferror(small(filter(Scores!B40:AX40,Scores!B40:AX40&gt;0),2),-1)&lt;&gt;F37,iferror(small(filter(Scores!B40:AX40,Scores!B40:AX40&gt;0),2),-1),-1)"),108.0)</f>
        <v>108</v>
      </c>
      <c r="H37" s="14">
        <f>IFERROR(__xludf.DUMMYFUNCTION("if(iferror(small(filter(Scores!B40:AX40,Scores!B40:AX40&gt;0),3),-1)&lt;&gt;iferror(small(filter(Scores!B40:AX40,Scores!B40:AX40&gt;0),2),-1),iferror(small(filter(Scores!B40:AX40,Scores!B40:AX40&gt;0),3),-1),-1)"),-1.0)</f>
        <v>-1</v>
      </c>
      <c r="I37" s="14">
        <f>IFERROR(__xludf.DUMMYFUNCTION("IFERROR(COLUMNS(filter(Scores!B40:AE40,Scores!B40:AE40)),"""")"),38.0)</f>
        <v>38</v>
      </c>
      <c r="J37" s="14">
        <f>COUNTIF(Scores!B40:AX40,B37)</f>
        <v>1</v>
      </c>
      <c r="K37" s="21">
        <f>IFERROR(__xludf.DUMMYFUNCTION("""COMPUTED_VALUE"""),29.0)</f>
        <v>29</v>
      </c>
      <c r="L37" s="36"/>
      <c r="N37" s="52">
        <f t="shared" si="4"/>
        <v>280</v>
      </c>
      <c r="O37" s="14" t="str">
        <f t="shared" si="2"/>
        <v>280-289</v>
      </c>
      <c r="P37" s="14">
        <f t="shared" si="3"/>
        <v>1</v>
      </c>
      <c r="S37" s="21">
        <v>152.0</v>
      </c>
      <c r="T37" s="14">
        <v>39.0</v>
      </c>
      <c r="U37" s="14">
        <v>2461.0</v>
      </c>
      <c r="W37" s="21">
        <v>201.0</v>
      </c>
      <c r="X37" s="14">
        <v>187.0</v>
      </c>
      <c r="Y37" s="14">
        <v>2313.0</v>
      </c>
      <c r="AA37" s="21">
        <v>117.0</v>
      </c>
      <c r="AB37" s="14">
        <v>34.0</v>
      </c>
      <c r="AC37" s="14">
        <v>115.0</v>
      </c>
    </row>
    <row r="38">
      <c r="A38" s="27">
        <f>HYPERLINK("https://arcprize.org/play?task=1caeab9d", 30)</f>
        <v>30</v>
      </c>
      <c r="B38" s="14">
        <f>IFERROR(__xludf.DUMMYFUNCTION("min(filter(Scores!B41:AX41,Scores!B41:AX41&gt;0))"),93.0)</f>
        <v>93</v>
      </c>
      <c r="C38" s="14">
        <v>2407.0</v>
      </c>
      <c r="D38" s="51" t="str">
        <f t="array" ref="D38">if(B38,if(countif(Scores!B41:AX41,B38)=1,concat("💎",XLOOKUP(B38,Scores!B41:AX41,Scores!B$1:AX$1)),concat("🥇 x",countif(Scores!B41:AX41,B38))),"")</f>
        <v>🥇 x3</v>
      </c>
      <c r="E38" s="14">
        <f>if(countif(Scores!B41:AX41,B38)=1,F38,-1)</f>
        <v>-1</v>
      </c>
      <c r="F38" s="14">
        <f t="shared" si="1"/>
        <v>93</v>
      </c>
      <c r="G38" s="14">
        <f>IFERROR(__xludf.DUMMYFUNCTION("if(iferror(small(filter(Scores!B41:AX41,Scores!B41:AX41&gt;0),2),-1)&lt;&gt;F38,iferror(small(filter(Scores!B41:AX41,Scores!B41:AX41&gt;0),2),-1),-1)"),-1.0)</f>
        <v>-1</v>
      </c>
      <c r="H38" s="14">
        <f>IFERROR(__xludf.DUMMYFUNCTION("if(iferror(small(filter(Scores!B41:AX41,Scores!B41:AX41&gt;0),3),-1)&lt;&gt;iferror(small(filter(Scores!B41:AX41,Scores!B41:AX41&gt;0),2),-1),iferror(small(filter(Scores!B41:AX41,Scores!B41:AX41&gt;0),3),-1),-1)"),-1.0)</f>
        <v>-1</v>
      </c>
      <c r="I38" s="14">
        <f>IFERROR(__xludf.DUMMYFUNCTION("IFERROR(COLUMNS(filter(Scores!B41:AE41,Scores!B41:AE41)),"""")"),39.0)</f>
        <v>39</v>
      </c>
      <c r="J38" s="14">
        <f>COUNTIF(Scores!B41:AX41,B38)</f>
        <v>3</v>
      </c>
      <c r="K38" s="21">
        <f>IFERROR(__xludf.DUMMYFUNCTION("""COMPUTED_VALUE"""),30.0)</f>
        <v>30</v>
      </c>
      <c r="L38" s="36"/>
      <c r="N38" s="52">
        <f t="shared" si="4"/>
        <v>290</v>
      </c>
      <c r="O38" s="14" t="str">
        <f t="shared" si="2"/>
        <v>290-299</v>
      </c>
      <c r="P38" s="14">
        <f t="shared" si="3"/>
        <v>0</v>
      </c>
      <c r="S38" s="21">
        <v>262.0</v>
      </c>
      <c r="T38" s="14">
        <v>39.0</v>
      </c>
      <c r="U38" s="14">
        <v>2461.0</v>
      </c>
      <c r="W38" s="21">
        <v>361.0</v>
      </c>
      <c r="X38" s="14">
        <v>185.0</v>
      </c>
      <c r="Y38" s="14">
        <v>2315.0</v>
      </c>
      <c r="AA38" s="21">
        <v>185.0</v>
      </c>
      <c r="AB38" s="14">
        <v>34.0</v>
      </c>
      <c r="AC38" s="14">
        <v>107.0</v>
      </c>
    </row>
    <row r="39">
      <c r="A39" s="27">
        <f>HYPERLINK("https://arcprize.org/play?task=1cf80156", 31)</f>
        <v>31</v>
      </c>
      <c r="B39" s="14">
        <f>IFERROR(__xludf.DUMMYFUNCTION("min(filter(Scores!B42:AX42,Scores!B42:AX42&gt;0))"),45.0)</f>
        <v>45</v>
      </c>
      <c r="C39" s="14">
        <v>2455.0</v>
      </c>
      <c r="D39" s="51" t="str">
        <f t="array" ref="D39">if(B39,if(countif(Scores!B42:AX42,B39)=1,concat("💎",XLOOKUP(B39,Scores!B42:AX42,Scores!B$1:AX$1)),concat("🥇 x",countif(Scores!B42:AX42,B39))),"")</f>
        <v>🥇 x4</v>
      </c>
      <c r="E39" s="14">
        <f>if(countif(Scores!B42:AX42,B39)=1,F39,-1)</f>
        <v>-1</v>
      </c>
      <c r="F39" s="14">
        <f t="shared" si="1"/>
        <v>45</v>
      </c>
      <c r="G39" s="14">
        <f>IFERROR(__xludf.DUMMYFUNCTION("if(iferror(small(filter(Scores!B42:AX42,Scores!B42:AX42&gt;0),2),-1)&lt;&gt;F39,iferror(small(filter(Scores!B42:AX42,Scores!B42:AX42&gt;0),2),-1),-1)"),-1.0)</f>
        <v>-1</v>
      </c>
      <c r="H39" s="14">
        <f>IFERROR(__xludf.DUMMYFUNCTION("if(iferror(small(filter(Scores!B42:AX42,Scores!B42:AX42&gt;0),3),-1)&lt;&gt;iferror(small(filter(Scores!B42:AX42,Scores!B42:AX42&gt;0),2),-1),iferror(small(filter(Scores!B42:AX42,Scores!B42:AX42&gt;0),3),-1),-1)"),-1.0)</f>
        <v>-1</v>
      </c>
      <c r="I39" s="14">
        <f>IFERROR(__xludf.DUMMYFUNCTION("IFERROR(COLUMNS(filter(Scores!B42:AE42,Scores!B42:AE42)),"""")"),46.0)</f>
        <v>46</v>
      </c>
      <c r="J39" s="14">
        <f>COUNTIF(Scores!B42:AX42,B39)</f>
        <v>4</v>
      </c>
      <c r="K39" s="21">
        <f>IFERROR(__xludf.DUMMYFUNCTION("""COMPUTED_VALUE"""),31.0)</f>
        <v>31</v>
      </c>
      <c r="L39" s="36"/>
      <c r="N39" s="52">
        <f t="shared" si="4"/>
        <v>300</v>
      </c>
      <c r="O39" s="14" t="str">
        <f t="shared" si="2"/>
        <v>300-309</v>
      </c>
      <c r="P39" s="14">
        <f t="shared" si="3"/>
        <v>1</v>
      </c>
      <c r="S39" s="21">
        <v>52.0</v>
      </c>
      <c r="T39" s="14">
        <v>40.0</v>
      </c>
      <c r="U39" s="14">
        <v>2460.0</v>
      </c>
      <c r="W39" s="21">
        <v>23.0</v>
      </c>
      <c r="X39" s="14">
        <v>182.0</v>
      </c>
      <c r="Y39" s="14">
        <v>2318.0</v>
      </c>
      <c r="AA39" s="21">
        <v>279.0</v>
      </c>
      <c r="AB39" s="14">
        <v>34.0</v>
      </c>
      <c r="AC39" s="14">
        <v>106.0</v>
      </c>
    </row>
    <row r="40">
      <c r="A40" s="27">
        <f>HYPERLINK("https://arcprize.org/play?task=1e0a9b12", 32)</f>
        <v>32</v>
      </c>
      <c r="B40" s="14">
        <f>IFERROR(__xludf.DUMMYFUNCTION("min(filter(Scores!B43:AX43,Scores!B43:AX43&gt;0))"),39.0)</f>
        <v>39</v>
      </c>
      <c r="C40" s="14">
        <v>2461.0</v>
      </c>
      <c r="D40" s="51" t="str">
        <f t="array" ref="D40">if(B40,if(countif(Scores!B43:AX43,B40)=1,concat("💎",XLOOKUP(B40,Scores!B43:AX43,Scores!B$1:AX$1)),concat("🥇 x",countif(Scores!B43:AX43,B40))),"")</f>
        <v>🥇 x36</v>
      </c>
      <c r="E40" s="14">
        <f>if(countif(Scores!B43:AX43,B40)=1,F40,-1)</f>
        <v>-1</v>
      </c>
      <c r="F40" s="14">
        <f t="shared" si="1"/>
        <v>39</v>
      </c>
      <c r="G40" s="14">
        <f>IFERROR(__xludf.DUMMYFUNCTION("if(iferror(small(filter(Scores!B43:AX43,Scores!B43:AX43&gt;0),2),-1)&lt;&gt;F40,iferror(small(filter(Scores!B43:AX43,Scores!B43:AX43&gt;0),2),-1),-1)"),-1.0)</f>
        <v>-1</v>
      </c>
      <c r="H40" s="14">
        <f>IFERROR(__xludf.DUMMYFUNCTION("if(iferror(small(filter(Scores!B43:AX43,Scores!B43:AX43&gt;0),3),-1)&lt;&gt;iferror(small(filter(Scores!B43:AX43,Scores!B43:AX43&gt;0),2),-1),iferror(small(filter(Scores!B43:AX43,Scores!B43:AX43&gt;0),3),-1),-1)"),-1.0)</f>
        <v>-1</v>
      </c>
      <c r="I40" s="14">
        <f>IFERROR(__xludf.DUMMYFUNCTION("IFERROR(COLUMNS(filter(Scores!B43:AE43,Scores!B43:AE43)),"""")"),46.0)</f>
        <v>46</v>
      </c>
      <c r="J40" s="14">
        <f>COUNTIF(Scores!B43:AX43,B40)</f>
        <v>36</v>
      </c>
      <c r="K40" s="21">
        <f>IFERROR(__xludf.DUMMYFUNCTION("""COMPUTED_VALUE"""),32.0)</f>
        <v>32</v>
      </c>
      <c r="L40" s="36"/>
      <c r="N40" s="52">
        <f t="shared" si="4"/>
        <v>310</v>
      </c>
      <c r="O40" s="14" t="str">
        <f t="shared" si="2"/>
        <v>310-319</v>
      </c>
      <c r="P40" s="14">
        <f t="shared" si="3"/>
        <v>0</v>
      </c>
      <c r="S40" s="21">
        <v>83.0</v>
      </c>
      <c r="T40" s="14">
        <v>40.0</v>
      </c>
      <c r="U40" s="14">
        <v>2460.0</v>
      </c>
      <c r="W40" s="21">
        <v>264.0</v>
      </c>
      <c r="X40" s="14">
        <v>178.0</v>
      </c>
      <c r="Y40" s="14">
        <v>2322.0</v>
      </c>
      <c r="AA40" s="21">
        <v>265.0</v>
      </c>
      <c r="AB40" s="14">
        <v>34.0</v>
      </c>
      <c r="AC40" s="14">
        <v>104.0</v>
      </c>
    </row>
    <row r="41">
      <c r="A41" s="27">
        <f>HYPERLINK("https://arcprize.org/play?task=1e32b0e9", 33)</f>
        <v>33</v>
      </c>
      <c r="B41" s="14">
        <f>IFERROR(__xludf.DUMMYFUNCTION("min(filter(Scores!B44:AX44,Scores!B44:AX44&gt;0))"),71.0)</f>
        <v>71</v>
      </c>
      <c r="C41" s="14">
        <v>2429.0</v>
      </c>
      <c r="D41" s="51" t="str">
        <f t="array" ref="D41">if(B41,if(countif(Scores!B44:AX44,B41)=1,concat("💎",XLOOKUP(B41,Scores!B44:AX44,Scores!B$1:AX$1)),concat("🥇 x",countif(Scores!B44:AX44,B41))),"")</f>
        <v>💎Code Golf International</v>
      </c>
      <c r="E41" s="14">
        <f>if(countif(Scores!B44:AX44,B41)=1,F41,-1)</f>
        <v>71</v>
      </c>
      <c r="F41" s="14">
        <f t="shared" si="1"/>
        <v>71</v>
      </c>
      <c r="G41" s="14">
        <f>IFERROR(__xludf.DUMMYFUNCTION("if(iferror(small(filter(Scores!B44:AX44,Scores!B44:AX44&gt;0),2),-1)&lt;&gt;F41,iferror(small(filter(Scores!B44:AX44,Scores!B44:AX44&gt;0),2),-1),-1)"),73.0)</f>
        <v>73</v>
      </c>
      <c r="H41" s="14">
        <f>IFERROR(__xludf.DUMMYFUNCTION("if(iferror(small(filter(Scores!B44:AX44,Scores!B44:AX44&gt;0),3),-1)&lt;&gt;iferror(small(filter(Scores!B44:AX44,Scores!B44:AX44&gt;0),2),-1),iferror(small(filter(Scores!B44:AX44,Scores!B44:AX44&gt;0),3),-1),-1)"),-1.0)</f>
        <v>-1</v>
      </c>
      <c r="I41" s="14">
        <f>IFERROR(__xludf.DUMMYFUNCTION("IFERROR(COLUMNS(filter(Scores!B44:AE44,Scores!B44:AE44)),"""")"),42.0)</f>
        <v>42</v>
      </c>
      <c r="J41" s="14">
        <f>COUNTIF(Scores!B44:AX44,B41)</f>
        <v>1</v>
      </c>
      <c r="K41" s="21">
        <f>IFERROR(__xludf.DUMMYFUNCTION("""COMPUTED_VALUE"""),33.0)</f>
        <v>33</v>
      </c>
      <c r="L41" s="36"/>
      <c r="N41" s="52">
        <f t="shared" si="4"/>
        <v>320</v>
      </c>
      <c r="O41" s="14" t="str">
        <f t="shared" si="2"/>
        <v>320-329</v>
      </c>
      <c r="P41" s="14">
        <f t="shared" si="3"/>
        <v>0</v>
      </c>
      <c r="S41" s="21">
        <v>142.0</v>
      </c>
      <c r="T41" s="14">
        <v>40.0</v>
      </c>
      <c r="U41" s="14">
        <v>2460.0</v>
      </c>
      <c r="W41" s="21">
        <v>363.0</v>
      </c>
      <c r="X41" s="14">
        <v>175.0</v>
      </c>
      <c r="Y41" s="14">
        <v>2325.0</v>
      </c>
      <c r="AA41" s="21">
        <v>250.0</v>
      </c>
      <c r="AB41" s="14">
        <v>34.0</v>
      </c>
      <c r="AC41" s="14">
        <v>95.0</v>
      </c>
    </row>
    <row r="42">
      <c r="A42" s="27">
        <f>HYPERLINK("https://arcprize.org/play?task=1f0c79e5", 34)</f>
        <v>34</v>
      </c>
      <c r="B42" s="14">
        <f>IFERROR(__xludf.DUMMYFUNCTION("min(filter(Scores!B45:AX45,Scores!B45:AX45&gt;0))"),116.0)</f>
        <v>116</v>
      </c>
      <c r="C42" s="14">
        <v>2384.0</v>
      </c>
      <c r="D42" s="51" t="str">
        <f t="array" ref="D42">if(B42,if(countif(Scores!B45:AX45,B42)=1,concat("💎",XLOOKUP(B42,Scores!B45:AX45,Scores!B$1:AX$1)),concat("🥇 x",countif(Scores!B45:AX45,B42))),"")</f>
        <v>💎Code Golf International</v>
      </c>
      <c r="E42" s="14">
        <f>if(countif(Scores!B45:AX45,B42)=1,F42,-1)</f>
        <v>116</v>
      </c>
      <c r="F42" s="14">
        <f t="shared" si="1"/>
        <v>116</v>
      </c>
      <c r="G42" s="14">
        <f>IFERROR(__xludf.DUMMYFUNCTION("if(iferror(small(filter(Scores!B45:AX45,Scores!B45:AX45&gt;0),2),-1)&lt;&gt;F42,iferror(small(filter(Scores!B45:AX45,Scores!B45:AX45&gt;0),2),-1),-1)"),125.0)</f>
        <v>125</v>
      </c>
      <c r="H42" s="14">
        <f>IFERROR(__xludf.DUMMYFUNCTION("if(iferror(small(filter(Scores!B45:AX45,Scores!B45:AX45&gt;0),3),-1)&lt;&gt;iferror(small(filter(Scores!B45:AX45,Scores!B45:AX45&gt;0),2),-1),iferror(small(filter(Scores!B45:AX45,Scores!B45:AX45&gt;0),3),-1),-1)"),126.0)</f>
        <v>126</v>
      </c>
      <c r="I42" s="14">
        <f>IFERROR(__xludf.DUMMYFUNCTION("IFERROR(COLUMNS(filter(Scores!B45:AE45,Scores!B45:AE45)),"""")"),37.0)</f>
        <v>37</v>
      </c>
      <c r="J42" s="14">
        <f>COUNTIF(Scores!B45:AX45,B42)</f>
        <v>1</v>
      </c>
      <c r="K42" s="21">
        <f>IFERROR(__xludf.DUMMYFUNCTION("""COMPUTED_VALUE"""),34.0)</f>
        <v>34</v>
      </c>
      <c r="L42" s="36"/>
      <c r="N42" s="52">
        <f t="shared" si="4"/>
        <v>330</v>
      </c>
      <c r="O42" s="14" t="str">
        <f t="shared" si="2"/>
        <v>330-339</v>
      </c>
      <c r="P42" s="14">
        <f t="shared" si="3"/>
        <v>0</v>
      </c>
      <c r="S42" s="21">
        <v>215.0</v>
      </c>
      <c r="T42" s="14">
        <v>42.0</v>
      </c>
      <c r="U42" s="14">
        <v>2458.0</v>
      </c>
      <c r="W42" s="21">
        <v>349.0</v>
      </c>
      <c r="X42" s="14">
        <v>172.0</v>
      </c>
      <c r="Y42" s="14">
        <v>2328.0</v>
      </c>
      <c r="AA42" s="21">
        <v>366.0</v>
      </c>
      <c r="AB42" s="14">
        <v>35.0</v>
      </c>
      <c r="AC42" s="14">
        <v>301.0</v>
      </c>
    </row>
    <row r="43">
      <c r="A43" s="27">
        <f>HYPERLINK("https://arcprize.org/play?task=1f642eb9", 35)</f>
        <v>35</v>
      </c>
      <c r="B43" s="14">
        <f>IFERROR(__xludf.DUMMYFUNCTION("min(filter(Scores!B46:AX46,Scores!B46:AX46&gt;0))"),82.0)</f>
        <v>82</v>
      </c>
      <c r="C43" s="14">
        <v>2418.0</v>
      </c>
      <c r="D43" s="51" t="str">
        <f t="array" ref="D43">if(B43,if(countif(Scores!B46:AX46,B43)=1,concat("💎",XLOOKUP(B43,Scores!B46:AX46,Scores!B$1:AX$1)),concat("🥇 x",countif(Scores!B46:AX46,B43))),"")</f>
        <v>🥇 x2</v>
      </c>
      <c r="E43" s="14">
        <f>if(countif(Scores!B46:AX46,B43)=1,F43,-1)</f>
        <v>-1</v>
      </c>
      <c r="F43" s="14">
        <f t="shared" si="1"/>
        <v>82</v>
      </c>
      <c r="G43" s="14">
        <f>IFERROR(__xludf.DUMMYFUNCTION("if(iferror(small(filter(Scores!B46:AX46,Scores!B46:AX46&gt;0),2),-1)&lt;&gt;F43,iferror(small(filter(Scores!B46:AX46,Scores!B46:AX46&gt;0),2),-1),-1)"),-1.0)</f>
        <v>-1</v>
      </c>
      <c r="H43" s="14">
        <f>IFERROR(__xludf.DUMMYFUNCTION("if(iferror(small(filter(Scores!B46:AX46,Scores!B46:AX46&gt;0),3),-1)&lt;&gt;iferror(small(filter(Scores!B46:AX46,Scores!B46:AX46&gt;0),2),-1),iferror(small(filter(Scores!B46:AX46,Scores!B46:AX46&gt;0),3),-1),-1)"),83.0)</f>
        <v>83</v>
      </c>
      <c r="I43" s="14">
        <f>IFERROR(__xludf.DUMMYFUNCTION("IFERROR(COLUMNS(filter(Scores!B46:AE46,Scores!B46:AE46)),"""")"),40.0)</f>
        <v>40</v>
      </c>
      <c r="J43" s="14">
        <f>COUNTIF(Scores!B46:AX46,B43)</f>
        <v>2</v>
      </c>
      <c r="K43" s="21">
        <f>IFERROR(__xludf.DUMMYFUNCTION("""COMPUTED_VALUE"""),35.0)</f>
        <v>35</v>
      </c>
      <c r="L43" s="36"/>
      <c r="N43" s="52">
        <f t="shared" si="4"/>
        <v>340</v>
      </c>
      <c r="O43" s="14" t="str">
        <f t="shared" si="2"/>
        <v>340-349</v>
      </c>
      <c r="P43" s="14">
        <f t="shared" si="3"/>
        <v>0</v>
      </c>
      <c r="S43" s="21">
        <v>231.0</v>
      </c>
      <c r="T43" s="14">
        <v>42.0</v>
      </c>
      <c r="U43" s="14">
        <v>2458.0</v>
      </c>
      <c r="W43" s="21">
        <v>5.0</v>
      </c>
      <c r="X43" s="14">
        <v>166.0</v>
      </c>
      <c r="Y43" s="14">
        <v>2334.0</v>
      </c>
      <c r="AA43" s="21">
        <v>96.0</v>
      </c>
      <c r="AB43" s="14">
        <v>35.0</v>
      </c>
      <c r="AC43" s="14">
        <v>282.0</v>
      </c>
    </row>
    <row r="44">
      <c r="A44" s="27">
        <f>HYPERLINK("https://arcprize.org/play?task=1f85a75f", 36)</f>
        <v>36</v>
      </c>
      <c r="B44" s="14">
        <f>IFERROR(__xludf.DUMMYFUNCTION("min(filter(Scores!B47:AX47,Scores!B47:AX47&gt;0))"),75.0)</f>
        <v>75</v>
      </c>
      <c r="C44" s="14">
        <v>2425.0</v>
      </c>
      <c r="D44" s="51" t="str">
        <f t="array" ref="D44">if(B44,if(countif(Scores!B47:AX47,B44)=1,concat("💎",XLOOKUP(B44,Scores!B47:AX47,Scores!B$1:AX$1)),concat("🥇 x",countif(Scores!B47:AX47,B44))),"")</f>
        <v>🥇 x3</v>
      </c>
      <c r="E44" s="14">
        <f>if(countif(Scores!B47:AX47,B44)=1,F44,-1)</f>
        <v>-1</v>
      </c>
      <c r="F44" s="14">
        <f t="shared" si="1"/>
        <v>75</v>
      </c>
      <c r="G44" s="14">
        <f>IFERROR(__xludf.DUMMYFUNCTION("if(iferror(small(filter(Scores!B47:AX47,Scores!B47:AX47&gt;0),2),-1)&lt;&gt;F44,iferror(small(filter(Scores!B47:AX47,Scores!B47:AX47&gt;0),2),-1),-1)"),-1.0)</f>
        <v>-1</v>
      </c>
      <c r="H44" s="14">
        <f>IFERROR(__xludf.DUMMYFUNCTION("if(iferror(small(filter(Scores!B47:AX47,Scores!B47:AX47&gt;0),3),-1)&lt;&gt;iferror(small(filter(Scores!B47:AX47,Scores!B47:AX47&gt;0),2),-1),iferror(small(filter(Scores!B47:AX47,Scores!B47:AX47&gt;0),3),-1),-1)"),-1.0)</f>
        <v>-1</v>
      </c>
      <c r="I44" s="14">
        <f>IFERROR(__xludf.DUMMYFUNCTION("IFERROR(COLUMNS(filter(Scores!B47:AE47,Scores!B47:AE47)),"""")"),41.0)</f>
        <v>41</v>
      </c>
      <c r="J44" s="14">
        <f>COUNTIF(Scores!B47:AX47,B44)</f>
        <v>3</v>
      </c>
      <c r="K44" s="21">
        <f>IFERROR(__xludf.DUMMYFUNCTION("""COMPUTED_VALUE"""),36.0)</f>
        <v>36</v>
      </c>
      <c r="L44" s="36"/>
      <c r="N44" s="52">
        <f t="shared" si="4"/>
        <v>350</v>
      </c>
      <c r="O44" s="14" t="str">
        <f t="shared" si="2"/>
        <v>350-359</v>
      </c>
      <c r="P44" s="14">
        <f t="shared" si="3"/>
        <v>0</v>
      </c>
      <c r="S44" s="21">
        <v>16.0</v>
      </c>
      <c r="T44" s="14">
        <v>43.0</v>
      </c>
      <c r="U44" s="14">
        <v>2457.0</v>
      </c>
      <c r="W44" s="21">
        <v>46.0</v>
      </c>
      <c r="X44" s="14">
        <v>166.0</v>
      </c>
      <c r="Y44" s="14">
        <v>2334.0</v>
      </c>
      <c r="AA44" s="21">
        <v>133.0</v>
      </c>
      <c r="AB44" s="14">
        <v>35.0</v>
      </c>
      <c r="AC44" s="14">
        <v>273.0</v>
      </c>
    </row>
    <row r="45">
      <c r="A45" s="27">
        <f>HYPERLINK("https://arcprize.org/play?task=1f876c06", 37)</f>
        <v>37</v>
      </c>
      <c r="B45" s="14">
        <f>IFERROR(__xludf.DUMMYFUNCTION("min(filter(Scores!B48:AX48,Scores!B48:AX48&gt;0))"),101.0)</f>
        <v>101</v>
      </c>
      <c r="C45" s="14">
        <v>2399.0</v>
      </c>
      <c r="D45" s="51" t="str">
        <f t="array" ref="D45">if(B45,if(countif(Scores!B48:AX48,B45)=1,concat("💎",XLOOKUP(B45,Scores!B48:AX48,Scores!B$1:AX$1)),concat("🥇 x",countif(Scores!B48:AX48,B45))),"")</f>
        <v>💎Code Golf International</v>
      </c>
      <c r="E45" s="14">
        <f>if(countif(Scores!B48:AX48,B45)=1,F45,-1)</f>
        <v>101</v>
      </c>
      <c r="F45" s="14">
        <f t="shared" si="1"/>
        <v>101</v>
      </c>
      <c r="G45" s="14">
        <f>IFERROR(__xludf.DUMMYFUNCTION("if(iferror(small(filter(Scores!B48:AX48,Scores!B48:AX48&gt;0),2),-1)&lt;&gt;F45,iferror(small(filter(Scores!B48:AX48,Scores!B48:AX48&gt;0),2),-1),-1)"),104.0)</f>
        <v>104</v>
      </c>
      <c r="H45" s="14">
        <f>IFERROR(__xludf.DUMMYFUNCTION("if(iferror(small(filter(Scores!B48:AX48,Scores!B48:AX48&gt;0),3),-1)&lt;&gt;iferror(small(filter(Scores!B48:AX48,Scores!B48:AX48&gt;0),2),-1),iferror(small(filter(Scores!B48:AX48,Scores!B48:AX48&gt;0),3),-1),-1)"),-1.0)</f>
        <v>-1</v>
      </c>
      <c r="I45" s="14">
        <f>IFERROR(__xludf.DUMMYFUNCTION("IFERROR(COLUMNS(filter(Scores!B48:AE48,Scores!B48:AE48)),"""")"),38.0)</f>
        <v>38</v>
      </c>
      <c r="J45" s="14">
        <f>COUNTIF(Scores!B48:AX48,B45)</f>
        <v>1</v>
      </c>
      <c r="K45" s="21">
        <f>IFERROR(__xludf.DUMMYFUNCTION("""COMPUTED_VALUE"""),37.0)</f>
        <v>37</v>
      </c>
      <c r="L45" s="36"/>
      <c r="N45" s="52">
        <f t="shared" si="4"/>
        <v>360</v>
      </c>
      <c r="O45" s="14" t="str">
        <f t="shared" si="2"/>
        <v>360-369</v>
      </c>
      <c r="P45" s="14">
        <f t="shared" si="3"/>
        <v>0</v>
      </c>
      <c r="S45" s="21">
        <v>297.0</v>
      </c>
      <c r="T45" s="14">
        <v>43.0</v>
      </c>
      <c r="U45" s="14">
        <v>2457.0</v>
      </c>
      <c r="W45" s="21">
        <v>170.0</v>
      </c>
      <c r="X45" s="14">
        <v>163.0</v>
      </c>
      <c r="Y45" s="14">
        <v>2337.0</v>
      </c>
      <c r="AA45" s="21">
        <v>54.0</v>
      </c>
      <c r="AB45" s="14">
        <v>35.0</v>
      </c>
      <c r="AC45" s="14">
        <v>266.0</v>
      </c>
    </row>
    <row r="46">
      <c r="A46" s="27">
        <f>HYPERLINK("https://arcprize.org/play?task=1fad071e", 38)</f>
        <v>38</v>
      </c>
      <c r="B46" s="14">
        <f>IFERROR(__xludf.DUMMYFUNCTION("min(filter(Scores!B49:AX49,Scores!B49:AX49&gt;0))"),51.0)</f>
        <v>51</v>
      </c>
      <c r="C46" s="14">
        <v>2449.0</v>
      </c>
      <c r="D46" s="51" t="str">
        <f t="array" ref="D46">if(B46,if(countif(Scores!B49:AX49,B46)=1,concat("💎",XLOOKUP(B46,Scores!B49:AX49,Scores!B$1:AX$1)),concat("🥇 x",countif(Scores!B49:AX49,B46))),"")</f>
        <v>🥇 x13</v>
      </c>
      <c r="E46" s="14">
        <f>if(countif(Scores!B49:AX49,B46)=1,F46,-1)</f>
        <v>-1</v>
      </c>
      <c r="F46" s="14">
        <f t="shared" si="1"/>
        <v>51</v>
      </c>
      <c r="G46" s="14">
        <f>IFERROR(__xludf.DUMMYFUNCTION("if(iferror(small(filter(Scores!B49:AX49,Scores!B49:AX49&gt;0),2),-1)&lt;&gt;F46,iferror(small(filter(Scores!B49:AX49,Scores!B49:AX49&gt;0),2),-1),-1)"),-1.0)</f>
        <v>-1</v>
      </c>
      <c r="H46" s="14">
        <f>IFERROR(__xludf.DUMMYFUNCTION("if(iferror(small(filter(Scores!B49:AX49,Scores!B49:AX49&gt;0),3),-1)&lt;&gt;iferror(small(filter(Scores!B49:AX49,Scores!B49:AX49&gt;0),2),-1),iferror(small(filter(Scores!B49:AX49,Scores!B49:AX49&gt;0),3),-1),-1)"),-1.0)</f>
        <v>-1</v>
      </c>
      <c r="I46" s="14">
        <f>IFERROR(__xludf.DUMMYFUNCTION("IFERROR(COLUMNS(filter(Scores!B49:AE49,Scores!B49:AE49)),"""")"),45.0)</f>
        <v>45</v>
      </c>
      <c r="J46" s="14">
        <f>COUNTIF(Scores!B49:AX49,B46)</f>
        <v>13</v>
      </c>
      <c r="K46" s="21">
        <f>IFERROR(__xludf.DUMMYFUNCTION("""COMPUTED_VALUE"""),38.0)</f>
        <v>38</v>
      </c>
      <c r="L46" s="36"/>
      <c r="N46" s="52">
        <f t="shared" si="4"/>
        <v>370</v>
      </c>
      <c r="O46" s="14" t="str">
        <f t="shared" si="2"/>
        <v>370-379</v>
      </c>
      <c r="P46" s="14">
        <f t="shared" si="3"/>
        <v>0</v>
      </c>
      <c r="S46" s="21">
        <v>317.0</v>
      </c>
      <c r="T46" s="14">
        <v>43.0</v>
      </c>
      <c r="U46" s="14">
        <v>2457.0</v>
      </c>
      <c r="W46" s="21">
        <v>208.0</v>
      </c>
      <c r="X46" s="14">
        <v>163.0</v>
      </c>
      <c r="Y46" s="14">
        <v>2337.0</v>
      </c>
      <c r="AA46" s="21">
        <v>158.0</v>
      </c>
      <c r="AB46" s="14">
        <v>35.0</v>
      </c>
      <c r="AC46" s="14">
        <v>260.0</v>
      </c>
    </row>
    <row r="47">
      <c r="A47" s="27">
        <f>HYPERLINK("https://arcprize.org/play?task=2013d3e2", 39)</f>
        <v>39</v>
      </c>
      <c r="B47" s="14">
        <f>IFERROR(__xludf.DUMMYFUNCTION("min(filter(Scores!B50:AX50,Scores!B50:AX50&gt;0))"),60.0)</f>
        <v>60</v>
      </c>
      <c r="C47" s="14">
        <v>2440.0</v>
      </c>
      <c r="D47" s="51" t="str">
        <f t="array" ref="D47">if(B47,if(countif(Scores!B50:AX50,B47)=1,concat("💎",XLOOKUP(B47,Scores!B50:AX50,Scores!B$1:AX$1)),concat("🥇 x",countif(Scores!B50:AX50,B47))),"")</f>
        <v>🥇 x5</v>
      </c>
      <c r="E47" s="14">
        <f>if(countif(Scores!B50:AX50,B47)=1,F47,-1)</f>
        <v>-1</v>
      </c>
      <c r="F47" s="14">
        <f t="shared" si="1"/>
        <v>60</v>
      </c>
      <c r="G47" s="14">
        <f>IFERROR(__xludf.DUMMYFUNCTION("if(iferror(small(filter(Scores!B50:AX50,Scores!B50:AX50&gt;0),2),-1)&lt;&gt;F47,iferror(small(filter(Scores!B50:AX50,Scores!B50:AX50&gt;0),2),-1),-1)"),-1.0)</f>
        <v>-1</v>
      </c>
      <c r="H47" s="14">
        <f>IFERROR(__xludf.DUMMYFUNCTION("if(iferror(small(filter(Scores!B50:AX50,Scores!B50:AX50&gt;0),3),-1)&lt;&gt;iferror(small(filter(Scores!B50:AX50,Scores!B50:AX50&gt;0),2),-1),iferror(small(filter(Scores!B50:AX50,Scores!B50:AX50&gt;0),3),-1),-1)"),-1.0)</f>
        <v>-1</v>
      </c>
      <c r="I47" s="14">
        <f>IFERROR(__xludf.DUMMYFUNCTION("IFERROR(COLUMNS(filter(Scores!B50:AE50,Scores!B50:AE50)),"""")"),43.0)</f>
        <v>43</v>
      </c>
      <c r="J47" s="14">
        <f>COUNTIF(Scores!B50:AX50,B47)</f>
        <v>5</v>
      </c>
      <c r="K47" s="21">
        <f>IFERROR(__xludf.DUMMYFUNCTION("""COMPUTED_VALUE"""),39.0)</f>
        <v>39</v>
      </c>
      <c r="L47" s="36"/>
      <c r="N47" s="52">
        <f t="shared" si="4"/>
        <v>380</v>
      </c>
      <c r="O47" s="14" t="str">
        <f t="shared" si="2"/>
        <v>380-389</v>
      </c>
      <c r="P47" s="14">
        <f t="shared" si="3"/>
        <v>0</v>
      </c>
      <c r="S47" s="21">
        <v>337.0</v>
      </c>
      <c r="T47" s="14">
        <v>43.0</v>
      </c>
      <c r="U47" s="14">
        <v>2457.0</v>
      </c>
      <c r="W47" s="21">
        <v>182.0</v>
      </c>
      <c r="X47" s="14">
        <v>160.0</v>
      </c>
      <c r="Y47" s="14">
        <v>2340.0</v>
      </c>
      <c r="AA47" s="21">
        <v>44.0</v>
      </c>
      <c r="AB47" s="14">
        <v>35.0</v>
      </c>
      <c r="AC47" s="14">
        <v>195.0</v>
      </c>
    </row>
    <row r="48">
      <c r="A48" s="27">
        <f>HYPERLINK("https://arcprize.org/play?task=2204b7a8", 40)</f>
        <v>40</v>
      </c>
      <c r="B48" s="14">
        <f>IFERROR(__xludf.DUMMYFUNCTION("min(filter(Scores!B51:AX51,Scores!B51:AX51&gt;0))"),63.0)</f>
        <v>63</v>
      </c>
      <c r="C48" s="14">
        <v>2437.0</v>
      </c>
      <c r="D48" s="51" t="str">
        <f t="array" ref="D48">if(B48,if(countif(Scores!B51:AX51,B48)=1,concat("💎",XLOOKUP(B48,Scores!B51:AX51,Scores!B$1:AX$1)),concat("🥇 x",countif(Scores!B51:AX51,B48))),"")</f>
        <v>💎Code Golf International</v>
      </c>
      <c r="E48" s="14">
        <f>if(countif(Scores!B51:AX51,B48)=1,F48,-1)</f>
        <v>63</v>
      </c>
      <c r="F48" s="14">
        <f t="shared" si="1"/>
        <v>63</v>
      </c>
      <c r="G48" s="14">
        <f>IFERROR(__xludf.DUMMYFUNCTION("if(iferror(small(filter(Scores!B51:AX51,Scores!B51:AX51&gt;0),2),-1)&lt;&gt;F48,iferror(small(filter(Scores!B51:AX51,Scores!B51:AX51&gt;0),2),-1),-1)"),69.0)</f>
        <v>69</v>
      </c>
      <c r="H48" s="14">
        <f>IFERROR(__xludf.DUMMYFUNCTION("if(iferror(small(filter(Scores!B51:AX51,Scores!B51:AX51&gt;0),3),-1)&lt;&gt;iferror(small(filter(Scores!B51:AX51,Scores!B51:AX51&gt;0),2),-1),iferror(small(filter(Scores!B51:AX51,Scores!B51:AX51&gt;0),3),-1),-1)"),-1.0)</f>
        <v>-1</v>
      </c>
      <c r="I48" s="14">
        <f>IFERROR(__xludf.DUMMYFUNCTION("IFERROR(COLUMNS(filter(Scores!B51:AE51,Scores!B51:AE51)),"""")"),41.0)</f>
        <v>41</v>
      </c>
      <c r="J48" s="14">
        <f>COUNTIF(Scores!B51:AX51,B48)</f>
        <v>1</v>
      </c>
      <c r="K48" s="21">
        <f>IFERROR(__xludf.DUMMYFUNCTION("""COMPUTED_VALUE"""),40.0)</f>
        <v>40</v>
      </c>
      <c r="L48" s="36"/>
      <c r="N48" s="52">
        <f t="shared" si="4"/>
        <v>390</v>
      </c>
      <c r="O48" s="14" t="str">
        <f t="shared" si="2"/>
        <v>390-399</v>
      </c>
      <c r="P48" s="14">
        <f t="shared" si="3"/>
        <v>0</v>
      </c>
      <c r="S48" s="21">
        <v>312.0</v>
      </c>
      <c r="T48" s="14">
        <v>44.0</v>
      </c>
      <c r="U48" s="14">
        <v>2456.0</v>
      </c>
      <c r="W48" s="21">
        <v>370.0</v>
      </c>
      <c r="X48" s="14">
        <v>159.0</v>
      </c>
      <c r="Y48" s="14">
        <v>2341.0</v>
      </c>
      <c r="AA48" s="21">
        <v>284.0</v>
      </c>
      <c r="AB48" s="14">
        <v>35.0</v>
      </c>
      <c r="AC48" s="14">
        <v>195.0</v>
      </c>
    </row>
    <row r="49">
      <c r="A49" s="27">
        <f>HYPERLINK("https://arcprize.org/play?task=22168020", 41)</f>
        <v>41</v>
      </c>
      <c r="B49" s="14">
        <f>IFERROR(__xludf.DUMMYFUNCTION("min(filter(Scores!B52:AX52,Scores!B52:AX52&gt;0))"),49.0)</f>
        <v>49</v>
      </c>
      <c r="C49" s="14">
        <v>2451.0</v>
      </c>
      <c r="D49" s="51" t="str">
        <f t="array" ref="D49">if(B49,if(countif(Scores!B52:AX52,B49)=1,concat("💎",XLOOKUP(B49,Scores!B52:AX52,Scores!B$1:AX$1)),concat("🥇 x",countif(Scores!B52:AX52,B49))),"")</f>
        <v>🥇 x21</v>
      </c>
      <c r="E49" s="14">
        <f>if(countif(Scores!B52:AX52,B49)=1,F49,-1)</f>
        <v>-1</v>
      </c>
      <c r="F49" s="14">
        <f t="shared" si="1"/>
        <v>49</v>
      </c>
      <c r="G49" s="14">
        <f>IFERROR(__xludf.DUMMYFUNCTION("if(iferror(small(filter(Scores!B52:AX52,Scores!B52:AX52&gt;0),2),-1)&lt;&gt;F49,iferror(small(filter(Scores!B52:AX52,Scores!B52:AX52&gt;0),2),-1),-1)"),-1.0)</f>
        <v>-1</v>
      </c>
      <c r="H49" s="14">
        <f>IFERROR(__xludf.DUMMYFUNCTION("if(iferror(small(filter(Scores!B52:AX52,Scores!B52:AX52&gt;0),3),-1)&lt;&gt;iferror(small(filter(Scores!B52:AX52,Scores!B52:AX52&gt;0),2),-1),iferror(small(filter(Scores!B52:AX52,Scores!B52:AX52&gt;0),3),-1),-1)"),-1.0)</f>
        <v>-1</v>
      </c>
      <c r="I49" s="14">
        <f>IFERROR(__xludf.DUMMYFUNCTION("IFERROR(COLUMNS(filter(Scores!B52:AE52,Scores!B52:AE52)),"""")"),45.0)</f>
        <v>45</v>
      </c>
      <c r="J49" s="14">
        <f>COUNTIF(Scores!B52:AX52,B49)</f>
        <v>21</v>
      </c>
      <c r="K49" s="21">
        <f>IFERROR(__xludf.DUMMYFUNCTION("""COMPUTED_VALUE"""),41.0)</f>
        <v>41</v>
      </c>
      <c r="L49" s="36"/>
      <c r="N49" s="52">
        <f t="shared" si="4"/>
        <v>400</v>
      </c>
      <c r="O49" s="14" t="str">
        <f t="shared" si="2"/>
        <v>400+</v>
      </c>
      <c r="P49" s="14">
        <f t="shared" si="3"/>
        <v>0</v>
      </c>
      <c r="S49" s="21">
        <v>31.0</v>
      </c>
      <c r="T49" s="14">
        <v>45.0</v>
      </c>
      <c r="U49" s="14">
        <v>2455.0</v>
      </c>
      <c r="W49" s="21">
        <v>328.0</v>
      </c>
      <c r="X49" s="14">
        <v>158.0</v>
      </c>
      <c r="Y49" s="14">
        <v>2342.0</v>
      </c>
      <c r="AA49" s="21">
        <v>387.0</v>
      </c>
      <c r="AB49" s="14">
        <v>35.0</v>
      </c>
      <c r="AC49" s="14">
        <v>192.0</v>
      </c>
    </row>
    <row r="50">
      <c r="A50" s="27">
        <f>HYPERLINK("https://arcprize.org/play?task=22233c11", 42)</f>
        <v>42</v>
      </c>
      <c r="B50" s="14">
        <f>IFERROR(__xludf.DUMMYFUNCTION("min(filter(Scores!B53:AX53,Scores!B53:AX53&gt;0))"),132.0)</f>
        <v>132</v>
      </c>
      <c r="C50" s="14">
        <v>2368.0</v>
      </c>
      <c r="D50" s="51" t="str">
        <f t="array" ref="D50">if(B50,if(countif(Scores!B53:AX53,B50)=1,concat("💎",XLOOKUP(B50,Scores!B53:AX53,Scores!B$1:AX$1)),concat("🥇 x",countif(Scores!B53:AX53,B50))),"")</f>
        <v>💎jailctf merger</v>
      </c>
      <c r="E50" s="14">
        <f>if(countif(Scores!B53:AX53,B50)=1,F50,-1)</f>
        <v>132</v>
      </c>
      <c r="F50" s="14">
        <f t="shared" si="1"/>
        <v>132</v>
      </c>
      <c r="G50" s="14">
        <f>IFERROR(__xludf.DUMMYFUNCTION("if(iferror(small(filter(Scores!B53:AX53,Scores!B53:AX53&gt;0),2),-1)&lt;&gt;F50,iferror(small(filter(Scores!B53:AX53,Scores!B53:AX53&gt;0),2),-1),-1)"),134.0)</f>
        <v>134</v>
      </c>
      <c r="H50" s="14">
        <f>IFERROR(__xludf.DUMMYFUNCTION("if(iferror(small(filter(Scores!B53:AX53,Scores!B53:AX53&gt;0),3),-1)&lt;&gt;iferror(small(filter(Scores!B53:AX53,Scores!B53:AX53&gt;0),2),-1),iferror(small(filter(Scores!B53:AX53,Scores!B53:AX53&gt;0),3),-1),-1)"),136.0)</f>
        <v>136</v>
      </c>
      <c r="I50" s="14">
        <f>IFERROR(__xludf.DUMMYFUNCTION("IFERROR(COLUMNS(filter(Scores!B53:AE53,Scores!B53:AE53)),"""")"),36.0)</f>
        <v>36</v>
      </c>
      <c r="J50" s="14">
        <f>COUNTIF(Scores!B53:AX53,B50)</f>
        <v>1</v>
      </c>
      <c r="K50" s="21">
        <f>IFERROR(__xludf.DUMMYFUNCTION("""COMPUTED_VALUE"""),42.0)</f>
        <v>42</v>
      </c>
      <c r="L50" s="36"/>
      <c r="N50" s="52">
        <v>99999.0</v>
      </c>
      <c r="O50" s="14"/>
      <c r="P50" s="14"/>
      <c r="S50" s="21">
        <v>45.0</v>
      </c>
      <c r="T50" s="14">
        <v>45.0</v>
      </c>
      <c r="U50" s="14">
        <v>2455.0</v>
      </c>
      <c r="W50" s="21">
        <v>145.0</v>
      </c>
      <c r="X50" s="14">
        <v>157.0</v>
      </c>
      <c r="Y50" s="14">
        <v>2343.0</v>
      </c>
      <c r="AA50" s="21">
        <v>46.0</v>
      </c>
      <c r="AB50" s="14">
        <v>35.0</v>
      </c>
      <c r="AC50" s="14">
        <v>166.0</v>
      </c>
    </row>
    <row r="51">
      <c r="A51" s="27">
        <f>HYPERLINK("https://arcprize.org/play?task=2281f1f4", 43)</f>
        <v>43</v>
      </c>
      <c r="B51" s="14">
        <f>IFERROR(__xludf.DUMMYFUNCTION("min(filter(Scores!B54:AX54,Scores!B54:AX54&gt;0))"),56.0)</f>
        <v>56</v>
      </c>
      <c r="C51" s="14">
        <v>2444.0</v>
      </c>
      <c r="D51" s="51" t="str">
        <f t="array" ref="D51">if(B51,if(countif(Scores!B54:AX54,B51)=1,concat("💎",XLOOKUP(B51,Scores!B54:AX54,Scores!B$1:AX$1)),concat("🥇 x",countif(Scores!B54:AX54,B51))),"")</f>
        <v>🥇 x4</v>
      </c>
      <c r="E51" s="14">
        <f>if(countif(Scores!B54:AX54,B51)=1,F51,-1)</f>
        <v>-1</v>
      </c>
      <c r="F51" s="14">
        <f t="shared" si="1"/>
        <v>56</v>
      </c>
      <c r="G51" s="14">
        <f>IFERROR(__xludf.DUMMYFUNCTION("if(iferror(small(filter(Scores!B54:AX54,Scores!B54:AX54&gt;0),2),-1)&lt;&gt;F51,iferror(small(filter(Scores!B54:AX54,Scores!B54:AX54&gt;0),2),-1),-1)"),-1.0)</f>
        <v>-1</v>
      </c>
      <c r="H51" s="14">
        <f>IFERROR(__xludf.DUMMYFUNCTION("if(iferror(small(filter(Scores!B54:AX54,Scores!B54:AX54&gt;0),3),-1)&lt;&gt;iferror(small(filter(Scores!B54:AX54,Scores!B54:AX54&gt;0),2),-1),iferror(small(filter(Scores!B54:AX54,Scores!B54:AX54&gt;0),3),-1),-1)"),-1.0)</f>
        <v>-1</v>
      </c>
      <c r="I51" s="14">
        <f>IFERROR(__xludf.DUMMYFUNCTION("IFERROR(COLUMNS(filter(Scores!B54:AE54,Scores!B54:AE54)),"""")"),44.0)</f>
        <v>44</v>
      </c>
      <c r="J51" s="14">
        <f>COUNTIF(Scores!B54:AX54,B51)</f>
        <v>4</v>
      </c>
      <c r="K51" s="21">
        <f>IFERROR(__xludf.DUMMYFUNCTION("""COMPUTED_VALUE"""),43.0)</f>
        <v>43</v>
      </c>
      <c r="L51" s="36"/>
      <c r="S51" s="21">
        <v>322.0</v>
      </c>
      <c r="T51" s="14">
        <v>45.0</v>
      </c>
      <c r="U51" s="14">
        <v>2455.0</v>
      </c>
      <c r="W51" s="21">
        <v>277.0</v>
      </c>
      <c r="X51" s="14">
        <v>155.0</v>
      </c>
      <c r="Y51" s="14">
        <v>2345.0</v>
      </c>
      <c r="AA51" s="21">
        <v>90.0</v>
      </c>
      <c r="AB51" s="14">
        <v>35.0</v>
      </c>
      <c r="AC51" s="14">
        <v>147.0</v>
      </c>
    </row>
    <row r="52">
      <c r="A52" s="27">
        <f>HYPERLINK("https://arcprize.org/play?task=228f6490", 44)</f>
        <v>44</v>
      </c>
      <c r="B52" s="14">
        <f>IFERROR(__xludf.DUMMYFUNCTION("min(filter(Scores!B55:AX55,Scores!B55:AX55&gt;0))"),195.0)</f>
        <v>195</v>
      </c>
      <c r="C52" s="14">
        <v>2305.0</v>
      </c>
      <c r="D52" s="51" t="str">
        <f t="array" ref="D52">if(B52,if(countif(Scores!B55:AX55,B52)=1,concat("💎",XLOOKUP(B52,Scores!B55:AX55,Scores!B$1:AX$1)),concat("🥇 x",countif(Scores!B55:AX55,B52))),"")</f>
        <v>💎jailctf merger</v>
      </c>
      <c r="E52" s="14">
        <f>if(countif(Scores!B55:AX55,B52)=1,F52,-1)</f>
        <v>195</v>
      </c>
      <c r="F52" s="14">
        <f t="shared" si="1"/>
        <v>195</v>
      </c>
      <c r="G52" s="14">
        <f>IFERROR(__xludf.DUMMYFUNCTION("if(iferror(small(filter(Scores!B55:AX55,Scores!B55:AX55&gt;0),2),-1)&lt;&gt;F52,iferror(small(filter(Scores!B55:AX55,Scores!B55:AX55&gt;0),2),-1),-1)"),201.0)</f>
        <v>201</v>
      </c>
      <c r="H52" s="14">
        <f>IFERROR(__xludf.DUMMYFUNCTION("if(iferror(small(filter(Scores!B55:AX55,Scores!B55:AX55&gt;0),3),-1)&lt;&gt;iferror(small(filter(Scores!B55:AX55,Scores!B55:AX55&gt;0),2),-1),iferror(small(filter(Scores!B55:AX55,Scores!B55:AX55&gt;0),3),-1),-1)"),212.0)</f>
        <v>212</v>
      </c>
      <c r="I52" s="14">
        <f>IFERROR(__xludf.DUMMYFUNCTION("IFERROR(COLUMNS(filter(Scores!B55:AE55,Scores!B55:AE55)),"""")"),35.0)</f>
        <v>35</v>
      </c>
      <c r="J52" s="14">
        <f>COUNTIF(Scores!B55:AX55,B52)</f>
        <v>1</v>
      </c>
      <c r="K52" s="21">
        <f>IFERROR(__xludf.DUMMYFUNCTION("""COMPUTED_VALUE"""),44.0)</f>
        <v>44</v>
      </c>
      <c r="L52" s="36"/>
      <c r="S52" s="21">
        <v>360.0</v>
      </c>
      <c r="T52" s="14">
        <v>45.0</v>
      </c>
      <c r="U52" s="14">
        <v>2455.0</v>
      </c>
      <c r="W52" s="21">
        <v>59.0</v>
      </c>
      <c r="X52" s="14">
        <v>151.0</v>
      </c>
      <c r="Y52" s="14">
        <v>2349.0</v>
      </c>
      <c r="AA52" s="21">
        <v>143.0</v>
      </c>
      <c r="AB52" s="14">
        <v>35.0</v>
      </c>
      <c r="AC52" s="14">
        <v>127.0</v>
      </c>
    </row>
    <row r="53">
      <c r="A53" s="27">
        <f>HYPERLINK("https://arcprize.org/play?task=22eb0ac0", 45)</f>
        <v>45</v>
      </c>
      <c r="B53" s="14">
        <f>IFERROR(__xludf.DUMMYFUNCTION("min(filter(Scores!B56:AX56,Scores!B56:AX56&gt;0))"),45.0)</f>
        <v>45</v>
      </c>
      <c r="C53" s="14">
        <v>2455.0</v>
      </c>
      <c r="D53" s="51" t="str">
        <f t="array" ref="D53">if(B53,if(countif(Scores!B56:AX56,B53)=1,concat("💎",XLOOKUP(B53,Scores!B56:AX56,Scores!B$1:AX$1)),concat("🥇 x",countif(Scores!B56:AX56,B53))),"")</f>
        <v>🥇 x13</v>
      </c>
      <c r="E53" s="14">
        <f>if(countif(Scores!B56:AX56,B53)=1,F53,-1)</f>
        <v>-1</v>
      </c>
      <c r="F53" s="14">
        <f t="shared" si="1"/>
        <v>45</v>
      </c>
      <c r="G53" s="14">
        <f>IFERROR(__xludf.DUMMYFUNCTION("if(iferror(small(filter(Scores!B56:AX56,Scores!B56:AX56&gt;0),2),-1)&lt;&gt;F53,iferror(small(filter(Scores!B56:AX56,Scores!B56:AX56&gt;0),2),-1),-1)"),-1.0)</f>
        <v>-1</v>
      </c>
      <c r="H53" s="14">
        <f>IFERROR(__xludf.DUMMYFUNCTION("if(iferror(small(filter(Scores!B56:AX56,Scores!B56:AX56&gt;0),3),-1)&lt;&gt;iferror(small(filter(Scores!B56:AX56,Scores!B56:AX56&gt;0),2),-1),iferror(small(filter(Scores!B56:AX56,Scores!B56:AX56&gt;0),3),-1),-1)"),-1.0)</f>
        <v>-1</v>
      </c>
      <c r="I53" s="14">
        <f>IFERROR(__xludf.DUMMYFUNCTION("IFERROR(COLUMNS(filter(Scores!B56:AE56,Scores!B56:AE56)),"""")"),47.0)</f>
        <v>47</v>
      </c>
      <c r="J53" s="14">
        <f>COUNTIF(Scores!B56:AX56,B53)</f>
        <v>13</v>
      </c>
      <c r="K53" s="21">
        <f>IFERROR(__xludf.DUMMYFUNCTION("""COMPUTED_VALUE"""),45.0)</f>
        <v>45</v>
      </c>
      <c r="L53" s="36"/>
      <c r="S53" s="21">
        <v>73.0</v>
      </c>
      <c r="T53" s="14">
        <v>46.0</v>
      </c>
      <c r="U53" s="14">
        <v>2454.0</v>
      </c>
      <c r="W53" s="21">
        <v>86.0</v>
      </c>
      <c r="X53" s="14">
        <v>151.0</v>
      </c>
      <c r="Y53" s="14">
        <v>2349.0</v>
      </c>
      <c r="AA53" s="21">
        <v>105.0</v>
      </c>
      <c r="AB53" s="14">
        <v>35.0</v>
      </c>
      <c r="AC53" s="14">
        <v>124.0</v>
      </c>
    </row>
    <row r="54">
      <c r="A54" s="27">
        <f>HYPERLINK("https://arcprize.org/play?task=234bbc79", 46)</f>
        <v>46</v>
      </c>
      <c r="B54" s="14">
        <f>IFERROR(__xludf.DUMMYFUNCTION("min(filter(Scores!B57:AX57,Scores!B57:AX57&gt;0))"),166.0)</f>
        <v>166</v>
      </c>
      <c r="C54" s="14">
        <v>2334.0</v>
      </c>
      <c r="D54" s="51" t="str">
        <f t="array" ref="D54">if(B54,if(countif(Scores!B57:AX57,B54)=1,concat("💎",XLOOKUP(B54,Scores!B57:AX57,Scores!B$1:AX$1)),concat("🥇 x",countif(Scores!B57:AX57,B54))),"")</f>
        <v>💎Code Golf International</v>
      </c>
      <c r="E54" s="14">
        <f>if(countif(Scores!B57:AX57,B54)=1,F54,-1)</f>
        <v>166</v>
      </c>
      <c r="F54" s="14">
        <f t="shared" si="1"/>
        <v>166</v>
      </c>
      <c r="G54" s="14">
        <f>IFERROR(__xludf.DUMMYFUNCTION("if(iferror(small(filter(Scores!B57:AX57,Scores!B57:AX57&gt;0),2),-1)&lt;&gt;F54,iferror(small(filter(Scores!B57:AX57,Scores!B57:AX57&gt;0),2),-1),-1)"),168.0)</f>
        <v>168</v>
      </c>
      <c r="H54" s="14">
        <f>IFERROR(__xludf.DUMMYFUNCTION("if(iferror(small(filter(Scores!B57:AX57,Scores!B57:AX57&gt;0),3),-1)&lt;&gt;iferror(small(filter(Scores!B57:AX57,Scores!B57:AX57&gt;0),2),-1),iferror(small(filter(Scores!B57:AX57,Scores!B57:AX57&gt;0),3),-1),-1)"),-1.0)</f>
        <v>-1</v>
      </c>
      <c r="I54" s="14">
        <f>IFERROR(__xludf.DUMMYFUNCTION("IFERROR(COLUMNS(filter(Scores!B57:AE57,Scores!B57:AE57)),"""")"),35.0)</f>
        <v>35</v>
      </c>
      <c r="J54" s="14">
        <f>COUNTIF(Scores!B57:AX57,B54)</f>
        <v>1</v>
      </c>
      <c r="K54" s="21">
        <f>IFERROR(__xludf.DUMMYFUNCTION("""COMPUTED_VALUE"""),46.0)</f>
        <v>46</v>
      </c>
      <c r="L54" s="36"/>
      <c r="S54" s="21">
        <v>108.0</v>
      </c>
      <c r="T54" s="14">
        <v>46.0</v>
      </c>
      <c r="U54" s="14">
        <v>2454.0</v>
      </c>
      <c r="W54" s="21">
        <v>90.0</v>
      </c>
      <c r="X54" s="14">
        <v>147.0</v>
      </c>
      <c r="Y54" s="14">
        <v>2353.0</v>
      </c>
      <c r="AA54" s="21">
        <v>134.0</v>
      </c>
      <c r="AB54" s="14">
        <v>35.0</v>
      </c>
      <c r="AC54" s="14">
        <v>123.0</v>
      </c>
    </row>
    <row r="55">
      <c r="A55" s="27">
        <f>HYPERLINK("https://arcprize.org/play?task=23581191", 47)</f>
        <v>47</v>
      </c>
      <c r="B55" s="14">
        <f>IFERROR(__xludf.DUMMYFUNCTION("min(filter(Scores!B58:AX58,Scores!B58:AX58&gt;0))"),55.0)</f>
        <v>55</v>
      </c>
      <c r="C55" s="14">
        <v>2445.0</v>
      </c>
      <c r="D55" s="51" t="str">
        <f t="array" ref="D55">if(B55,if(countif(Scores!B58:AX58,B55)=1,concat("💎",XLOOKUP(B55,Scores!B58:AX58,Scores!B$1:AX$1)),concat("🥇 x",countif(Scores!B58:AX58,B55))),"")</f>
        <v>🥇 x9</v>
      </c>
      <c r="E55" s="14">
        <f>if(countif(Scores!B58:AX58,B55)=1,F55,-1)</f>
        <v>-1</v>
      </c>
      <c r="F55" s="14">
        <f t="shared" si="1"/>
        <v>55</v>
      </c>
      <c r="G55" s="14">
        <f>IFERROR(__xludf.DUMMYFUNCTION("if(iferror(small(filter(Scores!B58:AX58,Scores!B58:AX58&gt;0),2),-1)&lt;&gt;F55,iferror(small(filter(Scores!B58:AX58,Scores!B58:AX58&gt;0),2),-1),-1)"),-1.0)</f>
        <v>-1</v>
      </c>
      <c r="H55" s="14">
        <f>IFERROR(__xludf.DUMMYFUNCTION("if(iferror(small(filter(Scores!B58:AX58,Scores!B58:AX58&gt;0),3),-1)&lt;&gt;iferror(small(filter(Scores!B58:AX58,Scores!B58:AX58&gt;0),2),-1),iferror(small(filter(Scores!B58:AX58,Scores!B58:AX58&gt;0),3),-1),-1)"),-1.0)</f>
        <v>-1</v>
      </c>
      <c r="I55" s="14">
        <f>IFERROR(__xludf.DUMMYFUNCTION("IFERROR(COLUMNS(filter(Scores!B58:AE58,Scores!B58:AE58)),"""")"),44.0)</f>
        <v>44</v>
      </c>
      <c r="J55" s="14">
        <f>COUNTIF(Scores!B58:AX58,B55)</f>
        <v>9</v>
      </c>
      <c r="K55" s="21">
        <f>IFERROR(__xludf.DUMMYFUNCTION("""COMPUTED_VALUE"""),47.0)</f>
        <v>47</v>
      </c>
      <c r="L55" s="36"/>
      <c r="S55" s="21">
        <v>223.0</v>
      </c>
      <c r="T55" s="14">
        <v>46.0</v>
      </c>
      <c r="U55" s="14">
        <v>2454.0</v>
      </c>
      <c r="W55" s="21">
        <v>280.0</v>
      </c>
      <c r="X55" s="14">
        <v>145.0</v>
      </c>
      <c r="Y55" s="14">
        <v>2355.0</v>
      </c>
      <c r="AA55" s="21">
        <v>225.0</v>
      </c>
      <c r="AB55" s="14">
        <v>35.0</v>
      </c>
      <c r="AC55" s="14">
        <v>123.0</v>
      </c>
    </row>
    <row r="56">
      <c r="A56" s="27">
        <f>HYPERLINK("https://arcprize.org/play?task=239be575", 48)</f>
        <v>48</v>
      </c>
      <c r="B56" s="14">
        <f>IFERROR(__xludf.DUMMYFUNCTION("min(filter(Scores!B59:AX59,Scores!B59:AX59&gt;0))"),92.0)</f>
        <v>92</v>
      </c>
      <c r="C56" s="14">
        <v>2408.0</v>
      </c>
      <c r="D56" s="51" t="str">
        <f t="array" ref="D56">if(B56,if(countif(Scores!B59:AX59,B56)=1,concat("💎",XLOOKUP(B56,Scores!B59:AX59,Scores!B$1:AX$1)),concat("🥇 x",countif(Scores!B59:AX59,B56))),"")</f>
        <v>💎jailctf merger</v>
      </c>
      <c r="E56" s="14">
        <f>if(countif(Scores!B59:AX59,B56)=1,F56,-1)</f>
        <v>92</v>
      </c>
      <c r="F56" s="14">
        <f t="shared" si="1"/>
        <v>92</v>
      </c>
      <c r="G56" s="14">
        <f>IFERROR(__xludf.DUMMYFUNCTION("if(iferror(small(filter(Scores!B59:AX59,Scores!B59:AX59&gt;0),2),-1)&lt;&gt;F56,iferror(small(filter(Scores!B59:AX59,Scores!B59:AX59&gt;0),2),-1),-1)"),95.0)</f>
        <v>95</v>
      </c>
      <c r="H56" s="14">
        <f>IFERROR(__xludf.DUMMYFUNCTION("if(iferror(small(filter(Scores!B59:AX59,Scores!B59:AX59&gt;0),3),-1)&lt;&gt;iferror(small(filter(Scores!B59:AX59,Scores!B59:AX59&gt;0),2),-1),iferror(small(filter(Scores!B59:AX59,Scores!B59:AX59&gt;0),3),-1),-1)"),118.0)</f>
        <v>118</v>
      </c>
      <c r="I56" s="14">
        <f>IFERROR(__xludf.DUMMYFUNCTION("IFERROR(COLUMNS(filter(Scores!B59:AE59,Scores!B59:AE59)),"""")"),38.0)</f>
        <v>38</v>
      </c>
      <c r="J56" s="14">
        <f>COUNTIF(Scores!B59:AX59,B56)</f>
        <v>1</v>
      </c>
      <c r="K56" s="21">
        <f>IFERROR(__xludf.DUMMYFUNCTION("""COMPUTED_VALUE"""),48.0)</f>
        <v>48</v>
      </c>
      <c r="L56" s="36"/>
      <c r="S56" s="21">
        <v>267.0</v>
      </c>
      <c r="T56" s="14">
        <v>46.0</v>
      </c>
      <c r="U56" s="14">
        <v>2454.0</v>
      </c>
      <c r="W56" s="21">
        <v>69.0</v>
      </c>
      <c r="X56" s="14">
        <v>143.0</v>
      </c>
      <c r="Y56" s="14">
        <v>2357.0</v>
      </c>
      <c r="AA56" s="21">
        <v>148.0</v>
      </c>
      <c r="AB56" s="14">
        <v>35.0</v>
      </c>
      <c r="AC56" s="14">
        <v>118.0</v>
      </c>
    </row>
    <row r="57">
      <c r="A57" s="27">
        <f>HYPERLINK("https://arcprize.org/play?task=23b5c85d", 49)</f>
        <v>49</v>
      </c>
      <c r="B57" s="14">
        <f>IFERROR(__xludf.DUMMYFUNCTION("min(filter(Scores!B60:AX60,Scores!B60:AX60&gt;0))"),81.0)</f>
        <v>81</v>
      </c>
      <c r="C57" s="14">
        <v>2419.0</v>
      </c>
      <c r="D57" s="51" t="str">
        <f t="array" ref="D57">if(B57,if(countif(Scores!B60:AX60,B57)=1,concat("💎",XLOOKUP(B57,Scores!B60:AX60,Scores!B$1:AX$1)),concat("🥇 x",countif(Scores!B60:AX60,B57))),"")</f>
        <v>🥇 x7</v>
      </c>
      <c r="E57" s="14">
        <f>if(countif(Scores!B60:AX60,B57)=1,F57,-1)</f>
        <v>-1</v>
      </c>
      <c r="F57" s="14">
        <f t="shared" si="1"/>
        <v>81</v>
      </c>
      <c r="G57" s="14">
        <f>IFERROR(__xludf.DUMMYFUNCTION("if(iferror(small(filter(Scores!B60:AX60,Scores!B60:AX60&gt;0),2),-1)&lt;&gt;F57,iferror(small(filter(Scores!B60:AX60,Scores!B60:AX60&gt;0),2),-1),-1)"),-1.0)</f>
        <v>-1</v>
      </c>
      <c r="H57" s="14">
        <f>IFERROR(__xludf.DUMMYFUNCTION("if(iferror(small(filter(Scores!B60:AX60,Scores!B60:AX60&gt;0),3),-1)&lt;&gt;iferror(small(filter(Scores!B60:AX60,Scores!B60:AX60&gt;0),2),-1),iferror(small(filter(Scores!B60:AX60,Scores!B60:AX60&gt;0),3),-1),-1)"),-1.0)</f>
        <v>-1</v>
      </c>
      <c r="I57" s="14">
        <f>IFERROR(__xludf.DUMMYFUNCTION("IFERROR(COLUMNS(filter(Scores!B60:AE60,Scores!B60:AE60)),"""")"),42.0)</f>
        <v>42</v>
      </c>
      <c r="J57" s="14">
        <f>COUNTIF(Scores!B60:AX60,B57)</f>
        <v>7</v>
      </c>
      <c r="K57" s="21">
        <f>IFERROR(__xludf.DUMMYFUNCTION("""COMPUTED_VALUE"""),49.0)</f>
        <v>49</v>
      </c>
      <c r="L57" s="36"/>
      <c r="S57" s="21">
        <v>307.0</v>
      </c>
      <c r="T57" s="14">
        <v>46.0</v>
      </c>
      <c r="U57" s="14">
        <v>2454.0</v>
      </c>
      <c r="W57" s="21">
        <v>325.0</v>
      </c>
      <c r="X57" s="14">
        <v>140.0</v>
      </c>
      <c r="Y57" s="14">
        <v>2360.0</v>
      </c>
      <c r="AA57" s="21">
        <v>156.0</v>
      </c>
      <c r="AB57" s="14">
        <v>35.0</v>
      </c>
      <c r="AC57" s="14">
        <v>118.0</v>
      </c>
    </row>
    <row r="58">
      <c r="A58" s="27">
        <f>HYPERLINK("https://arcprize.org/play?task=253bf280", 50)</f>
        <v>50</v>
      </c>
      <c r="B58" s="14">
        <f>IFERROR(__xludf.DUMMYFUNCTION("min(filter(Scores!B61:AX61,Scores!B61:AX61&gt;0))"),83.0)</f>
        <v>83</v>
      </c>
      <c r="C58" s="14">
        <v>2417.0</v>
      </c>
      <c r="D58" s="51" t="str">
        <f t="array" ref="D58">if(B58,if(countif(Scores!B61:AX61,B58)=1,concat("💎",XLOOKUP(B58,Scores!B61:AX61,Scores!B$1:AX$1)),concat("🥇 x",countif(Scores!B61:AX61,B58))),"")</f>
        <v>💎jailctf merger</v>
      </c>
      <c r="E58" s="14">
        <f>if(countif(Scores!B61:AX61,B58)=1,F58,-1)</f>
        <v>83</v>
      </c>
      <c r="F58" s="14">
        <f t="shared" si="1"/>
        <v>83</v>
      </c>
      <c r="G58" s="14">
        <f>IFERROR(__xludf.DUMMYFUNCTION("if(iferror(small(filter(Scores!B61:AX61,Scores!B61:AX61&gt;0),2),-1)&lt;&gt;F58,iferror(small(filter(Scores!B61:AX61,Scores!B61:AX61&gt;0),2),-1),-1)"),84.0)</f>
        <v>84</v>
      </c>
      <c r="H58" s="14">
        <f>IFERROR(__xludf.DUMMYFUNCTION("if(iferror(small(filter(Scores!B61:AX61,Scores!B61:AX61&gt;0),3),-1)&lt;&gt;iferror(small(filter(Scores!B61:AX61,Scores!B61:AX61&gt;0),2),-1),iferror(small(filter(Scores!B61:AX61,Scores!B61:AX61&gt;0),3),-1),-1)"),-1.0)</f>
        <v>-1</v>
      </c>
      <c r="I58" s="14">
        <f>IFERROR(__xludf.DUMMYFUNCTION("IFERROR(COLUMNS(filter(Scores!B61:AE61,Scores!B61:AE61)),"""")"),40.0)</f>
        <v>40</v>
      </c>
      <c r="J58" s="14">
        <f>COUNTIF(Scores!B61:AX61,B58)</f>
        <v>1</v>
      </c>
      <c r="K58" s="21">
        <f>IFERROR(__xludf.DUMMYFUNCTION("""COMPUTED_VALUE"""),50.0)</f>
        <v>50</v>
      </c>
      <c r="L58" s="36"/>
      <c r="S58" s="21">
        <v>60.0</v>
      </c>
      <c r="T58" s="14">
        <v>47.0</v>
      </c>
      <c r="U58" s="14">
        <v>2453.0</v>
      </c>
      <c r="W58" s="21">
        <v>206.0</v>
      </c>
      <c r="X58" s="14">
        <v>139.0</v>
      </c>
      <c r="Y58" s="14">
        <v>2361.0</v>
      </c>
      <c r="AA58" s="21">
        <v>270.0</v>
      </c>
      <c r="AB58" s="14">
        <v>35.0</v>
      </c>
      <c r="AC58" s="14">
        <v>115.0</v>
      </c>
    </row>
    <row r="59">
      <c r="A59" s="27">
        <f>HYPERLINK("https://arcprize.org/play?task=25d487eb", 51)</f>
        <v>51</v>
      </c>
      <c r="B59" s="14">
        <f>IFERROR(__xludf.DUMMYFUNCTION("min(filter(Scores!B62:AX62,Scores!B62:AX62&gt;0))"),111.0)</f>
        <v>111</v>
      </c>
      <c r="C59" s="14">
        <v>2389.0</v>
      </c>
      <c r="D59" s="51" t="str">
        <f t="array" ref="D59">if(B59,if(countif(Scores!B62:AX62,B59)=1,concat("💎",XLOOKUP(B59,Scores!B62:AX62,Scores!B$1:AX$1)),concat("🥇 x",countif(Scores!B62:AX62,B59))),"")</f>
        <v>💎ox jam</v>
      </c>
      <c r="E59" s="14">
        <f>if(countif(Scores!B62:AX62,B59)=1,F59,-1)</f>
        <v>111</v>
      </c>
      <c r="F59" s="14">
        <f t="shared" si="1"/>
        <v>111</v>
      </c>
      <c r="G59" s="14">
        <f>IFERROR(__xludf.DUMMYFUNCTION("if(iferror(small(filter(Scores!B62:AX62,Scores!B62:AX62&gt;0),2),-1)&lt;&gt;F59,iferror(small(filter(Scores!B62:AX62,Scores!B62:AX62&gt;0),2),-1),-1)"),113.0)</f>
        <v>113</v>
      </c>
      <c r="H59" s="14">
        <f>IFERROR(__xludf.DUMMYFUNCTION("if(iferror(small(filter(Scores!B62:AX62,Scores!B62:AX62&gt;0),3),-1)&lt;&gt;iferror(small(filter(Scores!B62:AX62,Scores!B62:AX62&gt;0),2),-1),iferror(small(filter(Scores!B62:AX62,Scores!B62:AX62&gt;0),3),-1),-1)"),114.0)</f>
        <v>114</v>
      </c>
      <c r="I59" s="14">
        <f>IFERROR(__xludf.DUMMYFUNCTION("IFERROR(COLUMNS(filter(Scores!B62:AE62,Scores!B62:AE62)),"""")"),39.0)</f>
        <v>39</v>
      </c>
      <c r="J59" s="14">
        <f>COUNTIF(Scores!B62:AX62,B59)</f>
        <v>1</v>
      </c>
      <c r="K59" s="21">
        <f>IFERROR(__xludf.DUMMYFUNCTION("""COMPUTED_VALUE"""),51.0)</f>
        <v>51</v>
      </c>
      <c r="L59" s="36"/>
      <c r="S59" s="21">
        <v>129.0</v>
      </c>
      <c r="T59" s="14">
        <v>47.0</v>
      </c>
      <c r="U59" s="14">
        <v>2453.0</v>
      </c>
      <c r="W59" s="21">
        <v>396.0</v>
      </c>
      <c r="X59" s="14">
        <v>139.0</v>
      </c>
      <c r="Y59" s="14">
        <v>2361.0</v>
      </c>
      <c r="AA59" s="21">
        <v>224.0</v>
      </c>
      <c r="AB59" s="14">
        <v>35.0</v>
      </c>
      <c r="AC59" s="14">
        <v>114.0</v>
      </c>
    </row>
    <row r="60">
      <c r="A60" s="27">
        <f>HYPERLINK("https://arcprize.org/play?task=25d8a9c8", 52)</f>
        <v>52</v>
      </c>
      <c r="B60" s="14">
        <f>IFERROR(__xludf.DUMMYFUNCTION("min(filter(Scores!B63:AX63,Scores!B63:AX63&gt;0))"),40.0)</f>
        <v>40</v>
      </c>
      <c r="C60" s="14">
        <v>2460.0</v>
      </c>
      <c r="D60" s="51" t="str">
        <f t="array" ref="D60">if(B60,if(countif(Scores!B63:AX63,B60)=1,concat("💎",XLOOKUP(B60,Scores!B63:AX63,Scores!B$1:AX$1)),concat("🥇 x",countif(Scores!B63:AX63,B60))),"")</f>
        <v>🥇 x17</v>
      </c>
      <c r="E60" s="14">
        <f>if(countif(Scores!B63:AX63,B60)=1,F60,-1)</f>
        <v>-1</v>
      </c>
      <c r="F60" s="14">
        <f t="shared" si="1"/>
        <v>40</v>
      </c>
      <c r="G60" s="14">
        <f>IFERROR(__xludf.DUMMYFUNCTION("if(iferror(small(filter(Scores!B63:AX63,Scores!B63:AX63&gt;0),2),-1)&lt;&gt;F60,iferror(small(filter(Scores!B63:AX63,Scores!B63:AX63&gt;0),2),-1),-1)"),-1.0)</f>
        <v>-1</v>
      </c>
      <c r="H60" s="14">
        <f>IFERROR(__xludf.DUMMYFUNCTION("if(iferror(small(filter(Scores!B63:AX63,Scores!B63:AX63&gt;0),3),-1)&lt;&gt;iferror(small(filter(Scores!B63:AX63,Scores!B63:AX63&gt;0),2),-1),iferror(small(filter(Scores!B63:AX63,Scores!B63:AX63&gt;0),3),-1),-1)"),-1.0)</f>
        <v>-1</v>
      </c>
      <c r="I60" s="14">
        <f>IFERROR(__xludf.DUMMYFUNCTION("IFERROR(COLUMNS(filter(Scores!B63:AE63,Scores!B63:AE63)),"""")"),46.0)</f>
        <v>46</v>
      </c>
      <c r="J60" s="14">
        <f>COUNTIF(Scores!B63:AX63,B60)</f>
        <v>17</v>
      </c>
      <c r="K60" s="21">
        <f>IFERROR(__xludf.DUMMYFUNCTION("""COMPUTED_VALUE"""),52.0)</f>
        <v>52</v>
      </c>
      <c r="L60" s="36"/>
      <c r="S60" s="21">
        <v>178.0</v>
      </c>
      <c r="T60" s="14">
        <v>47.0</v>
      </c>
      <c r="U60" s="14">
        <v>2453.0</v>
      </c>
      <c r="W60" s="21">
        <v>137.0</v>
      </c>
      <c r="X60" s="14">
        <v>137.0</v>
      </c>
      <c r="Y60" s="14">
        <v>2363.0</v>
      </c>
      <c r="AA60" s="21">
        <v>216.0</v>
      </c>
      <c r="AB60" s="14">
        <v>35.0</v>
      </c>
      <c r="AC60" s="14">
        <v>111.0</v>
      </c>
    </row>
    <row r="61">
      <c r="A61" s="27">
        <f>HYPERLINK("https://arcprize.org/play?task=25ff71a9", 53)</f>
        <v>53</v>
      </c>
      <c r="B61" s="14">
        <f>IFERROR(__xludf.DUMMYFUNCTION("min(filter(Scores!B64:AX64,Scores!B64:AX64&gt;0))"),21.0)</f>
        <v>21</v>
      </c>
      <c r="C61" s="14">
        <v>2479.0</v>
      </c>
      <c r="D61" s="51" t="str">
        <f t="array" ref="D61">if(B61,if(countif(Scores!B64:AX64,B61)=1,concat("💎",XLOOKUP(B61,Scores!B64:AX64,Scores!B$1:AX$1)),concat("🥇 x",countif(Scores!B64:AX64,B61))),"")</f>
        <v>🥇 x25</v>
      </c>
      <c r="E61" s="14">
        <f>if(countif(Scores!B64:AX64,B61)=1,F61,-1)</f>
        <v>-1</v>
      </c>
      <c r="F61" s="14">
        <f t="shared" si="1"/>
        <v>21</v>
      </c>
      <c r="G61" s="14">
        <f>IFERROR(__xludf.DUMMYFUNCTION("if(iferror(small(filter(Scores!B64:AX64,Scores!B64:AX64&gt;0),2),-1)&lt;&gt;F61,iferror(small(filter(Scores!B64:AX64,Scores!B64:AX64&gt;0),2),-1),-1)"),-1.0)</f>
        <v>-1</v>
      </c>
      <c r="H61" s="14">
        <f>IFERROR(__xludf.DUMMYFUNCTION("if(iferror(small(filter(Scores!B64:AX64,Scores!B64:AX64&gt;0),3),-1)&lt;&gt;iferror(small(filter(Scores!B64:AX64,Scores!B64:AX64&gt;0),2),-1),iferror(small(filter(Scores!B64:AX64,Scores!B64:AX64&gt;0),3),-1),-1)"),-1.0)</f>
        <v>-1</v>
      </c>
      <c r="I61" s="14">
        <f>IFERROR(__xludf.DUMMYFUNCTION("IFERROR(COLUMNS(filter(Scores!B64:AE64,Scores!B64:AE64)),"""")"),46.0)</f>
        <v>46</v>
      </c>
      <c r="J61" s="14">
        <f>COUNTIF(Scores!B64:AX64,B61)</f>
        <v>25</v>
      </c>
      <c r="K61" s="21">
        <f>IFERROR(__xludf.DUMMYFUNCTION("""COMPUTED_VALUE"""),53.0)</f>
        <v>53</v>
      </c>
      <c r="L61" s="36"/>
      <c r="S61" s="21">
        <v>261.0</v>
      </c>
      <c r="T61" s="14">
        <v>47.0</v>
      </c>
      <c r="U61" s="14">
        <v>2453.0</v>
      </c>
      <c r="W61" s="21">
        <v>64.0</v>
      </c>
      <c r="X61" s="14">
        <v>135.0</v>
      </c>
      <c r="Y61" s="14">
        <v>2365.0</v>
      </c>
      <c r="AA61" s="21">
        <v>77.0</v>
      </c>
      <c r="AB61" s="14">
        <v>35.0</v>
      </c>
      <c r="AC61" s="14">
        <v>110.0</v>
      </c>
    </row>
    <row r="62">
      <c r="A62" s="27">
        <f>HYPERLINK("https://arcprize.org/play?task=264363fd", 54)</f>
        <v>54</v>
      </c>
      <c r="B62" s="14">
        <f>IFERROR(__xludf.DUMMYFUNCTION("min(filter(Scores!B65:AX65,Scores!B65:AX65&gt;0))"),266.0)</f>
        <v>266</v>
      </c>
      <c r="C62" s="14">
        <v>2234.0</v>
      </c>
      <c r="D62" s="51" t="str">
        <f t="array" ref="D62">if(B62,if(countif(Scores!B65:AX65,B62)=1,concat("💎",XLOOKUP(B62,Scores!B65:AX65,Scores!B$1:AX$1)),concat("🥇 x",countif(Scores!B65:AX65,B62))),"")</f>
        <v>💎Code Golf International</v>
      </c>
      <c r="E62" s="14">
        <f>if(countif(Scores!B65:AX65,B62)=1,F62,-1)</f>
        <v>266</v>
      </c>
      <c r="F62" s="14">
        <f t="shared" si="1"/>
        <v>266</v>
      </c>
      <c r="G62" s="14">
        <f>IFERROR(__xludf.DUMMYFUNCTION("if(iferror(small(filter(Scores!B65:AX65,Scores!B65:AX65&gt;0),2),-1)&lt;&gt;F62,iferror(small(filter(Scores!B65:AX65,Scores!B65:AX65&gt;0),2),-1),-1)"),270.0)</f>
        <v>270</v>
      </c>
      <c r="H62" s="14">
        <f>IFERROR(__xludf.DUMMYFUNCTION("if(iferror(small(filter(Scores!B65:AX65,Scores!B65:AX65&gt;0),3),-1)&lt;&gt;iferror(small(filter(Scores!B65:AX65,Scores!B65:AX65&gt;0),2),-1),iferror(small(filter(Scores!B65:AX65,Scores!B65:AX65&gt;0),3),-1),-1)"),277.0)</f>
        <v>277</v>
      </c>
      <c r="I62" s="14">
        <f>IFERROR(__xludf.DUMMYFUNCTION("IFERROR(COLUMNS(filter(Scores!B65:AE65,Scores!B65:AE65)),"""")"),35.0)</f>
        <v>35</v>
      </c>
      <c r="J62" s="14">
        <f>COUNTIF(Scores!B65:AX65,B62)</f>
        <v>1</v>
      </c>
      <c r="K62" s="21">
        <f>IFERROR(__xludf.DUMMYFUNCTION("""COMPUTED_VALUE"""),54.0)</f>
        <v>54</v>
      </c>
      <c r="L62" s="36"/>
      <c r="S62" s="21">
        <v>372.0</v>
      </c>
      <c r="T62" s="14">
        <v>47.0</v>
      </c>
      <c r="U62" s="14">
        <v>2453.0</v>
      </c>
      <c r="W62" s="21">
        <v>379.0</v>
      </c>
      <c r="X62" s="14">
        <v>135.0</v>
      </c>
      <c r="Y62" s="14">
        <v>2365.0</v>
      </c>
      <c r="AA62" s="21">
        <v>125.0</v>
      </c>
      <c r="AB62" s="14">
        <v>35.0</v>
      </c>
      <c r="AC62" s="14">
        <v>110.0</v>
      </c>
    </row>
    <row r="63">
      <c r="A63" s="27">
        <f>HYPERLINK("https://arcprize.org/play?task=272f95fa", 55)</f>
        <v>55</v>
      </c>
      <c r="B63" s="14">
        <f>IFERROR(__xludf.DUMMYFUNCTION("min(filter(Scores!B66:AX66,Scores!B66:AX66&gt;0))"),77.0)</f>
        <v>77</v>
      </c>
      <c r="C63" s="14">
        <v>2423.0</v>
      </c>
      <c r="D63" s="51" t="str">
        <f t="array" ref="D63">if(B63,if(countif(Scores!B66:AX66,B63)=1,concat("💎",XLOOKUP(B63,Scores!B66:AX66,Scores!B$1:AX$1)),concat("🥇 x",countif(Scores!B66:AX66,B63))),"")</f>
        <v>💎ox jam</v>
      </c>
      <c r="E63" s="14">
        <f>if(countif(Scores!B66:AX66,B63)=1,F63,-1)</f>
        <v>77</v>
      </c>
      <c r="F63" s="14">
        <f t="shared" si="1"/>
        <v>77</v>
      </c>
      <c r="G63" s="14">
        <f>IFERROR(__xludf.DUMMYFUNCTION("if(iferror(small(filter(Scores!B66:AX66,Scores!B66:AX66&gt;0),2),-1)&lt;&gt;F63,iferror(small(filter(Scores!B66:AX66,Scores!B66:AX66&gt;0),2),-1),-1)"),79.0)</f>
        <v>79</v>
      </c>
      <c r="H63" s="14">
        <f>IFERROR(__xludf.DUMMYFUNCTION("if(iferror(small(filter(Scores!B66:AX66,Scores!B66:AX66&gt;0),3),-1)&lt;&gt;iferror(small(filter(Scores!B66:AX66,Scores!B66:AX66&gt;0),2),-1),iferror(small(filter(Scores!B66:AX66,Scores!B66:AX66&gt;0),3),-1),-1)"),-1.0)</f>
        <v>-1</v>
      </c>
      <c r="I63" s="14">
        <f>IFERROR(__xludf.DUMMYFUNCTION("IFERROR(COLUMNS(filter(Scores!B66:AE66,Scores!B66:AE66)),"""")"),42.0)</f>
        <v>42</v>
      </c>
      <c r="J63" s="14">
        <f>COUNTIF(Scores!B66:AX66,B63)</f>
        <v>1</v>
      </c>
      <c r="K63" s="21">
        <f>IFERROR(__xludf.DUMMYFUNCTION("""COMPUTED_VALUE"""),55.0)</f>
        <v>55</v>
      </c>
      <c r="L63" s="36"/>
      <c r="S63" s="21">
        <v>57.0</v>
      </c>
      <c r="T63" s="14">
        <v>48.0</v>
      </c>
      <c r="U63" s="14">
        <v>2452.0</v>
      </c>
      <c r="W63" s="21">
        <v>392.0</v>
      </c>
      <c r="X63" s="14">
        <v>135.0</v>
      </c>
      <c r="Y63" s="14">
        <v>2365.0</v>
      </c>
      <c r="AA63" s="21">
        <v>168.0</v>
      </c>
      <c r="AB63" s="14">
        <v>35.0</v>
      </c>
      <c r="AC63" s="14">
        <v>110.0</v>
      </c>
    </row>
    <row r="64">
      <c r="A64" s="27">
        <f>HYPERLINK("https://arcprize.org/play?task=27a28665", 56)</f>
        <v>56</v>
      </c>
      <c r="B64" s="14">
        <f>IFERROR(__xludf.DUMMYFUNCTION("min(filter(Scores!B67:AX67,Scores!B67:AX67&gt;0))"),39.0)</f>
        <v>39</v>
      </c>
      <c r="C64" s="14">
        <v>2461.0</v>
      </c>
      <c r="D64" s="51" t="str">
        <f t="array" ref="D64">if(B64,if(countif(Scores!B67:AX67,B64)=1,concat("💎",XLOOKUP(B64,Scores!B67:AX67,Scores!B$1:AX$1)),concat("🥇 x",countif(Scores!B67:AX67,B64))),"")</f>
        <v>💎LogicLynx</v>
      </c>
      <c r="E64" s="14">
        <f>if(countif(Scores!B67:AX67,B64)=1,F64,-1)</f>
        <v>39</v>
      </c>
      <c r="F64" s="14">
        <f t="shared" si="1"/>
        <v>39</v>
      </c>
      <c r="G64" s="14">
        <f>IFERROR(__xludf.DUMMYFUNCTION("if(iferror(small(filter(Scores!B67:AX67,Scores!B67:AX67&gt;0),2),-1)&lt;&gt;F64,iferror(small(filter(Scores!B67:AX67,Scores!B67:AX67&gt;0),2),-1),-1)"),40.0)</f>
        <v>40</v>
      </c>
      <c r="H64" s="14">
        <f>IFERROR(__xludf.DUMMYFUNCTION("if(iferror(small(filter(Scores!B67:AX67,Scores!B67:AX67&gt;0),3),-1)&lt;&gt;iferror(small(filter(Scores!B67:AX67,Scores!B67:AX67&gt;0),2),-1),iferror(small(filter(Scores!B67:AX67,Scores!B67:AX67&gt;0),3),-1),-1)"),-1.0)</f>
        <v>-1</v>
      </c>
      <c r="I64" s="14">
        <f>IFERROR(__xludf.DUMMYFUNCTION("IFERROR(COLUMNS(filter(Scores!B67:AE67,Scores!B67:AE67)),"""")"),44.0)</f>
        <v>44</v>
      </c>
      <c r="J64" s="14">
        <f>COUNTIF(Scores!B67:AX67,B64)</f>
        <v>1</v>
      </c>
      <c r="K64" s="21">
        <f>IFERROR(__xludf.DUMMYFUNCTION("""COMPUTED_VALUE"""),56.0)</f>
        <v>56</v>
      </c>
      <c r="L64" s="36"/>
      <c r="S64" s="21">
        <v>211.0</v>
      </c>
      <c r="T64" s="14">
        <v>48.0</v>
      </c>
      <c r="U64" s="14">
        <v>2452.0</v>
      </c>
      <c r="W64" s="21">
        <v>205.0</v>
      </c>
      <c r="X64" s="14">
        <v>134.0</v>
      </c>
      <c r="Y64" s="14">
        <v>2366.0</v>
      </c>
      <c r="AA64" s="21">
        <v>198.0</v>
      </c>
      <c r="AB64" s="14">
        <v>35.0</v>
      </c>
      <c r="AC64" s="14">
        <v>107.0</v>
      </c>
    </row>
    <row r="65">
      <c r="A65" s="27">
        <f>HYPERLINK("https://arcprize.org/play?task=28bf18c6", 57)</f>
        <v>57</v>
      </c>
      <c r="B65" s="14">
        <f>IFERROR(__xludf.DUMMYFUNCTION("min(filter(Scores!B68:AX68,Scores!B68:AX68&gt;0))"),48.0)</f>
        <v>48</v>
      </c>
      <c r="C65" s="14">
        <v>2452.0</v>
      </c>
      <c r="D65" s="51" t="str">
        <f t="array" ref="D65">if(B65,if(countif(Scores!B68:AX68,B65)=1,concat("💎",XLOOKUP(B65,Scores!B68:AX68,Scores!B$1:AX$1)),concat("🥇 x",countif(Scores!B68:AX68,B65))),"")</f>
        <v>🥇 x2</v>
      </c>
      <c r="E65" s="14">
        <f>if(countif(Scores!B68:AX68,B65)=1,F65,-1)</f>
        <v>-1</v>
      </c>
      <c r="F65" s="14">
        <f t="shared" si="1"/>
        <v>48</v>
      </c>
      <c r="G65" s="14">
        <f>IFERROR(__xludf.DUMMYFUNCTION("if(iferror(small(filter(Scores!B68:AX68,Scores!B68:AX68&gt;0),2),-1)&lt;&gt;F65,iferror(small(filter(Scores!B68:AX68,Scores!B68:AX68&gt;0),2),-1),-1)"),-1.0)</f>
        <v>-1</v>
      </c>
      <c r="H65" s="14">
        <f>IFERROR(__xludf.DUMMYFUNCTION("if(iferror(small(filter(Scores!B68:AX68,Scores!B68:AX68&gt;0),3),-1)&lt;&gt;iferror(small(filter(Scores!B68:AX68,Scores!B68:AX68&gt;0),2),-1),iferror(small(filter(Scores!B68:AX68,Scores!B68:AX68&gt;0),3),-1),-1)"),49.0)</f>
        <v>49</v>
      </c>
      <c r="I65" s="14">
        <f>IFERROR(__xludf.DUMMYFUNCTION("IFERROR(COLUMNS(filter(Scores!B68:AE68,Scores!B68:AE68)),"""")"),44.0)</f>
        <v>44</v>
      </c>
      <c r="J65" s="14">
        <f>COUNTIF(Scores!B68:AX68,B65)</f>
        <v>2</v>
      </c>
      <c r="K65" s="21">
        <f>IFERROR(__xludf.DUMMYFUNCTION("""COMPUTED_VALUE"""),57.0)</f>
        <v>57</v>
      </c>
      <c r="L65" s="36"/>
      <c r="S65" s="21">
        <v>6.0</v>
      </c>
      <c r="T65" s="14">
        <v>49.0</v>
      </c>
      <c r="U65" s="14">
        <v>2451.0</v>
      </c>
      <c r="W65" s="21">
        <v>364.0</v>
      </c>
      <c r="X65" s="14">
        <v>133.0</v>
      </c>
      <c r="Y65" s="14">
        <v>2367.0</v>
      </c>
      <c r="AA65" s="21">
        <v>138.0</v>
      </c>
      <c r="AB65" s="14">
        <v>35.0</v>
      </c>
      <c r="AC65" s="14">
        <v>103.0</v>
      </c>
    </row>
    <row r="66">
      <c r="A66" s="27">
        <f>HYPERLINK("https://arcprize.org/play?task=28e73c20", 58)</f>
        <v>58</v>
      </c>
      <c r="B66" s="14">
        <f>IFERROR(__xludf.DUMMYFUNCTION("min(filter(Scores!B69:AX69,Scores!B69:AX69&gt;0))"),85.0)</f>
        <v>85</v>
      </c>
      <c r="C66" s="14">
        <v>2415.0</v>
      </c>
      <c r="D66" s="51" t="str">
        <f t="array" ref="D66">if(B66,if(countif(Scores!B69:AX69,B66)=1,concat("💎",XLOOKUP(B66,Scores!B69:AX69,Scores!B$1:AX$1)),concat("🥇 x",countif(Scores!B69:AX69,B66))),"")</f>
        <v>💎ox jam</v>
      </c>
      <c r="E66" s="14">
        <f>if(countif(Scores!B69:AX69,B66)=1,F66,-1)</f>
        <v>85</v>
      </c>
      <c r="F66" s="14">
        <f t="shared" si="1"/>
        <v>85</v>
      </c>
      <c r="G66" s="14">
        <f>IFERROR(__xludf.DUMMYFUNCTION("if(iferror(small(filter(Scores!B69:AX69,Scores!B69:AX69&gt;0),2),-1)&lt;&gt;F66,iferror(small(filter(Scores!B69:AX69,Scores!B69:AX69&gt;0),2),-1),-1)"),86.0)</f>
        <v>86</v>
      </c>
      <c r="H66" s="14">
        <f>IFERROR(__xludf.DUMMYFUNCTION("if(iferror(small(filter(Scores!B69:AX69,Scores!B69:AX69&gt;0),3),-1)&lt;&gt;iferror(small(filter(Scores!B69:AX69,Scores!B69:AX69&gt;0),2),-1),iferror(small(filter(Scores!B69:AX69,Scores!B69:AX69&gt;0),3),-1),-1)"),88.0)</f>
        <v>88</v>
      </c>
      <c r="I66" s="14">
        <f>IFERROR(__xludf.DUMMYFUNCTION("IFERROR(COLUMNS(filter(Scores!B69:AE69,Scores!B69:AE69)),"""")"),38.0)</f>
        <v>38</v>
      </c>
      <c r="J66" s="14">
        <f>COUNTIF(Scores!B69:AX69,B66)</f>
        <v>1</v>
      </c>
      <c r="K66" s="21">
        <f>IFERROR(__xludf.DUMMYFUNCTION("""COMPUTED_VALUE"""),58.0)</f>
        <v>58</v>
      </c>
      <c r="L66" s="36"/>
      <c r="S66" s="21">
        <v>41.0</v>
      </c>
      <c r="T66" s="14">
        <v>49.0</v>
      </c>
      <c r="U66" s="14">
        <v>2451.0</v>
      </c>
      <c r="W66" s="21">
        <v>42.0</v>
      </c>
      <c r="X66" s="14">
        <v>132.0</v>
      </c>
      <c r="Y66" s="14">
        <v>2368.0</v>
      </c>
      <c r="AA66" s="21">
        <v>159.0</v>
      </c>
      <c r="AB66" s="14">
        <v>35.0</v>
      </c>
      <c r="AC66" s="14">
        <v>103.0</v>
      </c>
    </row>
    <row r="67">
      <c r="A67" s="27">
        <f>HYPERLINK("https://arcprize.org/play?task=29623171", 59)</f>
        <v>59</v>
      </c>
      <c r="B67" s="14">
        <f>IFERROR(__xludf.DUMMYFUNCTION("min(filter(Scores!B70:AX70,Scores!B70:AX70&gt;0))"),151.0)</f>
        <v>151</v>
      </c>
      <c r="C67" s="14">
        <v>2349.0</v>
      </c>
      <c r="D67" s="51" t="str">
        <f t="array" ref="D67">if(B67,if(countif(Scores!B70:AX70,B67)=1,concat("💎",XLOOKUP(B67,Scores!B70:AX70,Scores!B$1:AX$1)),concat("🥇 x",countif(Scores!B70:AX70,B67))),"")</f>
        <v>💎Code Golf International</v>
      </c>
      <c r="E67" s="14">
        <f>if(countif(Scores!B70:AX70,B67)=1,F67,-1)</f>
        <v>151</v>
      </c>
      <c r="F67" s="14">
        <f t="shared" si="1"/>
        <v>151</v>
      </c>
      <c r="G67" s="14">
        <f>IFERROR(__xludf.DUMMYFUNCTION("if(iferror(small(filter(Scores!B70:AX70,Scores!B70:AX70&gt;0),2),-1)&lt;&gt;F67,iferror(small(filter(Scores!B70:AX70,Scores!B70:AX70&gt;0),2),-1),-1)"),153.0)</f>
        <v>153</v>
      </c>
      <c r="H67" s="14">
        <f>IFERROR(__xludf.DUMMYFUNCTION("if(iferror(small(filter(Scores!B70:AX70,Scores!B70:AX70&gt;0),3),-1)&lt;&gt;iferror(small(filter(Scores!B70:AX70,Scores!B70:AX70&gt;0),2),-1),iferror(small(filter(Scores!B70:AX70,Scores!B70:AX70&gt;0),3),-1),-1)"),155.0)</f>
        <v>155</v>
      </c>
      <c r="I67" s="14">
        <f>IFERROR(__xludf.DUMMYFUNCTION("IFERROR(COLUMNS(filter(Scores!B70:AE70,Scores!B70:AE70)),"""")"),39.0)</f>
        <v>39</v>
      </c>
      <c r="J67" s="14">
        <f>COUNTIF(Scores!B70:AX70,B67)</f>
        <v>1</v>
      </c>
      <c r="K67" s="21">
        <f>IFERROR(__xludf.DUMMYFUNCTION("""COMPUTED_VALUE"""),59.0)</f>
        <v>59</v>
      </c>
      <c r="L67" s="36"/>
      <c r="S67" s="21">
        <v>85.0</v>
      </c>
      <c r="T67" s="14">
        <v>49.0</v>
      </c>
      <c r="U67" s="14">
        <v>2451.0</v>
      </c>
      <c r="W67" s="21">
        <v>107.0</v>
      </c>
      <c r="X67" s="14">
        <v>132.0</v>
      </c>
      <c r="Y67" s="14">
        <v>2368.0</v>
      </c>
      <c r="AA67" s="21">
        <v>281.0</v>
      </c>
      <c r="AB67" s="14">
        <v>35.0</v>
      </c>
      <c r="AC67" s="14">
        <v>103.0</v>
      </c>
    </row>
    <row r="68">
      <c r="A68" s="27">
        <f>HYPERLINK("https://arcprize.org/play?task=29c11459", 60)</f>
        <v>60</v>
      </c>
      <c r="B68" s="14">
        <f>IFERROR(__xludf.DUMMYFUNCTION("min(filter(Scores!B71:AX71,Scores!B71:AX71&gt;0))"),47.0)</f>
        <v>47</v>
      </c>
      <c r="C68" s="14">
        <v>2453.0</v>
      </c>
      <c r="D68" s="51" t="str">
        <f t="array" ref="D68">if(B68,if(countif(Scores!B71:AX71,B68)=1,concat("💎",XLOOKUP(B68,Scores!B71:AX71,Scores!B$1:AX$1)),concat("🥇 x",countif(Scores!B71:AX71,B68))),"")</f>
        <v>🥇 x6</v>
      </c>
      <c r="E68" s="14">
        <f>if(countif(Scores!B71:AX71,B68)=1,F68,-1)</f>
        <v>-1</v>
      </c>
      <c r="F68" s="14">
        <f t="shared" si="1"/>
        <v>47</v>
      </c>
      <c r="G68" s="14">
        <f>IFERROR(__xludf.DUMMYFUNCTION("if(iferror(small(filter(Scores!B71:AX71,Scores!B71:AX71&gt;0),2),-1)&lt;&gt;F68,iferror(small(filter(Scores!B71:AX71,Scores!B71:AX71&gt;0),2),-1),-1)"),-1.0)</f>
        <v>-1</v>
      </c>
      <c r="H68" s="14">
        <f>IFERROR(__xludf.DUMMYFUNCTION("if(iferror(small(filter(Scores!B71:AX71,Scores!B71:AX71&gt;0),3),-1)&lt;&gt;iferror(small(filter(Scores!B71:AX71,Scores!B71:AX71&gt;0),2),-1),iferror(small(filter(Scores!B71:AX71,Scores!B71:AX71&gt;0),3),-1),-1)"),-1.0)</f>
        <v>-1</v>
      </c>
      <c r="I68" s="14">
        <f>IFERROR(__xludf.DUMMYFUNCTION("IFERROR(COLUMNS(filter(Scores!B71:AE71,Scores!B71:AE71)),"""")"),46.0)</f>
        <v>46</v>
      </c>
      <c r="J68" s="14">
        <f>COUNTIF(Scores!B71:AX71,B68)</f>
        <v>6</v>
      </c>
      <c r="K68" s="21">
        <f>IFERROR(__xludf.DUMMYFUNCTION("""COMPUTED_VALUE"""),60.0)</f>
        <v>60</v>
      </c>
      <c r="L68" s="36"/>
      <c r="S68" s="21">
        <v>26.0</v>
      </c>
      <c r="T68" s="14">
        <v>50.0</v>
      </c>
      <c r="U68" s="14">
        <v>2450.0</v>
      </c>
      <c r="W68" s="21">
        <v>378.0</v>
      </c>
      <c r="X68" s="14">
        <v>131.0</v>
      </c>
      <c r="Y68" s="14">
        <v>2369.0</v>
      </c>
      <c r="AA68" s="21">
        <v>119.0</v>
      </c>
      <c r="AB68" s="14">
        <v>35.0</v>
      </c>
      <c r="AC68" s="14">
        <v>102.0</v>
      </c>
    </row>
    <row r="69">
      <c r="A69" s="27">
        <f>HYPERLINK("https://arcprize.org/play?task=29ec7d0e", 61)</f>
        <v>61</v>
      </c>
      <c r="B69" s="14">
        <f>IFERROR(__xludf.DUMMYFUNCTION("min(filter(Scores!B72:AX72,Scores!B72:AX72&gt;0))"),62.0)</f>
        <v>62</v>
      </c>
      <c r="C69" s="14">
        <v>2438.0</v>
      </c>
      <c r="D69" s="51" t="str">
        <f t="array" ref="D69">if(B69,if(countif(Scores!B72:AX72,B69)=1,concat("💎",XLOOKUP(B69,Scores!B72:AX72,Scores!B$1:AX$1)),concat("🥇 x",countif(Scores!B72:AX72,B69))),"")</f>
        <v>🥇 x4</v>
      </c>
      <c r="E69" s="14">
        <f>if(countif(Scores!B72:AX72,B69)=1,F69,-1)</f>
        <v>-1</v>
      </c>
      <c r="F69" s="14">
        <f t="shared" si="1"/>
        <v>62</v>
      </c>
      <c r="G69" s="14">
        <f>IFERROR(__xludf.DUMMYFUNCTION("if(iferror(small(filter(Scores!B72:AX72,Scores!B72:AX72&gt;0),2),-1)&lt;&gt;F69,iferror(small(filter(Scores!B72:AX72,Scores!B72:AX72&gt;0),2),-1),-1)"),-1.0)</f>
        <v>-1</v>
      </c>
      <c r="H69" s="14">
        <f>IFERROR(__xludf.DUMMYFUNCTION("if(iferror(small(filter(Scores!B72:AX72,Scores!B72:AX72&gt;0),3),-1)&lt;&gt;iferror(small(filter(Scores!B72:AX72,Scores!B72:AX72&gt;0),2),-1),iferror(small(filter(Scores!B72:AX72,Scores!B72:AX72&gt;0),3),-1),-1)"),-1.0)</f>
        <v>-1</v>
      </c>
      <c r="I69" s="14">
        <f>IFERROR(__xludf.DUMMYFUNCTION("IFERROR(COLUMNS(filter(Scores!B72:AE72,Scores!B72:AE72)),"""")"),42.0)</f>
        <v>42</v>
      </c>
      <c r="J69" s="14">
        <f>COUNTIF(Scores!B72:AX72,B69)</f>
        <v>4</v>
      </c>
      <c r="K69" s="21">
        <f>IFERROR(__xludf.DUMMYFUNCTION("""COMPUTED_VALUE"""),61.0)</f>
        <v>61</v>
      </c>
      <c r="L69" s="36"/>
      <c r="S69" s="21">
        <v>82.0</v>
      </c>
      <c r="T69" s="14">
        <v>50.0</v>
      </c>
      <c r="U69" s="14">
        <v>2450.0</v>
      </c>
      <c r="W69" s="21">
        <v>163.0</v>
      </c>
      <c r="X69" s="14">
        <v>130.0</v>
      </c>
      <c r="Y69" s="14">
        <v>2370.0</v>
      </c>
      <c r="AA69" s="21">
        <v>71.0</v>
      </c>
      <c r="AB69" s="14">
        <v>35.0</v>
      </c>
      <c r="AC69" s="14">
        <v>100.0</v>
      </c>
    </row>
    <row r="70">
      <c r="A70" s="27">
        <f>HYPERLINK("https://arcprize.org/play?task=2bcee788", 62)</f>
        <v>62</v>
      </c>
      <c r="B70" s="14">
        <f>IFERROR(__xludf.DUMMYFUNCTION("min(filter(Scores!B73:AX73,Scores!B73:AX73&gt;0))"),121.0)</f>
        <v>121</v>
      </c>
      <c r="C70" s="14">
        <v>2379.0</v>
      </c>
      <c r="D70" s="51" t="str">
        <f t="array" ref="D70">if(B70,if(countif(Scores!B73:AX73,B70)=1,concat("💎",XLOOKUP(B70,Scores!B73:AX73,Scores!B$1:AX$1)),concat("🥇 x",countif(Scores!B73:AX73,B70))),"")</f>
        <v>💎ox jam</v>
      </c>
      <c r="E70" s="14">
        <f>if(countif(Scores!B73:AX73,B70)=1,F70,-1)</f>
        <v>121</v>
      </c>
      <c r="F70" s="14">
        <f t="shared" si="1"/>
        <v>121</v>
      </c>
      <c r="G70" s="14">
        <f>IFERROR(__xludf.DUMMYFUNCTION("if(iferror(small(filter(Scores!B73:AX73,Scores!B73:AX73&gt;0),2),-1)&lt;&gt;F70,iferror(small(filter(Scores!B73:AX73,Scores!B73:AX73&gt;0),2),-1),-1)"),123.0)</f>
        <v>123</v>
      </c>
      <c r="H70" s="14">
        <f>IFERROR(__xludf.DUMMYFUNCTION("if(iferror(small(filter(Scores!B73:AX73,Scores!B73:AX73&gt;0),3),-1)&lt;&gt;iferror(small(filter(Scores!B73:AX73,Scores!B73:AX73&gt;0),2),-1),iferror(small(filter(Scores!B73:AX73,Scores!B73:AX73&gt;0),3),-1),-1)"),127.0)</f>
        <v>127</v>
      </c>
      <c r="I70" s="14">
        <f>IFERROR(__xludf.DUMMYFUNCTION("IFERROR(COLUMNS(filter(Scores!B73:AE73,Scores!B73:AE73)),"""")"),36.0)</f>
        <v>36</v>
      </c>
      <c r="J70" s="14">
        <f>COUNTIF(Scores!B73:AX73,B70)</f>
        <v>1</v>
      </c>
      <c r="K70" s="21">
        <f>IFERROR(__xludf.DUMMYFUNCTION("""COMPUTED_VALUE"""),62.0)</f>
        <v>62</v>
      </c>
      <c r="L70" s="36"/>
      <c r="S70" s="21">
        <v>347.0</v>
      </c>
      <c r="T70" s="14">
        <v>50.0</v>
      </c>
      <c r="U70" s="14">
        <v>2450.0</v>
      </c>
      <c r="W70" s="21">
        <v>260.0</v>
      </c>
      <c r="X70" s="14">
        <v>130.0</v>
      </c>
      <c r="Y70" s="14">
        <v>2370.0</v>
      </c>
      <c r="AA70" s="21">
        <v>192.0</v>
      </c>
      <c r="AB70" s="14">
        <v>35.0</v>
      </c>
      <c r="AC70" s="14">
        <v>99.0</v>
      </c>
    </row>
    <row r="71">
      <c r="A71" s="27">
        <f>HYPERLINK("https://arcprize.org/play?task=2bee17df", 63)</f>
        <v>63</v>
      </c>
      <c r="B71" s="14">
        <f>IFERROR(__xludf.DUMMYFUNCTION("min(filter(Scores!B74:AX74,Scores!B74:AX74&gt;0))"),74.0)</f>
        <v>74</v>
      </c>
      <c r="C71" s="14">
        <v>2426.0</v>
      </c>
      <c r="D71" s="51" t="str">
        <f t="array" ref="D71">if(B71,if(countif(Scores!B74:AX74,B71)=1,concat("💎",XLOOKUP(B71,Scores!B74:AX74,Scores!B$1:AX$1)),concat("🥇 x",countif(Scores!B74:AX74,B71))),"")</f>
        <v>💎Code Golf International</v>
      </c>
      <c r="E71" s="14">
        <f>if(countif(Scores!B74:AX74,B71)=1,F71,-1)</f>
        <v>74</v>
      </c>
      <c r="F71" s="14">
        <f t="shared" si="1"/>
        <v>74</v>
      </c>
      <c r="G71" s="14">
        <f>IFERROR(__xludf.DUMMYFUNCTION("if(iferror(small(filter(Scores!B74:AX74,Scores!B74:AX74&gt;0),2),-1)&lt;&gt;F71,iferror(small(filter(Scores!B74:AX74,Scores!B74:AX74&gt;0),2),-1),-1)"),75.0)</f>
        <v>75</v>
      </c>
      <c r="H71" s="14">
        <f>IFERROR(__xludf.DUMMYFUNCTION("if(iferror(small(filter(Scores!B74:AX74,Scores!B74:AX74&gt;0),3),-1)&lt;&gt;iferror(small(filter(Scores!B74:AX74,Scores!B74:AX74&gt;0),2),-1),iferror(small(filter(Scores!B74:AX74,Scores!B74:AX74&gt;0),3),-1),-1)"),76.0)</f>
        <v>76</v>
      </c>
      <c r="I71" s="14">
        <f>IFERROR(__xludf.DUMMYFUNCTION("IFERROR(COLUMNS(filter(Scores!B74:AE74,Scores!B74:AE74)),"""")"),40.0)</f>
        <v>40</v>
      </c>
      <c r="J71" s="14">
        <f>COUNTIF(Scores!B74:AX74,B71)</f>
        <v>1</v>
      </c>
      <c r="K71" s="21">
        <f>IFERROR(__xludf.DUMMYFUNCTION("""COMPUTED_VALUE"""),63.0)</f>
        <v>63</v>
      </c>
      <c r="L71" s="36"/>
      <c r="S71" s="21">
        <v>386.0</v>
      </c>
      <c r="T71" s="14">
        <v>50.0</v>
      </c>
      <c r="U71" s="14">
        <v>2450.0</v>
      </c>
      <c r="W71" s="21">
        <v>368.0</v>
      </c>
      <c r="X71" s="14">
        <v>129.0</v>
      </c>
      <c r="Y71" s="14">
        <v>2371.0</v>
      </c>
      <c r="AA71" s="21">
        <v>245.0</v>
      </c>
      <c r="AB71" s="14">
        <v>35.0</v>
      </c>
      <c r="AC71" s="14">
        <v>98.0</v>
      </c>
    </row>
    <row r="72">
      <c r="A72" s="27">
        <f>HYPERLINK("https://arcprize.org/play?task=2c608aff", 64)</f>
        <v>64</v>
      </c>
      <c r="B72" s="14">
        <f>IFERROR(__xludf.DUMMYFUNCTION("min(filter(Scores!B75:AX75,Scores!B75:AX75&gt;0))"),135.0)</f>
        <v>135</v>
      </c>
      <c r="C72" s="14">
        <v>2365.0</v>
      </c>
      <c r="D72" s="51" t="str">
        <f t="array" ref="D72">if(B72,if(countif(Scores!B75:AX75,B72)=1,concat("💎",XLOOKUP(B72,Scores!B75:AX75,Scores!B$1:AX$1)),concat("🥇 x",countif(Scores!B75:AX75,B72))),"")</f>
        <v>💎Code Golf International</v>
      </c>
      <c r="E72" s="14">
        <f>if(countif(Scores!B75:AX75,B72)=1,F72,-1)</f>
        <v>135</v>
      </c>
      <c r="F72" s="14">
        <f t="shared" si="1"/>
        <v>135</v>
      </c>
      <c r="G72" s="14">
        <f>IFERROR(__xludf.DUMMYFUNCTION("if(iferror(small(filter(Scores!B75:AX75,Scores!B75:AX75&gt;0),2),-1)&lt;&gt;F72,iferror(small(filter(Scores!B75:AX75,Scores!B75:AX75&gt;0),2),-1),-1)"),146.0)</f>
        <v>146</v>
      </c>
      <c r="H72" s="14">
        <f>IFERROR(__xludf.DUMMYFUNCTION("if(iferror(small(filter(Scores!B75:AX75,Scores!B75:AX75&gt;0),3),-1)&lt;&gt;iferror(small(filter(Scores!B75:AX75,Scores!B75:AX75&gt;0),2),-1),iferror(small(filter(Scores!B75:AX75,Scores!B75:AX75&gt;0),3),-1),-1)"),152.0)</f>
        <v>152</v>
      </c>
      <c r="I72" s="14">
        <f>IFERROR(__xludf.DUMMYFUNCTION("IFERROR(COLUMNS(filter(Scores!B75:AE75,Scores!B75:AE75)),"""")"),37.0)</f>
        <v>37</v>
      </c>
      <c r="J72" s="14">
        <f>COUNTIF(Scores!B75:AX75,B72)</f>
        <v>1</v>
      </c>
      <c r="K72" s="21">
        <f>IFERROR(__xludf.DUMMYFUNCTION("""COMPUTED_VALUE"""),64.0)</f>
        <v>64</v>
      </c>
      <c r="L72" s="36"/>
      <c r="S72" s="21">
        <v>21.0</v>
      </c>
      <c r="T72" s="14">
        <v>51.0</v>
      </c>
      <c r="U72" s="14">
        <v>2449.0</v>
      </c>
      <c r="W72" s="21">
        <v>25.0</v>
      </c>
      <c r="X72" s="14">
        <v>127.0</v>
      </c>
      <c r="Y72" s="14">
        <v>2373.0</v>
      </c>
      <c r="AA72" s="21">
        <v>154.0</v>
      </c>
      <c r="AB72" s="14">
        <v>35.0</v>
      </c>
      <c r="AC72" s="14">
        <v>96.0</v>
      </c>
    </row>
    <row r="73">
      <c r="A73" s="27">
        <f>HYPERLINK("https://arcprize.org/play?task=2dc579da", 65)</f>
        <v>65</v>
      </c>
      <c r="B73" s="14">
        <f>IFERROR(__xludf.DUMMYFUNCTION("min(filter(Scores!B76:AX76,Scores!B76:AX76&gt;0))"),82.0)</f>
        <v>82</v>
      </c>
      <c r="C73" s="14">
        <v>2418.0</v>
      </c>
      <c r="D73" s="51" t="str">
        <f t="array" ref="D73">if(B73,if(countif(Scores!B76:AX76,B73)=1,concat("💎",XLOOKUP(B73,Scores!B76:AX76,Scores!B$1:AX$1)),concat("🥇 x",countif(Scores!B76:AX76,B73))),"")</f>
        <v>💎Code Golf International</v>
      </c>
      <c r="E73" s="14">
        <f>if(countif(Scores!B76:AX76,B73)=1,F73,-1)</f>
        <v>82</v>
      </c>
      <c r="F73" s="14">
        <f t="shared" si="1"/>
        <v>82</v>
      </c>
      <c r="G73" s="14">
        <f>IFERROR(__xludf.DUMMYFUNCTION("if(iferror(small(filter(Scores!B76:AX76,Scores!B76:AX76&gt;0),2),-1)&lt;&gt;F73,iferror(small(filter(Scores!B76:AX76,Scores!B76:AX76&gt;0),2),-1),-1)"),84.0)</f>
        <v>84</v>
      </c>
      <c r="H73" s="14">
        <f>IFERROR(__xludf.DUMMYFUNCTION("if(iferror(small(filter(Scores!B76:AX76,Scores!B76:AX76&gt;0),3),-1)&lt;&gt;iferror(small(filter(Scores!B76:AX76,Scores!B76:AX76&gt;0),2),-1),iferror(small(filter(Scores!B76:AX76,Scores!B76:AX76&gt;0),3),-1),-1)"),-1.0)</f>
        <v>-1</v>
      </c>
      <c r="I73" s="14">
        <f>IFERROR(__xludf.DUMMYFUNCTION("IFERROR(COLUMNS(filter(Scores!B76:AE76,Scores!B76:AE76)),"""")"),42.0)</f>
        <v>42</v>
      </c>
      <c r="J73" s="14">
        <f>COUNTIF(Scores!B76:AX76,B73)</f>
        <v>1</v>
      </c>
      <c r="K73" s="21">
        <f>IFERROR(__xludf.DUMMYFUNCTION("""COMPUTED_VALUE"""),65.0)</f>
        <v>65</v>
      </c>
      <c r="L73" s="36"/>
      <c r="S73" s="21">
        <v>38.0</v>
      </c>
      <c r="T73" s="14">
        <v>51.0</v>
      </c>
      <c r="U73" s="14">
        <v>2449.0</v>
      </c>
      <c r="W73" s="21">
        <v>143.0</v>
      </c>
      <c r="X73" s="14">
        <v>127.0</v>
      </c>
      <c r="Y73" s="14">
        <v>2373.0</v>
      </c>
      <c r="AA73" s="21">
        <v>355.0</v>
      </c>
      <c r="AB73" s="14">
        <v>35.0</v>
      </c>
      <c r="AC73" s="14">
        <v>95.0</v>
      </c>
    </row>
    <row r="74">
      <c r="A74" s="27">
        <f>HYPERLINK("https://arcprize.org/play?task=2dd70a9a", 66)</f>
        <v>66</v>
      </c>
      <c r="B74" s="14">
        <f>IFERROR(__xludf.DUMMYFUNCTION("min(filter(Scores!B77:AX77,Scores!B77:AX77&gt;0))"),237.0)</f>
        <v>237</v>
      </c>
      <c r="C74" s="14">
        <v>2263.0</v>
      </c>
      <c r="D74" s="51" t="str">
        <f t="array" ref="D74">if(B74,if(countif(Scores!B77:AX77,B74)=1,concat("💎",XLOOKUP(B74,Scores!B77:AX77,Scores!B$1:AX$1)),concat("🥇 x",countif(Scores!B77:AX77,B74))),"")</f>
        <v>💎jailctf merger</v>
      </c>
      <c r="E74" s="14">
        <f>if(countif(Scores!B77:AX77,B74)=1,F74,-1)</f>
        <v>237</v>
      </c>
      <c r="F74" s="14">
        <f t="shared" si="1"/>
        <v>237</v>
      </c>
      <c r="G74" s="14">
        <f>IFERROR(__xludf.DUMMYFUNCTION("if(iferror(small(filter(Scores!B77:AX77,Scores!B77:AX77&gt;0),2),-1)&lt;&gt;F74,iferror(small(filter(Scores!B77:AX77,Scores!B77:AX77&gt;0),2),-1),-1)"),240.0)</f>
        <v>240</v>
      </c>
      <c r="H74" s="14">
        <f>IFERROR(__xludf.DUMMYFUNCTION("if(iferror(small(filter(Scores!B77:AX77,Scores!B77:AX77&gt;0),3),-1)&lt;&gt;iferror(small(filter(Scores!B77:AX77,Scores!B77:AX77&gt;0),2),-1),iferror(small(filter(Scores!B77:AX77,Scores!B77:AX77&gt;0),3),-1),-1)"),244.0)</f>
        <v>244</v>
      </c>
      <c r="I74" s="14">
        <f>IFERROR(__xludf.DUMMYFUNCTION("IFERROR(COLUMNS(filter(Scores!B77:AE77,Scores!B77:AE77)),"""")"),36.0)</f>
        <v>36</v>
      </c>
      <c r="J74" s="14">
        <f>COUNTIF(Scores!B77:AX77,B74)</f>
        <v>1</v>
      </c>
      <c r="K74" s="21">
        <f>IFERROR(__xludf.DUMMYFUNCTION("""COMPUTED_VALUE"""),66.0)</f>
        <v>66</v>
      </c>
      <c r="L74" s="36"/>
      <c r="S74" s="21">
        <v>115.0</v>
      </c>
      <c r="T74" s="14">
        <v>51.0</v>
      </c>
      <c r="U74" s="14">
        <v>2449.0</v>
      </c>
      <c r="W74" s="21">
        <v>20.0</v>
      </c>
      <c r="X74" s="14">
        <v>126.0</v>
      </c>
      <c r="Y74" s="14">
        <v>2374.0</v>
      </c>
      <c r="AA74" s="21">
        <v>195.0</v>
      </c>
      <c r="AB74" s="14">
        <v>35.0</v>
      </c>
      <c r="AC74" s="14">
        <v>94.0</v>
      </c>
    </row>
    <row r="75">
      <c r="A75" s="27">
        <f>HYPERLINK("https://arcprize.org/play?task=2dee498d", 67)</f>
        <v>67</v>
      </c>
      <c r="B75" s="14">
        <f>IFERROR(__xludf.DUMMYFUNCTION("min(filter(Scores!B78:AX78,Scores!B78:AX78&gt;0))"),33.0)</f>
        <v>33</v>
      </c>
      <c r="C75" s="14">
        <v>2467.0</v>
      </c>
      <c r="D75" s="51" t="str">
        <f t="array" ref="D75">if(B75,if(countif(Scores!B78:AX78,B75)=1,concat("💎",XLOOKUP(B75,Scores!B78:AX78,Scores!B$1:AX$1)),concat("🥇 x",countif(Scores!B78:AX78,B75))),"")</f>
        <v>🥇 x39</v>
      </c>
      <c r="E75" s="14">
        <f>if(countif(Scores!B78:AX78,B75)=1,F75,-1)</f>
        <v>-1</v>
      </c>
      <c r="F75" s="14">
        <f t="shared" si="1"/>
        <v>33</v>
      </c>
      <c r="G75" s="14">
        <f>IFERROR(__xludf.DUMMYFUNCTION("if(iferror(small(filter(Scores!B78:AX78,Scores!B78:AX78&gt;0),2),-1)&lt;&gt;F75,iferror(small(filter(Scores!B78:AX78,Scores!B78:AX78&gt;0),2),-1),-1)"),-1.0)</f>
        <v>-1</v>
      </c>
      <c r="H75" s="14">
        <f>IFERROR(__xludf.DUMMYFUNCTION("if(iferror(small(filter(Scores!B78:AX78,Scores!B78:AX78&gt;0),3),-1)&lt;&gt;iferror(small(filter(Scores!B78:AX78,Scores!B78:AX78&gt;0),2),-1),iferror(small(filter(Scores!B78:AX78,Scores!B78:AX78&gt;0),3),-1),-1)"),-1.0)</f>
        <v>-1</v>
      </c>
      <c r="I75" s="14">
        <f>IFERROR(__xludf.DUMMYFUNCTION("IFERROR(COLUMNS(filter(Scores!B78:AE78,Scores!B78:AE78)),"""")"),47.0)</f>
        <v>47</v>
      </c>
      <c r="J75" s="14">
        <f>COUNTIF(Scores!B78:AX78,B75)</f>
        <v>39</v>
      </c>
      <c r="K75" s="21">
        <f>IFERROR(__xludf.DUMMYFUNCTION("""COMPUTED_VALUE"""),67.0)</f>
        <v>67</v>
      </c>
      <c r="L75" s="36"/>
      <c r="S75" s="21">
        <v>171.0</v>
      </c>
      <c r="T75" s="14">
        <v>51.0</v>
      </c>
      <c r="U75" s="14">
        <v>2449.0</v>
      </c>
      <c r="W75" s="21">
        <v>275.0</v>
      </c>
      <c r="X75" s="14">
        <v>126.0</v>
      </c>
      <c r="Y75" s="14">
        <v>2374.0</v>
      </c>
      <c r="AA75" s="21">
        <v>99.0</v>
      </c>
      <c r="AB75" s="14">
        <v>35.0</v>
      </c>
      <c r="AC75" s="14">
        <v>93.0</v>
      </c>
    </row>
    <row r="76">
      <c r="A76" s="27">
        <f>HYPERLINK("https://arcprize.org/play?task=31aa019c", 68)</f>
        <v>68</v>
      </c>
      <c r="B76" s="14">
        <f>IFERROR(__xludf.DUMMYFUNCTION("min(filter(Scores!B79:AX79,Scores!B79:AX79&gt;0))"),99.0)</f>
        <v>99</v>
      </c>
      <c r="C76" s="14">
        <v>2401.0</v>
      </c>
      <c r="D76" s="51" t="str">
        <f t="array" ref="D76">if(B76,if(countif(Scores!B79:AX79,B76)=1,concat("💎",XLOOKUP(B76,Scores!B79:AX79,Scores!B$1:AX$1)),concat("🥇 x",countif(Scores!B79:AX79,B76))),"")</f>
        <v>💎Code Golf International</v>
      </c>
      <c r="E76" s="14">
        <f>if(countif(Scores!B79:AX79,B76)=1,F76,-1)</f>
        <v>99</v>
      </c>
      <c r="F76" s="14">
        <f t="shared" si="1"/>
        <v>99</v>
      </c>
      <c r="G76" s="14">
        <f>IFERROR(__xludf.DUMMYFUNCTION("if(iferror(small(filter(Scores!B79:AX79,Scores!B79:AX79&gt;0),2),-1)&lt;&gt;F76,iferror(small(filter(Scores!B79:AX79,Scores!B79:AX79&gt;0),2),-1),-1)"),103.0)</f>
        <v>103</v>
      </c>
      <c r="H76" s="14">
        <f>IFERROR(__xludf.DUMMYFUNCTION("if(iferror(small(filter(Scores!B79:AX79,Scores!B79:AX79&gt;0),3),-1)&lt;&gt;iferror(small(filter(Scores!B79:AX79,Scores!B79:AX79&gt;0),2),-1),iferror(small(filter(Scores!B79:AX79,Scores!B79:AX79&gt;0),3),-1),-1)"),112.0)</f>
        <v>112</v>
      </c>
      <c r="I76" s="14">
        <f>IFERROR(__xludf.DUMMYFUNCTION("IFERROR(COLUMNS(filter(Scores!B79:AE79,Scores!B79:AE79)),"""")"),40.0)</f>
        <v>40</v>
      </c>
      <c r="J76" s="14">
        <f>COUNTIF(Scores!B79:AX79,B76)</f>
        <v>1</v>
      </c>
      <c r="K76" s="21">
        <f>IFERROR(__xludf.DUMMYFUNCTION("""COMPUTED_VALUE"""),68.0)</f>
        <v>68</v>
      </c>
      <c r="L76" s="36"/>
      <c r="S76" s="21">
        <v>177.0</v>
      </c>
      <c r="T76" s="14">
        <v>51.0</v>
      </c>
      <c r="U76" s="14">
        <v>2449.0</v>
      </c>
      <c r="W76" s="21">
        <v>367.0</v>
      </c>
      <c r="X76" s="14">
        <v>126.0</v>
      </c>
      <c r="Y76" s="14">
        <v>2374.0</v>
      </c>
      <c r="AA76" s="21">
        <v>222.0</v>
      </c>
      <c r="AB76" s="14">
        <v>35.0</v>
      </c>
      <c r="AC76" s="14">
        <v>93.0</v>
      </c>
    </row>
    <row r="77">
      <c r="A77" s="27">
        <f>HYPERLINK("https://arcprize.org/play?task=321b1fc6", 69)</f>
        <v>69</v>
      </c>
      <c r="B77" s="14">
        <f>IFERROR(__xludf.DUMMYFUNCTION("min(filter(Scores!B80:AX80,Scores!B80:AX80&gt;0))"),143.0)</f>
        <v>143</v>
      </c>
      <c r="C77" s="14">
        <v>2357.0</v>
      </c>
      <c r="D77" s="51" t="str">
        <f t="array" ref="D77">if(B77,if(countif(Scores!B80:AX80,B77)=1,concat("💎",XLOOKUP(B77,Scores!B80:AX80,Scores!B$1:AX$1)),concat("🥇 x",countif(Scores!B80:AX80,B77))),"")</f>
        <v>💎jailctf merger</v>
      </c>
      <c r="E77" s="14">
        <f>if(countif(Scores!B80:AX80,B77)=1,F77,-1)</f>
        <v>143</v>
      </c>
      <c r="F77" s="14">
        <f t="shared" si="1"/>
        <v>143</v>
      </c>
      <c r="G77" s="14">
        <f>IFERROR(__xludf.DUMMYFUNCTION("if(iferror(small(filter(Scores!B80:AX80,Scores!B80:AX80&gt;0),2),-1)&lt;&gt;F77,iferror(small(filter(Scores!B80:AX80,Scores!B80:AX80&gt;0),2),-1),-1)"),148.0)</f>
        <v>148</v>
      </c>
      <c r="H77" s="14">
        <f>IFERROR(__xludf.DUMMYFUNCTION("if(iferror(small(filter(Scores!B80:AX80,Scores!B80:AX80&gt;0),3),-1)&lt;&gt;iferror(small(filter(Scores!B80:AX80,Scores!B80:AX80&gt;0),2),-1),iferror(small(filter(Scores!B80:AX80,Scores!B80:AX80&gt;0),3),-1),-1)"),150.0)</f>
        <v>150</v>
      </c>
      <c r="I77" s="14">
        <f>IFERROR(__xludf.DUMMYFUNCTION("IFERROR(COLUMNS(filter(Scores!B80:AE80,Scores!B80:AE80)),"""")"),38.0)</f>
        <v>38</v>
      </c>
      <c r="J77" s="14">
        <f>COUNTIF(Scores!B80:AX80,B77)</f>
        <v>1</v>
      </c>
      <c r="K77" s="21">
        <f>IFERROR(__xludf.DUMMYFUNCTION("""COMPUTED_VALUE"""),69.0)</f>
        <v>69</v>
      </c>
      <c r="L77" s="36"/>
      <c r="S77" s="21">
        <v>197.0</v>
      </c>
      <c r="T77" s="14">
        <v>51.0</v>
      </c>
      <c r="U77" s="14">
        <v>2449.0</v>
      </c>
      <c r="W77" s="21">
        <v>13.0</v>
      </c>
      <c r="X77" s="14">
        <v>124.0</v>
      </c>
      <c r="Y77" s="14">
        <v>2376.0</v>
      </c>
      <c r="AA77" s="21">
        <v>240.0</v>
      </c>
      <c r="AB77" s="14">
        <v>35.0</v>
      </c>
      <c r="AC77" s="14">
        <v>89.0</v>
      </c>
    </row>
    <row r="78">
      <c r="A78" s="27">
        <f>HYPERLINK("https://arcprize.org/play?task=32597951", 70)</f>
        <v>70</v>
      </c>
      <c r="B78" s="14">
        <f>IFERROR(__xludf.DUMMYFUNCTION("min(filter(Scores!B81:AX81,Scores!B81:AX81&gt;0))"),78.0)</f>
        <v>78</v>
      </c>
      <c r="C78" s="14">
        <v>2422.0</v>
      </c>
      <c r="D78" s="51" t="str">
        <f t="array" ref="D78">if(B78,if(countif(Scores!B81:AX81,B78)=1,concat("💎",XLOOKUP(B78,Scores!B81:AX81,Scores!B$1:AX$1)),concat("🥇 x",countif(Scores!B81:AX81,B78))),"")</f>
        <v>💎jailctf merger</v>
      </c>
      <c r="E78" s="14">
        <f>if(countif(Scores!B81:AX81,B78)=1,F78,-1)</f>
        <v>78</v>
      </c>
      <c r="F78" s="14">
        <f t="shared" si="1"/>
        <v>78</v>
      </c>
      <c r="G78" s="14">
        <f>IFERROR(__xludf.DUMMYFUNCTION("if(iferror(small(filter(Scores!B81:AX81,Scores!B81:AX81&gt;0),2),-1)&lt;&gt;F78,iferror(small(filter(Scores!B81:AX81,Scores!B81:AX81&gt;0),2),-1),-1)"),80.0)</f>
        <v>80</v>
      </c>
      <c r="H78" s="14">
        <f>IFERROR(__xludf.DUMMYFUNCTION("if(iferror(small(filter(Scores!B81:AX81,Scores!B81:AX81&gt;0),3),-1)&lt;&gt;iferror(small(filter(Scores!B81:AX81,Scores!B81:AX81&gt;0),2),-1),iferror(small(filter(Scores!B81:AX81,Scores!B81:AX81&gt;0),3),-1),-1)"),82.0)</f>
        <v>82</v>
      </c>
      <c r="I78" s="14">
        <f>IFERROR(__xludf.DUMMYFUNCTION("IFERROR(COLUMNS(filter(Scores!B81:AE81,Scores!B81:AE81)),"""")"),40.0)</f>
        <v>40</v>
      </c>
      <c r="J78" s="14">
        <f>COUNTIF(Scores!B81:AX81,B78)</f>
        <v>1</v>
      </c>
      <c r="K78" s="21">
        <f>IFERROR(__xludf.DUMMYFUNCTION("""COMPUTED_VALUE"""),70.0)</f>
        <v>70</v>
      </c>
      <c r="L78" s="36"/>
      <c r="S78" s="21">
        <v>292.0</v>
      </c>
      <c r="T78" s="14">
        <v>51.0</v>
      </c>
      <c r="U78" s="14">
        <v>2449.0</v>
      </c>
      <c r="W78" s="21">
        <v>102.0</v>
      </c>
      <c r="X78" s="14">
        <v>124.0</v>
      </c>
      <c r="Y78" s="14">
        <v>2376.0</v>
      </c>
      <c r="AA78" s="21">
        <v>288.0</v>
      </c>
      <c r="AB78" s="14">
        <v>35.0</v>
      </c>
      <c r="AC78" s="14">
        <v>86.0</v>
      </c>
    </row>
    <row r="79">
      <c r="A79" s="27">
        <f>HYPERLINK("https://arcprize.org/play?task=3345333e", 71)</f>
        <v>71</v>
      </c>
      <c r="B79" s="14">
        <f>IFERROR(__xludf.DUMMYFUNCTION("min(filter(Scores!B82:AX82,Scores!B82:AX82&gt;0))"),100.0)</f>
        <v>100</v>
      </c>
      <c r="C79" s="14">
        <v>2400.0</v>
      </c>
      <c r="D79" s="51" t="str">
        <f t="array" ref="D79">if(B79,if(countif(Scores!B82:AX82,B79)=1,concat("💎",XLOOKUP(B79,Scores!B82:AX82,Scores!B$1:AX$1)),concat("🥇 x",countif(Scores!B82:AX82,B79))),"")</f>
        <v>💎LogicLynx</v>
      </c>
      <c r="E79" s="14">
        <f>if(countif(Scores!B82:AX82,B79)=1,F79,-1)</f>
        <v>100</v>
      </c>
      <c r="F79" s="14">
        <f t="shared" si="1"/>
        <v>100</v>
      </c>
      <c r="G79" s="14">
        <f>IFERROR(__xludf.DUMMYFUNCTION("if(iferror(small(filter(Scores!B82:AX82,Scores!B82:AX82&gt;0),2),-1)&lt;&gt;F79,iferror(small(filter(Scores!B82:AX82,Scores!B82:AX82&gt;0),2),-1),-1)"),104.0)</f>
        <v>104</v>
      </c>
      <c r="H79" s="14">
        <f>IFERROR(__xludf.DUMMYFUNCTION("if(iferror(small(filter(Scores!B82:AX82,Scores!B82:AX82&gt;0),3),-1)&lt;&gt;iferror(small(filter(Scores!B82:AX82,Scores!B82:AX82&gt;0),2),-1),iferror(small(filter(Scores!B82:AX82,Scores!B82:AX82&gt;0),3),-1),-1)"),115.0)</f>
        <v>115</v>
      </c>
      <c r="I79" s="14">
        <f>IFERROR(__xludf.DUMMYFUNCTION("IFERROR(COLUMNS(filter(Scores!B82:AE82,Scores!B82:AE82)),"""")"),35.0)</f>
        <v>35</v>
      </c>
      <c r="J79" s="14">
        <f>COUNTIF(Scores!B82:AX82,B79)</f>
        <v>1</v>
      </c>
      <c r="K79" s="21">
        <f>IFERROR(__xludf.DUMMYFUNCTION("""COMPUTED_VALUE"""),71.0)</f>
        <v>71</v>
      </c>
      <c r="L79" s="36"/>
      <c r="S79" s="21">
        <v>227.0</v>
      </c>
      <c r="T79" s="14">
        <v>52.0</v>
      </c>
      <c r="U79" s="14">
        <v>2448.0</v>
      </c>
      <c r="W79" s="21">
        <v>105.0</v>
      </c>
      <c r="X79" s="14">
        <v>124.0</v>
      </c>
      <c r="Y79" s="14">
        <v>2376.0</v>
      </c>
      <c r="AA79" s="21">
        <v>175.0</v>
      </c>
      <c r="AB79" s="14">
        <v>35.0</v>
      </c>
      <c r="AC79" s="14">
        <v>74.0</v>
      </c>
    </row>
    <row r="80">
      <c r="A80" s="27">
        <f>HYPERLINK("https://arcprize.org/play?task=3428a4f5", 72)</f>
        <v>72</v>
      </c>
      <c r="B80" s="14">
        <f>IFERROR(__xludf.DUMMYFUNCTION("min(filter(Scores!B83:AX83,Scores!B83:AX83&gt;0))"),54.0)</f>
        <v>54</v>
      </c>
      <c r="C80" s="14">
        <v>2446.0</v>
      </c>
      <c r="D80" s="51" t="str">
        <f t="array" ref="D80">if(B80,if(countif(Scores!B83:AX83,B80)=1,concat("💎",XLOOKUP(B80,Scores!B83:AX83,Scores!B$1:AX$1)),concat("🥇 x",countif(Scores!B83:AX83,B80))),"")</f>
        <v>🥇 x4</v>
      </c>
      <c r="E80" s="14">
        <f>if(countif(Scores!B83:AX83,B80)=1,F80,-1)</f>
        <v>-1</v>
      </c>
      <c r="F80" s="14">
        <f t="shared" si="1"/>
        <v>54</v>
      </c>
      <c r="G80" s="14">
        <f>IFERROR(__xludf.DUMMYFUNCTION("if(iferror(small(filter(Scores!B83:AX83,Scores!B83:AX83&gt;0),2),-1)&lt;&gt;F80,iferror(small(filter(Scores!B83:AX83,Scores!B83:AX83&gt;0),2),-1),-1)"),-1.0)</f>
        <v>-1</v>
      </c>
      <c r="H80" s="14">
        <f>IFERROR(__xludf.DUMMYFUNCTION("if(iferror(small(filter(Scores!B83:AX83,Scores!B83:AX83&gt;0),3),-1)&lt;&gt;iferror(small(filter(Scores!B83:AX83,Scores!B83:AX83&gt;0),2),-1),iferror(small(filter(Scores!B83:AX83,Scores!B83:AX83&gt;0),3),-1),-1)"),-1.0)</f>
        <v>-1</v>
      </c>
      <c r="I80" s="14">
        <f>IFERROR(__xludf.DUMMYFUNCTION("IFERROR(COLUMNS(filter(Scores!B83:AE83,Scores!B83:AE83)),"""")"),47.0)</f>
        <v>47</v>
      </c>
      <c r="J80" s="14">
        <f>COUNTIF(Scores!B83:AX83,B80)</f>
        <v>4</v>
      </c>
      <c r="K80" s="21">
        <f>IFERROR(__xludf.DUMMYFUNCTION("""COMPUTED_VALUE"""),72.0)</f>
        <v>72</v>
      </c>
      <c r="L80" s="36"/>
      <c r="S80" s="21">
        <v>346.0</v>
      </c>
      <c r="T80" s="14">
        <v>52.0</v>
      </c>
      <c r="U80" s="14">
        <v>2448.0</v>
      </c>
      <c r="W80" s="21">
        <v>382.0</v>
      </c>
      <c r="X80" s="14">
        <v>124.0</v>
      </c>
      <c r="Y80" s="14">
        <v>2376.0</v>
      </c>
      <c r="AA80" s="21">
        <v>122.0</v>
      </c>
      <c r="AB80" s="14">
        <v>35.0</v>
      </c>
      <c r="AC80" s="14">
        <v>70.0</v>
      </c>
    </row>
    <row r="81">
      <c r="A81" s="27">
        <f>HYPERLINK("https://arcprize.org/play?task=3618c87e", 73)</f>
        <v>73</v>
      </c>
      <c r="B81" s="14">
        <f>IFERROR(__xludf.DUMMYFUNCTION("min(filter(Scores!B84:AX84,Scores!B84:AX84&gt;0))"),46.0)</f>
        <v>46</v>
      </c>
      <c r="C81" s="14">
        <v>2454.0</v>
      </c>
      <c r="D81" s="51" t="str">
        <f t="array" ref="D81">if(B81,if(countif(Scores!B84:AX84,B81)=1,concat("💎",XLOOKUP(B81,Scores!B84:AX84,Scores!B$1:AX$1)),concat("🥇 x",countif(Scores!B84:AX84,B81))),"")</f>
        <v>🥇 x21</v>
      </c>
      <c r="E81" s="14">
        <f>if(countif(Scores!B84:AX84,B81)=1,F81,-1)</f>
        <v>-1</v>
      </c>
      <c r="F81" s="14">
        <f t="shared" si="1"/>
        <v>46</v>
      </c>
      <c r="G81" s="14">
        <f>IFERROR(__xludf.DUMMYFUNCTION("if(iferror(small(filter(Scores!B84:AX84,Scores!B84:AX84&gt;0),2),-1)&lt;&gt;F81,iferror(small(filter(Scores!B84:AX84,Scores!B84:AX84&gt;0),2),-1),-1)"),-1.0)</f>
        <v>-1</v>
      </c>
      <c r="H81" s="14">
        <f>IFERROR(__xludf.DUMMYFUNCTION("if(iferror(small(filter(Scores!B84:AX84,Scores!B84:AX84&gt;0),3),-1)&lt;&gt;iferror(small(filter(Scores!B84:AX84,Scores!B84:AX84&gt;0),2),-1),iferror(small(filter(Scores!B84:AX84,Scores!B84:AX84&gt;0),3),-1),-1)"),-1.0)</f>
        <v>-1</v>
      </c>
      <c r="I81" s="14">
        <f>IFERROR(__xludf.DUMMYFUNCTION("IFERROR(COLUMNS(filter(Scores!B84:AE84,Scores!B84:AE84)),"""")"),45.0)</f>
        <v>45</v>
      </c>
      <c r="J81" s="14">
        <f>COUNTIF(Scores!B84:AX84,B81)</f>
        <v>21</v>
      </c>
      <c r="K81" s="21">
        <f>IFERROR(__xludf.DUMMYFUNCTION("""COMPUTED_VALUE"""),73.0)</f>
        <v>73</v>
      </c>
      <c r="L81" s="36"/>
      <c r="S81" s="21">
        <v>144.0</v>
      </c>
      <c r="T81" s="14">
        <v>53.0</v>
      </c>
      <c r="U81" s="14">
        <v>2447.0</v>
      </c>
      <c r="W81" s="21">
        <v>134.0</v>
      </c>
      <c r="X81" s="14">
        <v>123.0</v>
      </c>
      <c r="Y81" s="14">
        <v>2377.0</v>
      </c>
      <c r="AA81" s="21">
        <v>18.0</v>
      </c>
      <c r="AB81" s="14">
        <v>36.0</v>
      </c>
      <c r="AC81" s="14">
        <v>275.0</v>
      </c>
    </row>
    <row r="82">
      <c r="A82" s="27">
        <f>HYPERLINK("https://arcprize.org/play?task=3631a71a", 74)</f>
        <v>74</v>
      </c>
      <c r="B82" s="14">
        <f>IFERROR(__xludf.DUMMYFUNCTION("min(filter(Scores!B85:AX85,Scores!B85:AX85&gt;0))"),77.0)</f>
        <v>77</v>
      </c>
      <c r="C82" s="14">
        <v>2423.0</v>
      </c>
      <c r="D82" s="51" t="str">
        <f t="array" ref="D82">if(B82,if(countif(Scores!B85:AX85,B82)=1,concat("💎",XLOOKUP(B82,Scores!B85:AX85,Scores!B$1:AX$1)),concat("🥇 x",countif(Scores!B85:AX85,B82))),"")</f>
        <v>🥇 x3</v>
      </c>
      <c r="E82" s="14">
        <f>if(countif(Scores!B85:AX85,B82)=1,F82,-1)</f>
        <v>-1</v>
      </c>
      <c r="F82" s="14">
        <f t="shared" si="1"/>
        <v>77</v>
      </c>
      <c r="G82" s="14">
        <f>IFERROR(__xludf.DUMMYFUNCTION("if(iferror(small(filter(Scores!B85:AX85,Scores!B85:AX85&gt;0),2),-1)&lt;&gt;F82,iferror(small(filter(Scores!B85:AX85,Scores!B85:AX85&gt;0),2),-1),-1)"),-1.0)</f>
        <v>-1</v>
      </c>
      <c r="H82" s="14">
        <f>IFERROR(__xludf.DUMMYFUNCTION("if(iferror(small(filter(Scores!B85:AX85,Scores!B85:AX85&gt;0),3),-1)&lt;&gt;iferror(small(filter(Scores!B85:AX85,Scores!B85:AX85&gt;0),2),-1),iferror(small(filter(Scores!B85:AX85,Scores!B85:AX85&gt;0),3),-1),-1)"),-1.0)</f>
        <v>-1</v>
      </c>
      <c r="I82" s="14">
        <f>IFERROR(__xludf.DUMMYFUNCTION("IFERROR(COLUMNS(filter(Scores!B85:AE85,Scores!B85:AE85)),"""")"),38.0)</f>
        <v>38</v>
      </c>
      <c r="J82" s="14">
        <f>COUNTIF(Scores!B85:AX85,B82)</f>
        <v>3</v>
      </c>
      <c r="K82" s="21">
        <f>IFERROR(__xludf.DUMMYFUNCTION("""COMPUTED_VALUE"""),74.0)</f>
        <v>74</v>
      </c>
      <c r="L82" s="36"/>
      <c r="S82" s="21">
        <v>188.0</v>
      </c>
      <c r="T82" s="14">
        <v>53.0</v>
      </c>
      <c r="U82" s="14">
        <v>2447.0</v>
      </c>
      <c r="W82" s="21">
        <v>225.0</v>
      </c>
      <c r="X82" s="14">
        <v>123.0</v>
      </c>
      <c r="Y82" s="14">
        <v>2377.0</v>
      </c>
      <c r="AA82" s="21">
        <v>66.0</v>
      </c>
      <c r="AB82" s="14">
        <v>36.0</v>
      </c>
      <c r="AC82" s="14">
        <v>237.0</v>
      </c>
    </row>
    <row r="83">
      <c r="A83" s="27">
        <f>HYPERLINK("https://arcprize.org/play?task=363442ee", 75)</f>
        <v>75</v>
      </c>
      <c r="B83" s="14">
        <f>IFERROR(__xludf.DUMMYFUNCTION("min(filter(Scores!B86:AX86,Scores!B86:AX86&gt;0))"),86.0)</f>
        <v>86</v>
      </c>
      <c r="C83" s="14">
        <v>2414.0</v>
      </c>
      <c r="D83" s="51" t="str">
        <f t="array" ref="D83">if(B83,if(countif(Scores!B86:AX86,B83)=1,concat("💎",XLOOKUP(B83,Scores!B86:AX86,Scores!B$1:AX$1)),concat("🥇 x",countif(Scores!B86:AX86,B83))),"")</f>
        <v>🥇 x11</v>
      </c>
      <c r="E83" s="14">
        <f>if(countif(Scores!B86:AX86,B83)=1,F83,-1)</f>
        <v>-1</v>
      </c>
      <c r="F83" s="14">
        <f t="shared" si="1"/>
        <v>86</v>
      </c>
      <c r="G83" s="14">
        <f>IFERROR(__xludf.DUMMYFUNCTION("if(iferror(small(filter(Scores!B86:AX86,Scores!B86:AX86&gt;0),2),-1)&lt;&gt;F83,iferror(small(filter(Scores!B86:AX86,Scores!B86:AX86&gt;0),2),-1),-1)"),-1.0)</f>
        <v>-1</v>
      </c>
      <c r="H83" s="14">
        <f>IFERROR(__xludf.DUMMYFUNCTION("if(iferror(small(filter(Scores!B86:AX86,Scores!B86:AX86&gt;0),3),-1)&lt;&gt;iferror(small(filter(Scores!B86:AX86,Scores!B86:AX86&gt;0),2),-1),iferror(small(filter(Scores!B86:AX86,Scores!B86:AX86&gt;0),3),-1),-1)"),-1.0)</f>
        <v>-1</v>
      </c>
      <c r="I83" s="14">
        <f>IFERROR(__xludf.DUMMYFUNCTION("IFERROR(COLUMNS(filter(Scores!B86:AE86,Scores!B86:AE86)),"""")"),40.0)</f>
        <v>40</v>
      </c>
      <c r="J83" s="14">
        <f>COUNTIF(Scores!B86:AX86,B83)</f>
        <v>11</v>
      </c>
      <c r="K83" s="21">
        <f>IFERROR(__xludf.DUMMYFUNCTION("""COMPUTED_VALUE"""),75.0)</f>
        <v>75</v>
      </c>
      <c r="L83" s="36"/>
      <c r="S83" s="21">
        <v>252.0</v>
      </c>
      <c r="T83" s="14">
        <v>53.0</v>
      </c>
      <c r="U83" s="14">
        <v>2447.0</v>
      </c>
      <c r="W83" s="21">
        <v>12.0</v>
      </c>
      <c r="X83" s="14">
        <v>122.0</v>
      </c>
      <c r="Y83" s="14">
        <v>2378.0</v>
      </c>
      <c r="AA83" s="21">
        <v>118.0</v>
      </c>
      <c r="AB83" s="14">
        <v>36.0</v>
      </c>
      <c r="AC83" s="14">
        <v>225.0</v>
      </c>
    </row>
    <row r="84">
      <c r="A84" s="27">
        <f>HYPERLINK("https://arcprize.org/play?task=36d67576", 76)</f>
        <v>76</v>
      </c>
      <c r="B84" s="14">
        <f>IFERROR(__xludf.DUMMYFUNCTION("min(filter(Scores!B87:AX87,Scores!B87:AX87&gt;0))"),258.0)</f>
        <v>258</v>
      </c>
      <c r="C84" s="14">
        <v>2242.0</v>
      </c>
      <c r="D84" s="51" t="str">
        <f t="array" ref="D84">if(B84,if(countif(Scores!B87:AX87,B84)=1,concat("💎",XLOOKUP(B84,Scores!B87:AX87,Scores!B$1:AX$1)),concat("🥇 x",countif(Scores!B87:AX87,B84))),"")</f>
        <v>💎Code Golf International</v>
      </c>
      <c r="E84" s="14">
        <f>if(countif(Scores!B87:AX87,B84)=1,F84,-1)</f>
        <v>258</v>
      </c>
      <c r="F84" s="14">
        <f t="shared" si="1"/>
        <v>258</v>
      </c>
      <c r="G84" s="14">
        <f>IFERROR(__xludf.DUMMYFUNCTION("if(iferror(small(filter(Scores!B87:AX87,Scores!B87:AX87&gt;0),2),-1)&lt;&gt;F84,iferror(small(filter(Scores!B87:AX87,Scores!B87:AX87&gt;0),2),-1),-1)"),264.0)</f>
        <v>264</v>
      </c>
      <c r="H84" s="14">
        <f>IFERROR(__xludf.DUMMYFUNCTION("if(iferror(small(filter(Scores!B87:AX87,Scores!B87:AX87&gt;0),3),-1)&lt;&gt;iferror(small(filter(Scores!B87:AX87,Scores!B87:AX87&gt;0),2),-1),iferror(small(filter(Scores!B87:AX87,Scores!B87:AX87&gt;0),3),-1),-1)"),269.0)</f>
        <v>269</v>
      </c>
      <c r="I84" s="14">
        <f>IFERROR(__xludf.DUMMYFUNCTION("IFERROR(COLUMNS(filter(Scores!B87:AE87,Scores!B87:AE87)),"""")"),34.0)</f>
        <v>34</v>
      </c>
      <c r="J84" s="14">
        <f>COUNTIF(Scores!B87:AX87,B84)</f>
        <v>1</v>
      </c>
      <c r="K84" s="21">
        <f>IFERROR(__xludf.DUMMYFUNCTION("""COMPUTED_VALUE"""),76.0)</f>
        <v>76</v>
      </c>
      <c r="L84" s="36"/>
      <c r="S84" s="21">
        <v>287.0</v>
      </c>
      <c r="T84" s="14">
        <v>53.0</v>
      </c>
      <c r="U84" s="14">
        <v>2447.0</v>
      </c>
      <c r="W84" s="21">
        <v>62.0</v>
      </c>
      <c r="X84" s="14">
        <v>121.0</v>
      </c>
      <c r="Y84" s="14">
        <v>2379.0</v>
      </c>
      <c r="AA84" s="21">
        <v>173.0</v>
      </c>
      <c r="AB84" s="14">
        <v>36.0</v>
      </c>
      <c r="AC84" s="14">
        <v>201.0</v>
      </c>
    </row>
    <row r="85">
      <c r="A85" s="27">
        <f>HYPERLINK("https://arcprize.org/play?task=36fdfd69", 77)</f>
        <v>77</v>
      </c>
      <c r="B85" s="14">
        <f>IFERROR(__xludf.DUMMYFUNCTION("min(filter(Scores!B88:AX88,Scores!B88:AX88&gt;0))"),110.0)</f>
        <v>110</v>
      </c>
      <c r="C85" s="14">
        <v>2390.0</v>
      </c>
      <c r="D85" s="51" t="str">
        <f t="array" ref="D85">if(B85,if(countif(Scores!B88:AX88,B85)=1,concat("💎",XLOOKUP(B85,Scores!B88:AX88,Scores!B$1:AX$1)),concat("🥇 x",countif(Scores!B88:AX88,B85))),"")</f>
        <v>💎ox jam</v>
      </c>
      <c r="E85" s="14">
        <f>if(countif(Scores!B88:AX88,B85)=1,F85,-1)</f>
        <v>110</v>
      </c>
      <c r="F85" s="14">
        <f t="shared" si="1"/>
        <v>110</v>
      </c>
      <c r="G85" s="14">
        <f>IFERROR(__xludf.DUMMYFUNCTION("if(iferror(small(filter(Scores!B88:AX88,Scores!B88:AX88&gt;0),2),-1)&lt;&gt;F85,iferror(small(filter(Scores!B88:AX88,Scores!B88:AX88&gt;0),2),-1),-1)"),124.0)</f>
        <v>124</v>
      </c>
      <c r="H85" s="14">
        <f>IFERROR(__xludf.DUMMYFUNCTION("if(iferror(small(filter(Scores!B88:AX88,Scores!B88:AX88&gt;0),3),-1)&lt;&gt;iferror(small(filter(Scores!B88:AX88,Scores!B88:AX88&gt;0),2),-1),iferror(small(filter(Scores!B88:AX88,Scores!B88:AX88&gt;0),3),-1),-1)"),-1.0)</f>
        <v>-1</v>
      </c>
      <c r="I85" s="14">
        <f>IFERROR(__xludf.DUMMYFUNCTION("IFERROR(COLUMNS(filter(Scores!B88:AE88,Scores!B88:AE88)),"""")"),35.0)</f>
        <v>35</v>
      </c>
      <c r="J85" s="14">
        <f>COUNTIF(Scores!B88:AX88,B85)</f>
        <v>1</v>
      </c>
      <c r="K85" s="21">
        <f>IFERROR(__xludf.DUMMYFUNCTION("""COMPUTED_VALUE"""),77.0)</f>
        <v>77</v>
      </c>
      <c r="L85" s="36"/>
      <c r="S85" s="21">
        <v>375.0</v>
      </c>
      <c r="T85" s="14">
        <v>53.0</v>
      </c>
      <c r="U85" s="14">
        <v>2447.0</v>
      </c>
      <c r="W85" s="21">
        <v>383.0</v>
      </c>
      <c r="X85" s="14">
        <v>120.0</v>
      </c>
      <c r="Y85" s="14">
        <v>2380.0</v>
      </c>
      <c r="AA85" s="21">
        <v>308.0</v>
      </c>
      <c r="AB85" s="14">
        <v>36.0</v>
      </c>
      <c r="AC85" s="14">
        <v>192.0</v>
      </c>
    </row>
    <row r="86">
      <c r="A86" s="27">
        <f>HYPERLINK("https://arcprize.org/play?task=3906de3d", 78)</f>
        <v>78</v>
      </c>
      <c r="B86" s="14">
        <f>IFERROR(__xludf.DUMMYFUNCTION("min(filter(Scores!B89:AX89,Scores!B89:AX89&gt;0))"),59.0)</f>
        <v>59</v>
      </c>
      <c r="C86" s="14">
        <v>2441.0</v>
      </c>
      <c r="D86" s="51" t="str">
        <f t="array" ref="D86">if(B86,if(countif(Scores!B89:AX89,B86)=1,concat("💎",XLOOKUP(B86,Scores!B89:AX89,Scores!B$1:AX$1)),concat("🥇 x",countif(Scores!B89:AX89,B86))),"")</f>
        <v>💎ox jam</v>
      </c>
      <c r="E86" s="14">
        <f>if(countif(Scores!B89:AX89,B86)=1,F86,-1)</f>
        <v>59</v>
      </c>
      <c r="F86" s="14">
        <f t="shared" si="1"/>
        <v>59</v>
      </c>
      <c r="G86" s="14">
        <f>IFERROR(__xludf.DUMMYFUNCTION("if(iferror(small(filter(Scores!B89:AX89,Scores!B89:AX89&gt;0),2),-1)&lt;&gt;F86,iferror(small(filter(Scores!B89:AX89,Scores!B89:AX89&gt;0),2),-1),-1)"),60.0)</f>
        <v>60</v>
      </c>
      <c r="H86" s="14">
        <f>IFERROR(__xludf.DUMMYFUNCTION("if(iferror(small(filter(Scores!B89:AX89,Scores!B89:AX89&gt;0),3),-1)&lt;&gt;iferror(small(filter(Scores!B89:AX89,Scores!B89:AX89&gt;0),2),-1),iferror(small(filter(Scores!B89:AX89,Scores!B89:AX89&gt;0),3),-1),-1)"),-1.0)</f>
        <v>-1</v>
      </c>
      <c r="I86" s="14">
        <f>IFERROR(__xludf.DUMMYFUNCTION("IFERROR(COLUMNS(filter(Scores!B89:AE89,Scores!B89:AE89)),"""")"),45.0)</f>
        <v>45</v>
      </c>
      <c r="J86" s="14">
        <f>COUNTIF(Scores!B89:AX89,B86)</f>
        <v>1</v>
      </c>
      <c r="K86" s="21">
        <f>IFERROR(__xludf.DUMMYFUNCTION("""COMPUTED_VALUE"""),78.0)</f>
        <v>78</v>
      </c>
      <c r="L86" s="36"/>
      <c r="S86" s="21">
        <v>395.0</v>
      </c>
      <c r="T86" s="14">
        <v>53.0</v>
      </c>
      <c r="U86" s="14">
        <v>2447.0</v>
      </c>
      <c r="W86" s="21">
        <v>148.0</v>
      </c>
      <c r="X86" s="14">
        <v>118.0</v>
      </c>
      <c r="Y86" s="14">
        <v>2382.0</v>
      </c>
      <c r="AA86" s="21">
        <v>201.0</v>
      </c>
      <c r="AB86" s="14">
        <v>36.0</v>
      </c>
      <c r="AC86" s="14">
        <v>187.0</v>
      </c>
    </row>
    <row r="87">
      <c r="A87" s="27">
        <f>HYPERLINK("https://arcprize.org/play?task=39a8645d", 79)</f>
        <v>79</v>
      </c>
      <c r="B87" s="14">
        <f>IFERROR(__xludf.DUMMYFUNCTION("min(filter(Scores!B90:AX90,Scores!B90:AX90&gt;0))"),105.0)</f>
        <v>105</v>
      </c>
      <c r="C87" s="14">
        <v>2395.0</v>
      </c>
      <c r="D87" s="51" t="str">
        <f t="array" ref="D87">if(B87,if(countif(Scores!B90:AX90,B87)=1,concat("💎",XLOOKUP(B87,Scores!B90:AX90,Scores!B$1:AX$1)),concat("🥇 x",countif(Scores!B90:AX90,B87))),"")</f>
        <v>💎ox jam</v>
      </c>
      <c r="E87" s="14">
        <f>if(countif(Scores!B90:AX90,B87)=1,F87,-1)</f>
        <v>105</v>
      </c>
      <c r="F87" s="14">
        <f t="shared" si="1"/>
        <v>105</v>
      </c>
      <c r="G87" s="14">
        <f>IFERROR(__xludf.DUMMYFUNCTION("if(iferror(small(filter(Scores!B90:AX90,Scores!B90:AX90&gt;0),2),-1)&lt;&gt;F87,iferror(small(filter(Scores!B90:AX90,Scores!B90:AX90&gt;0),2),-1),-1)"),107.0)</f>
        <v>107</v>
      </c>
      <c r="H87" s="14">
        <f>IFERROR(__xludf.DUMMYFUNCTION("if(iferror(small(filter(Scores!B90:AX90,Scores!B90:AX90&gt;0),3),-1)&lt;&gt;iferror(small(filter(Scores!B90:AX90,Scores!B90:AX90&gt;0),2),-1),iferror(small(filter(Scores!B90:AX90,Scores!B90:AX90&gt;0),3),-1),-1)"),121.0)</f>
        <v>121</v>
      </c>
      <c r="I87" s="14">
        <f>IFERROR(__xludf.DUMMYFUNCTION("IFERROR(COLUMNS(filter(Scores!B90:AE90,Scores!B90:AE90)),"""")"),37.0)</f>
        <v>37</v>
      </c>
      <c r="J87" s="14">
        <f>COUNTIF(Scores!B90:AX90,B87)</f>
        <v>1</v>
      </c>
      <c r="K87" s="21">
        <f>IFERROR(__xludf.DUMMYFUNCTION("""COMPUTED_VALUE"""),79.0)</f>
        <v>79</v>
      </c>
      <c r="L87" s="36"/>
      <c r="S87" s="21">
        <v>72.0</v>
      </c>
      <c r="T87" s="14">
        <v>54.0</v>
      </c>
      <c r="U87" s="14">
        <v>2446.0</v>
      </c>
      <c r="W87" s="21">
        <v>153.0</v>
      </c>
      <c r="X87" s="14">
        <v>118.0</v>
      </c>
      <c r="Y87" s="14">
        <v>2382.0</v>
      </c>
      <c r="AA87" s="21">
        <v>23.0</v>
      </c>
      <c r="AB87" s="14">
        <v>36.0</v>
      </c>
      <c r="AC87" s="14">
        <v>182.0</v>
      </c>
    </row>
    <row r="88">
      <c r="A88" s="27">
        <f>HYPERLINK("https://arcprize.org/play?task=39e1d7f9", 80)</f>
        <v>80</v>
      </c>
      <c r="B88" s="14">
        <f>IFERROR(__xludf.DUMMYFUNCTION("min(filter(Scores!B91:AX91,Scores!B91:AX91&gt;0))"),231.0)</f>
        <v>231</v>
      </c>
      <c r="C88" s="14">
        <v>2269.0</v>
      </c>
      <c r="D88" s="51" t="str">
        <f t="array" ref="D88">if(B88,if(countif(Scores!B91:AX91,B88)=1,concat("💎",XLOOKUP(B88,Scores!B91:AX91,Scores!B$1:AX$1)),concat("🥇 x",countif(Scores!B91:AX91,B88))),"")</f>
        <v>💎ox jam</v>
      </c>
      <c r="E88" s="14">
        <f>if(countif(Scores!B91:AX91,B88)=1,F88,-1)</f>
        <v>231</v>
      </c>
      <c r="F88" s="14">
        <f t="shared" si="1"/>
        <v>231</v>
      </c>
      <c r="G88" s="14">
        <f>IFERROR(__xludf.DUMMYFUNCTION("if(iferror(small(filter(Scores!B91:AX91,Scores!B91:AX91&gt;0),2),-1)&lt;&gt;F88,iferror(small(filter(Scores!B91:AX91,Scores!B91:AX91&gt;0),2),-1),-1)"),232.0)</f>
        <v>232</v>
      </c>
      <c r="H88" s="14">
        <f>IFERROR(__xludf.DUMMYFUNCTION("if(iferror(small(filter(Scores!B91:AX91,Scores!B91:AX91&gt;0),3),-1)&lt;&gt;iferror(small(filter(Scores!B91:AX91,Scores!B91:AX91&gt;0),2),-1),iferror(small(filter(Scores!B91:AX91,Scores!B91:AX91&gt;0),3),-1),-1)"),239.0)</f>
        <v>239</v>
      </c>
      <c r="I88" s="14">
        <f>IFERROR(__xludf.DUMMYFUNCTION("IFERROR(COLUMNS(filter(Scores!B91:AE91,Scores!B91:AE91)),"""")"),34.0)</f>
        <v>34</v>
      </c>
      <c r="J88" s="14">
        <f>COUNTIF(Scores!B91:AX91,B88)</f>
        <v>1</v>
      </c>
      <c r="K88" s="21">
        <f>IFERROR(__xludf.DUMMYFUNCTION("""COMPUTED_VALUE"""),80.0)</f>
        <v>80</v>
      </c>
      <c r="L88" s="36"/>
      <c r="S88" s="21">
        <v>126.0</v>
      </c>
      <c r="T88" s="14">
        <v>54.0</v>
      </c>
      <c r="U88" s="14">
        <v>2446.0</v>
      </c>
      <c r="W88" s="21">
        <v>156.0</v>
      </c>
      <c r="X88" s="14">
        <v>118.0</v>
      </c>
      <c r="Y88" s="14">
        <v>2382.0</v>
      </c>
      <c r="AA88" s="21">
        <v>280.0</v>
      </c>
      <c r="AB88" s="14">
        <v>36.0</v>
      </c>
      <c r="AC88" s="14">
        <v>145.0</v>
      </c>
    </row>
    <row r="89">
      <c r="A89" s="27">
        <f>HYPERLINK("https://arcprize.org/play?task=3aa6fb7a", 81)</f>
        <v>81</v>
      </c>
      <c r="B89" s="14">
        <f>IFERROR(__xludf.DUMMYFUNCTION("min(filter(Scores!B92:AX92,Scores!B92:AX92&gt;0))"),81.0)</f>
        <v>81</v>
      </c>
      <c r="C89" s="14">
        <v>2419.0</v>
      </c>
      <c r="D89" s="51" t="str">
        <f t="array" ref="D89">if(B89,if(countif(Scores!B92:AX92,B89)=1,concat("💎",XLOOKUP(B89,Scores!B92:AX92,Scores!B$1:AX$1)),concat("🥇 x",countif(Scores!B92:AX92,B89))),"")</f>
        <v>💎jailctf merger</v>
      </c>
      <c r="E89" s="14">
        <f>if(countif(Scores!B92:AX92,B89)=1,F89,-1)</f>
        <v>81</v>
      </c>
      <c r="F89" s="14">
        <f t="shared" si="1"/>
        <v>81</v>
      </c>
      <c r="G89" s="14">
        <f>IFERROR(__xludf.DUMMYFUNCTION("if(iferror(small(filter(Scores!B92:AX92,Scores!B92:AX92&gt;0),2),-1)&lt;&gt;F89,iferror(small(filter(Scores!B92:AX92,Scores!B92:AX92&gt;0),2),-1),-1)"),83.0)</f>
        <v>83</v>
      </c>
      <c r="H89" s="14">
        <f>IFERROR(__xludf.DUMMYFUNCTION("if(iferror(small(filter(Scores!B92:AX92,Scores!B92:AX92&gt;0),3),-1)&lt;&gt;iferror(small(filter(Scores!B92:AX92,Scores!B92:AX92&gt;0),2),-1),iferror(small(filter(Scores!B92:AX92,Scores!B92:AX92&gt;0),3),-1),-1)"),90.0)</f>
        <v>90</v>
      </c>
      <c r="I89" s="14">
        <f>IFERROR(__xludf.DUMMYFUNCTION("IFERROR(COLUMNS(filter(Scores!B92:AE92,Scores!B92:AE92)),"""")"),42.0)</f>
        <v>42</v>
      </c>
      <c r="J89" s="14">
        <f>COUNTIF(Scores!B92:AX92,B89)</f>
        <v>1</v>
      </c>
      <c r="K89" s="21">
        <f>IFERROR(__xludf.DUMMYFUNCTION("""COMPUTED_VALUE"""),81.0)</f>
        <v>81</v>
      </c>
      <c r="L89" s="36"/>
      <c r="S89" s="21">
        <v>236.0</v>
      </c>
      <c r="T89" s="14">
        <v>54.0</v>
      </c>
      <c r="U89" s="14">
        <v>2446.0</v>
      </c>
      <c r="W89" s="21">
        <v>131.0</v>
      </c>
      <c r="X89" s="14">
        <v>117.0</v>
      </c>
      <c r="Y89" s="14">
        <v>2383.0</v>
      </c>
      <c r="AA89" s="21">
        <v>379.0</v>
      </c>
      <c r="AB89" s="14">
        <v>36.0</v>
      </c>
      <c r="AC89" s="14">
        <v>135.0</v>
      </c>
    </row>
    <row r="90">
      <c r="A90" s="27">
        <f>HYPERLINK("https://arcprize.org/play?task=3ac3eb23", 82)</f>
        <v>82</v>
      </c>
      <c r="B90" s="14">
        <f>IFERROR(__xludf.DUMMYFUNCTION("min(filter(Scores!B93:AX93,Scores!B93:AX93&gt;0))"),50.0)</f>
        <v>50</v>
      </c>
      <c r="C90" s="14">
        <v>2450.0</v>
      </c>
      <c r="D90" s="51" t="str">
        <f t="array" ref="D90">if(B90,if(countif(Scores!B93:AX93,B90)=1,concat("💎",XLOOKUP(B90,Scores!B93:AX93,Scores!B$1:AX$1)),concat("🥇 x",countif(Scores!B93:AX93,B90))),"")</f>
        <v>🥇 x20</v>
      </c>
      <c r="E90" s="14">
        <f>if(countif(Scores!B93:AX93,B90)=1,F90,-1)</f>
        <v>-1</v>
      </c>
      <c r="F90" s="14">
        <f t="shared" si="1"/>
        <v>50</v>
      </c>
      <c r="G90" s="14">
        <f>IFERROR(__xludf.DUMMYFUNCTION("if(iferror(small(filter(Scores!B93:AX93,Scores!B93:AX93&gt;0),2),-1)&lt;&gt;F90,iferror(small(filter(Scores!B93:AX93,Scores!B93:AX93&gt;0),2),-1),-1)"),-1.0)</f>
        <v>-1</v>
      </c>
      <c r="H90" s="14">
        <f>IFERROR(__xludf.DUMMYFUNCTION("if(iferror(small(filter(Scores!B93:AX93,Scores!B93:AX93&gt;0),3),-1)&lt;&gt;iferror(small(filter(Scores!B93:AX93,Scores!B93:AX93&gt;0),2),-1),iferror(small(filter(Scores!B93:AX93,Scores!B93:AX93&gt;0),3),-1),-1)"),-1.0)</f>
        <v>-1</v>
      </c>
      <c r="I90" s="14">
        <f>IFERROR(__xludf.DUMMYFUNCTION("IFERROR(COLUMNS(filter(Scores!B93:AE93,Scores!B93:AE93)),"""")"),46.0)</f>
        <v>46</v>
      </c>
      <c r="J90" s="14">
        <f>COUNTIF(Scores!B93:AX93,B90)</f>
        <v>20</v>
      </c>
      <c r="K90" s="21">
        <f>IFERROR(__xludf.DUMMYFUNCTION("""COMPUTED_VALUE"""),82.0)</f>
        <v>82</v>
      </c>
      <c r="L90" s="36"/>
      <c r="S90" s="21">
        <v>242.0</v>
      </c>
      <c r="T90" s="14">
        <v>54.0</v>
      </c>
      <c r="U90" s="14">
        <v>2446.0</v>
      </c>
      <c r="W90" s="21">
        <v>226.0</v>
      </c>
      <c r="X90" s="14">
        <v>117.0</v>
      </c>
      <c r="Y90" s="14">
        <v>2383.0</v>
      </c>
      <c r="AA90" s="21">
        <v>42.0</v>
      </c>
      <c r="AB90" s="14">
        <v>36.0</v>
      </c>
      <c r="AC90" s="14">
        <v>132.0</v>
      </c>
    </row>
    <row r="91">
      <c r="A91" s="27">
        <f>HYPERLINK("https://arcprize.org/play?task=3af2c5a8", 83)</f>
        <v>83</v>
      </c>
      <c r="B91" s="14">
        <f>IFERROR(__xludf.DUMMYFUNCTION("min(filter(Scores!B94:AX94,Scores!B94:AX94&gt;0))"),40.0)</f>
        <v>40</v>
      </c>
      <c r="C91" s="14">
        <v>2460.0</v>
      </c>
      <c r="D91" s="51" t="str">
        <f t="array" ref="D91">if(B91,if(countif(Scores!B94:AX94,B91)=1,concat("💎",XLOOKUP(B91,Scores!B94:AX94,Scores!B$1:AX$1)),concat("🥇 x",countif(Scores!B94:AX94,B91))),"")</f>
        <v>🥇 x40</v>
      </c>
      <c r="E91" s="14">
        <f>if(countif(Scores!B94:AX94,B91)=1,F91,-1)</f>
        <v>-1</v>
      </c>
      <c r="F91" s="14">
        <f t="shared" si="1"/>
        <v>40</v>
      </c>
      <c r="G91" s="14">
        <f>IFERROR(__xludf.DUMMYFUNCTION("if(iferror(small(filter(Scores!B94:AX94,Scores!B94:AX94&gt;0),2),-1)&lt;&gt;F91,iferror(small(filter(Scores!B94:AX94,Scores!B94:AX94&gt;0),2),-1),-1)"),-1.0)</f>
        <v>-1</v>
      </c>
      <c r="H91" s="14">
        <f>IFERROR(__xludf.DUMMYFUNCTION("if(iferror(small(filter(Scores!B94:AX94,Scores!B94:AX94&gt;0),3),-1)&lt;&gt;iferror(small(filter(Scores!B94:AX94,Scores!B94:AX94&gt;0),2),-1),iferror(small(filter(Scores!B94:AX94,Scores!B94:AX94&gt;0),3),-1),-1)"),-1.0)</f>
        <v>-1</v>
      </c>
      <c r="I91" s="14">
        <f>IFERROR(__xludf.DUMMYFUNCTION("IFERROR(COLUMNS(filter(Scores!B94:AE94,Scores!B94:AE94)),"""")"),47.0)</f>
        <v>47</v>
      </c>
      <c r="J91" s="14">
        <f>COUNTIF(Scores!B94:AX94,B91)</f>
        <v>40</v>
      </c>
      <c r="K91" s="21">
        <f>IFERROR(__xludf.DUMMYFUNCTION("""COMPUTED_VALUE"""),83.0)</f>
        <v>83</v>
      </c>
      <c r="L91" s="36"/>
      <c r="S91" s="21">
        <v>295.0</v>
      </c>
      <c r="T91" s="14">
        <v>54.0</v>
      </c>
      <c r="U91" s="14">
        <v>2446.0</v>
      </c>
      <c r="W91" s="21">
        <v>34.0</v>
      </c>
      <c r="X91" s="14">
        <v>116.0</v>
      </c>
      <c r="Y91" s="14">
        <v>2384.0</v>
      </c>
      <c r="AA91" s="21">
        <v>102.0</v>
      </c>
      <c r="AB91" s="14">
        <v>36.0</v>
      </c>
      <c r="AC91" s="14">
        <v>124.0</v>
      </c>
    </row>
    <row r="92">
      <c r="A92" s="27">
        <f>HYPERLINK("https://arcprize.org/play?task=3bd67248", 84)</f>
        <v>84</v>
      </c>
      <c r="B92" s="14">
        <f>IFERROR(__xludf.DUMMYFUNCTION("min(filter(Scores!B95:AX95,Scores!B95:AX95&gt;0))"),62.0)</f>
        <v>62</v>
      </c>
      <c r="C92" s="14">
        <v>2438.0</v>
      </c>
      <c r="D92" s="51" t="str">
        <f t="array" ref="D92">if(B92,if(countif(Scores!B95:AX95,B92)=1,concat("💎",XLOOKUP(B92,Scores!B95:AX95,Scores!B$1:AX$1)),concat("🥇 x",countif(Scores!B95:AX95,B92))),"")</f>
        <v>🥇 x9</v>
      </c>
      <c r="E92" s="14">
        <f>if(countif(Scores!B95:AX95,B92)=1,F92,-1)</f>
        <v>-1</v>
      </c>
      <c r="F92" s="14">
        <f t="shared" si="1"/>
        <v>62</v>
      </c>
      <c r="G92" s="14">
        <f>IFERROR(__xludf.DUMMYFUNCTION("if(iferror(small(filter(Scores!B95:AX95,Scores!B95:AX95&gt;0),2),-1)&lt;&gt;F92,iferror(small(filter(Scores!B95:AX95,Scores!B95:AX95&gt;0),2),-1),-1)"),-1.0)</f>
        <v>-1</v>
      </c>
      <c r="H92" s="14">
        <f>IFERROR(__xludf.DUMMYFUNCTION("if(iferror(small(filter(Scores!B95:AX95,Scores!B95:AX95&gt;0),3),-1)&lt;&gt;iferror(small(filter(Scores!B95:AX95,Scores!B95:AX95&gt;0),2),-1),iferror(small(filter(Scores!B95:AX95,Scores!B95:AX95&gt;0),3),-1),-1)"),-1.0)</f>
        <v>-1</v>
      </c>
      <c r="I92" s="14">
        <f>IFERROR(__xludf.DUMMYFUNCTION("IFERROR(COLUMNS(filter(Scores!B95:AE95,Scores!B95:AE95)),"""")"),44.0)</f>
        <v>44</v>
      </c>
      <c r="J92" s="14">
        <f>COUNTIF(Scores!B95:AX95,B92)</f>
        <v>9</v>
      </c>
      <c r="K92" s="21">
        <f>IFERROR(__xludf.DUMMYFUNCTION("""COMPUTED_VALUE"""),84.0)</f>
        <v>84</v>
      </c>
      <c r="L92" s="36"/>
      <c r="S92" s="21">
        <v>298.0</v>
      </c>
      <c r="T92" s="14">
        <v>54.0</v>
      </c>
      <c r="U92" s="14">
        <v>2446.0</v>
      </c>
      <c r="W92" s="21">
        <v>228.0</v>
      </c>
      <c r="X92" s="14">
        <v>116.0</v>
      </c>
      <c r="Y92" s="14">
        <v>2384.0</v>
      </c>
      <c r="AA92" s="21">
        <v>62.0</v>
      </c>
      <c r="AB92" s="14">
        <v>36.0</v>
      </c>
      <c r="AC92" s="14">
        <v>121.0</v>
      </c>
    </row>
    <row r="93">
      <c r="A93" s="27">
        <f>HYPERLINK("https://arcprize.org/play?task=3bdb4ada", 85)</f>
        <v>85</v>
      </c>
      <c r="B93" s="14">
        <f>IFERROR(__xludf.DUMMYFUNCTION("min(filter(Scores!B96:AX96,Scores!B96:AX96&gt;0))"),49.0)</f>
        <v>49</v>
      </c>
      <c r="C93" s="14">
        <v>2451.0</v>
      </c>
      <c r="D93" s="51" t="str">
        <f t="array" ref="D93">if(B93,if(countif(Scores!B96:AX96,B93)=1,concat("💎",XLOOKUP(B93,Scores!B96:AX96,Scores!B$1:AX$1)),concat("🥇 x",countif(Scores!B96:AX96,B93))),"")</f>
        <v>🥇 x4</v>
      </c>
      <c r="E93" s="14">
        <f>if(countif(Scores!B96:AX96,B93)=1,F93,-1)</f>
        <v>-1</v>
      </c>
      <c r="F93" s="14">
        <f t="shared" si="1"/>
        <v>49</v>
      </c>
      <c r="G93" s="14">
        <f>IFERROR(__xludf.DUMMYFUNCTION("if(iferror(small(filter(Scores!B96:AX96,Scores!B96:AX96&gt;0),2),-1)&lt;&gt;F93,iferror(small(filter(Scores!B96:AX96,Scores!B96:AX96&gt;0),2),-1),-1)"),-1.0)</f>
        <v>-1</v>
      </c>
      <c r="H93" s="14">
        <f>IFERROR(__xludf.DUMMYFUNCTION("if(iferror(small(filter(Scores!B96:AX96,Scores!B96:AX96&gt;0),3),-1)&lt;&gt;iferror(small(filter(Scores!B96:AX96,Scores!B96:AX96&gt;0),2),-1),iferror(small(filter(Scores!B96:AX96,Scores!B96:AX96&gt;0),3),-1),-1)"),-1.0)</f>
        <v>-1</v>
      </c>
      <c r="I93" s="14">
        <f>IFERROR(__xludf.DUMMYFUNCTION("IFERROR(COLUMNS(filter(Scores!B96:AE96,Scores!B96:AE96)),"""")"),43.0)</f>
        <v>43</v>
      </c>
      <c r="J93" s="14">
        <f>COUNTIF(Scores!B96:AX96,B93)</f>
        <v>4</v>
      </c>
      <c r="K93" s="21">
        <f>IFERROR(__xludf.DUMMYFUNCTION("""COMPUTED_VALUE"""),85.0)</f>
        <v>85</v>
      </c>
      <c r="L93" s="36"/>
      <c r="S93" s="21">
        <v>299.0</v>
      </c>
      <c r="T93" s="14">
        <v>54.0</v>
      </c>
      <c r="U93" s="14">
        <v>2446.0</v>
      </c>
      <c r="W93" s="21">
        <v>117.0</v>
      </c>
      <c r="X93" s="14">
        <v>115.0</v>
      </c>
      <c r="Y93" s="14">
        <v>2385.0</v>
      </c>
      <c r="AA93" s="21">
        <v>165.0</v>
      </c>
      <c r="AB93" s="14">
        <v>36.0</v>
      </c>
      <c r="AC93" s="14">
        <v>112.0</v>
      </c>
    </row>
    <row r="94">
      <c r="A94" s="27">
        <f>HYPERLINK("https://arcprize.org/play?task=3befdf3e", 86)</f>
        <v>86</v>
      </c>
      <c r="B94" s="14">
        <f>IFERROR(__xludf.DUMMYFUNCTION("min(filter(Scores!B97:AX97,Scores!B97:AX97&gt;0))"),151.0)</f>
        <v>151</v>
      </c>
      <c r="C94" s="14">
        <v>2349.0</v>
      </c>
      <c r="D94" s="51" t="str">
        <f t="array" ref="D94">if(B94,if(countif(Scores!B97:AX97,B94)=1,concat("💎",XLOOKUP(B94,Scores!B97:AX97,Scores!B$1:AX$1)),concat("🥇 x",countif(Scores!B97:AX97,B94))),"")</f>
        <v>💎ox jam</v>
      </c>
      <c r="E94" s="14">
        <f>if(countif(Scores!B97:AX97,B94)=1,F94,-1)</f>
        <v>151</v>
      </c>
      <c r="F94" s="14">
        <f t="shared" si="1"/>
        <v>151</v>
      </c>
      <c r="G94" s="14">
        <f>IFERROR(__xludf.DUMMYFUNCTION("if(iferror(small(filter(Scores!B97:AX97,Scores!B97:AX97&gt;0),2),-1)&lt;&gt;F94,iferror(small(filter(Scores!B97:AX97,Scores!B97:AX97&gt;0),2),-1),-1)"),154.0)</f>
        <v>154</v>
      </c>
      <c r="H94" s="14">
        <f>IFERROR(__xludf.DUMMYFUNCTION("if(iferror(small(filter(Scores!B97:AX97,Scores!B97:AX97&gt;0),3),-1)&lt;&gt;iferror(small(filter(Scores!B97:AX97,Scores!B97:AX97&gt;0),2),-1),iferror(small(filter(Scores!B97:AX97,Scores!B97:AX97&gt;0),3),-1),-1)"),166.0)</f>
        <v>166</v>
      </c>
      <c r="I94" s="14">
        <f>IFERROR(__xludf.DUMMYFUNCTION("IFERROR(COLUMNS(filter(Scores!B97:AE97,Scores!B97:AE97)),"""")"),33.0)</f>
        <v>33</v>
      </c>
      <c r="J94" s="14">
        <f>COUNTIF(Scores!B97:AX97,B94)</f>
        <v>1</v>
      </c>
      <c r="K94" s="21">
        <f>IFERROR(__xludf.DUMMYFUNCTION("""COMPUTED_VALUE"""),86.0)</f>
        <v>86</v>
      </c>
      <c r="L94" s="36"/>
      <c r="S94" s="21">
        <v>318.0</v>
      </c>
      <c r="T94" s="14">
        <v>54.0</v>
      </c>
      <c r="U94" s="14">
        <v>2446.0</v>
      </c>
      <c r="W94" s="21">
        <v>270.0</v>
      </c>
      <c r="X94" s="14">
        <v>115.0</v>
      </c>
      <c r="Y94" s="14">
        <v>2385.0</v>
      </c>
      <c r="AA94" s="21">
        <v>340.0</v>
      </c>
      <c r="AB94" s="14">
        <v>36.0</v>
      </c>
      <c r="AC94" s="14">
        <v>111.0</v>
      </c>
    </row>
    <row r="95">
      <c r="A95" s="27">
        <f>HYPERLINK("https://arcprize.org/play?task=3c9b0459", 87)</f>
        <v>87</v>
      </c>
      <c r="B95" s="14">
        <f>IFERROR(__xludf.DUMMYFUNCTION("min(filter(Scores!B98:AX98,Scores!B98:AX98&gt;0))"),36.0)</f>
        <v>36</v>
      </c>
      <c r="C95" s="14">
        <v>2464.0</v>
      </c>
      <c r="D95" s="51" t="str">
        <f t="array" ref="D95">if(B95,if(countif(Scores!B98:AX98,B95)=1,concat("💎",XLOOKUP(B95,Scores!B98:AX98,Scores!B$1:AX$1)),concat("🥇 x",countif(Scores!B98:AX98,B95))),"")</f>
        <v>🥇 x44</v>
      </c>
      <c r="E95" s="14">
        <f>if(countif(Scores!B98:AX98,B95)=1,F95,-1)</f>
        <v>-1</v>
      </c>
      <c r="F95" s="14">
        <f t="shared" si="1"/>
        <v>36</v>
      </c>
      <c r="G95" s="14">
        <f>IFERROR(__xludf.DUMMYFUNCTION("if(iferror(small(filter(Scores!B98:AX98,Scores!B98:AX98&gt;0),2),-1)&lt;&gt;F95,iferror(small(filter(Scores!B98:AX98,Scores!B98:AX98&gt;0),2),-1),-1)"),-1.0)</f>
        <v>-1</v>
      </c>
      <c r="H95" s="14">
        <f>IFERROR(__xludf.DUMMYFUNCTION("if(iferror(small(filter(Scores!B98:AX98,Scores!B98:AX98&gt;0),3),-1)&lt;&gt;iferror(small(filter(Scores!B98:AX98,Scores!B98:AX98&gt;0),2),-1),iferror(small(filter(Scores!B98:AX98,Scores!B98:AX98&gt;0),3),-1),-1)"),-1.0)</f>
        <v>-1</v>
      </c>
      <c r="I95" s="14">
        <f>IFERROR(__xludf.DUMMYFUNCTION("IFERROR(COLUMNS(filter(Scores!B98:AE98,Scores!B98:AE98)),"""")"),46.0)</f>
        <v>46</v>
      </c>
      <c r="J95" s="14">
        <f>COUNTIF(Scores!B98:AX98,B95)</f>
        <v>44</v>
      </c>
      <c r="K95" s="21">
        <f>IFERROR(__xludf.DUMMYFUNCTION("""COMPUTED_VALUE"""),87.0)</f>
        <v>87</v>
      </c>
      <c r="L95" s="36"/>
      <c r="S95" s="21">
        <v>321.0</v>
      </c>
      <c r="T95" s="14">
        <v>54.0</v>
      </c>
      <c r="U95" s="14">
        <v>2446.0</v>
      </c>
      <c r="W95" s="21">
        <v>11.0</v>
      </c>
      <c r="X95" s="14">
        <v>114.0</v>
      </c>
      <c r="Y95" s="14">
        <v>2386.0</v>
      </c>
      <c r="AA95" s="21">
        <v>330.0</v>
      </c>
      <c r="AB95" s="14">
        <v>36.0</v>
      </c>
      <c r="AC95" s="14">
        <v>110.0</v>
      </c>
    </row>
    <row r="96">
      <c r="A96" s="27">
        <f>HYPERLINK("https://arcprize.org/play?task=3de23699", 88)</f>
        <v>88</v>
      </c>
      <c r="B96" s="14">
        <f>IFERROR(__xludf.DUMMYFUNCTION("min(filter(Scores!B99:AX99,Scores!B99:AX99&gt;0))"),95.0)</f>
        <v>95</v>
      </c>
      <c r="C96" s="14">
        <v>2405.0</v>
      </c>
      <c r="D96" s="51" t="str">
        <f t="array" ref="D96">if(B96,if(countif(Scores!B99:AX99,B96)=1,concat("💎",XLOOKUP(B96,Scores!B99:AX99,Scores!B$1:AX$1)),concat("🥇 x",countif(Scores!B99:AX99,B96))),"")</f>
        <v>💎jailctf merger</v>
      </c>
      <c r="E96" s="14">
        <f>if(countif(Scores!B99:AX99,B96)=1,F96,-1)</f>
        <v>95</v>
      </c>
      <c r="F96" s="14">
        <f t="shared" si="1"/>
        <v>95</v>
      </c>
      <c r="G96" s="14">
        <f>IFERROR(__xludf.DUMMYFUNCTION("if(iferror(small(filter(Scores!B99:AX99,Scores!B99:AX99&gt;0),2),-1)&lt;&gt;F96,iferror(small(filter(Scores!B99:AX99,Scores!B99:AX99&gt;0),2),-1),-1)"),98.0)</f>
        <v>98</v>
      </c>
      <c r="H96" s="14">
        <f>IFERROR(__xludf.DUMMYFUNCTION("if(iferror(small(filter(Scores!B99:AX99,Scores!B99:AX99&gt;0),3),-1)&lt;&gt;iferror(small(filter(Scores!B99:AX99,Scores!B99:AX99&gt;0),2),-1),iferror(small(filter(Scores!B99:AX99,Scores!B99:AX99&gt;0),3),-1),-1)"),100.0)</f>
        <v>100</v>
      </c>
      <c r="I96" s="14">
        <f>IFERROR(__xludf.DUMMYFUNCTION("IFERROR(COLUMNS(filter(Scores!B99:AE99,Scores!B99:AE99)),"""")"),40.0)</f>
        <v>40</v>
      </c>
      <c r="J96" s="14">
        <f>COUNTIF(Scores!B99:AX99,B96)</f>
        <v>1</v>
      </c>
      <c r="K96" s="21">
        <f>IFERROR(__xludf.DUMMYFUNCTION("""COMPUTED_VALUE"""),88.0)</f>
        <v>88</v>
      </c>
      <c r="L96" s="36"/>
      <c r="S96" s="21">
        <v>329.0</v>
      </c>
      <c r="T96" s="14">
        <v>54.0</v>
      </c>
      <c r="U96" s="14">
        <v>2446.0</v>
      </c>
      <c r="W96" s="21">
        <v>224.0</v>
      </c>
      <c r="X96" s="14">
        <v>114.0</v>
      </c>
      <c r="Y96" s="14">
        <v>2386.0</v>
      </c>
      <c r="AA96" s="21">
        <v>169.0</v>
      </c>
      <c r="AB96" s="14">
        <v>36.0</v>
      </c>
      <c r="AC96" s="14">
        <v>108.0</v>
      </c>
    </row>
    <row r="97">
      <c r="A97" s="27">
        <f>HYPERLINK("https://arcprize.org/play?task=3e980e27", 89)</f>
        <v>89</v>
      </c>
      <c r="B97" s="14">
        <f>IFERROR(__xludf.DUMMYFUNCTION("min(filter(Scores!B100:AX100,Scores!B100:AX100&gt;0))"),232.0)</f>
        <v>232</v>
      </c>
      <c r="C97" s="14">
        <v>2268.0</v>
      </c>
      <c r="D97" s="51" t="str">
        <f t="array" ref="D97">if(B97,if(countif(Scores!B100:AX100,B97)=1,concat("💎",XLOOKUP(B97,Scores!B100:AX100,Scores!B$1:AX$1)),concat("🥇 x",countif(Scores!B100:AX100,B97))),"")</f>
        <v>💎ox jam</v>
      </c>
      <c r="E97" s="14">
        <f>if(countif(Scores!B100:AX100,B97)=1,F97,-1)</f>
        <v>232</v>
      </c>
      <c r="F97" s="14">
        <f t="shared" si="1"/>
        <v>232</v>
      </c>
      <c r="G97" s="14">
        <f>IFERROR(__xludf.DUMMYFUNCTION("if(iferror(small(filter(Scores!B100:AX100,Scores!B100:AX100&gt;0),2),-1)&lt;&gt;F97,iferror(small(filter(Scores!B100:AX100,Scores!B100:AX100&gt;0),2),-1),-1)"),233.0)</f>
        <v>233</v>
      </c>
      <c r="H97" s="14">
        <f>IFERROR(__xludf.DUMMYFUNCTION("if(iferror(small(filter(Scores!B100:AX100,Scores!B100:AX100&gt;0),3),-1)&lt;&gt;iferror(small(filter(Scores!B100:AX100,Scores!B100:AX100&gt;0),2),-1),iferror(small(filter(Scores!B100:AX100,Scores!B100:AX100&gt;0),3),-1),-1)"),-1.0)</f>
        <v>-1</v>
      </c>
      <c r="I97" s="14">
        <f>IFERROR(__xludf.DUMMYFUNCTION("IFERROR(COLUMNS(filter(Scores!B100:AE100,Scores!B100:AE100)),"""")"),34.0)</f>
        <v>34</v>
      </c>
      <c r="J97" s="14">
        <f>COUNTIF(Scores!B100:AX100,B97)</f>
        <v>1</v>
      </c>
      <c r="K97" s="21">
        <f>IFERROR(__xludf.DUMMYFUNCTION("""COMPUTED_VALUE"""),89.0)</f>
        <v>89</v>
      </c>
      <c r="L97" s="36"/>
      <c r="S97" s="21">
        <v>47.0</v>
      </c>
      <c r="T97" s="14">
        <v>55.0</v>
      </c>
      <c r="U97" s="14">
        <v>2445.0</v>
      </c>
      <c r="W97" s="21">
        <v>253.0</v>
      </c>
      <c r="X97" s="14">
        <v>114.0</v>
      </c>
      <c r="Y97" s="14">
        <v>2386.0</v>
      </c>
      <c r="AA97" s="21">
        <v>341.0</v>
      </c>
      <c r="AB97" s="14">
        <v>36.0</v>
      </c>
      <c r="AC97" s="14">
        <v>108.0</v>
      </c>
    </row>
    <row r="98">
      <c r="A98" s="27">
        <f>HYPERLINK("https://arcprize.org/play?task=3eda0437", 90)</f>
        <v>90</v>
      </c>
      <c r="B98" s="14">
        <f>IFERROR(__xludf.DUMMYFUNCTION("min(filter(Scores!B101:AX101,Scores!B101:AX101&gt;0))"),147.0)</f>
        <v>147</v>
      </c>
      <c r="C98" s="14">
        <v>2353.0</v>
      </c>
      <c r="D98" s="51" t="str">
        <f t="array" ref="D98">if(B98,if(countif(Scores!B101:AX101,B98)=1,concat("💎",XLOOKUP(B98,Scores!B101:AX101,Scores!B$1:AX$1)),concat("🥇 x",countif(Scores!B101:AX101,B98))),"")</f>
        <v>💎Code Golf International</v>
      </c>
      <c r="E98" s="14">
        <f>if(countif(Scores!B101:AX101,B98)=1,F98,-1)</f>
        <v>147</v>
      </c>
      <c r="F98" s="14">
        <f t="shared" si="1"/>
        <v>147</v>
      </c>
      <c r="G98" s="14">
        <f>IFERROR(__xludf.DUMMYFUNCTION("if(iferror(small(filter(Scores!B101:AX101,Scores!B101:AX101&gt;0),2),-1)&lt;&gt;F98,iferror(small(filter(Scores!B101:AX101,Scores!B101:AX101&gt;0),2),-1),-1)"),153.0)</f>
        <v>153</v>
      </c>
      <c r="H98" s="14">
        <f>IFERROR(__xludf.DUMMYFUNCTION("if(iferror(small(filter(Scores!B101:AX101,Scores!B101:AX101&gt;0),3),-1)&lt;&gt;iferror(small(filter(Scores!B101:AX101,Scores!B101:AX101&gt;0),2),-1),iferror(small(filter(Scores!B101:AX101,Scores!B101:AX101&gt;0),3),-1),-1)"),158.0)</f>
        <v>158</v>
      </c>
      <c r="I98" s="14">
        <f>IFERROR(__xludf.DUMMYFUNCTION("IFERROR(COLUMNS(filter(Scores!B101:AE101,Scores!B101:AE101)),"""")"),35.0)</f>
        <v>35</v>
      </c>
      <c r="J98" s="14">
        <f>COUNTIF(Scores!B101:AX101,B98)</f>
        <v>1</v>
      </c>
      <c r="K98" s="21">
        <f>IFERROR(__xludf.DUMMYFUNCTION("""COMPUTED_VALUE"""),90.0)</f>
        <v>90</v>
      </c>
      <c r="L98" s="36"/>
      <c r="S98" s="21">
        <v>106.0</v>
      </c>
      <c r="T98" s="14">
        <v>55.0</v>
      </c>
      <c r="U98" s="14">
        <v>2445.0</v>
      </c>
      <c r="W98" s="21">
        <v>165.0</v>
      </c>
      <c r="X98" s="14">
        <v>112.0</v>
      </c>
      <c r="Y98" s="14">
        <v>2388.0</v>
      </c>
      <c r="AA98" s="21">
        <v>286.0</v>
      </c>
      <c r="AB98" s="14">
        <v>36.0</v>
      </c>
      <c r="AC98" s="14">
        <v>104.0</v>
      </c>
    </row>
    <row r="99">
      <c r="A99" s="27">
        <f>HYPERLINK("https://arcprize.org/play?task=3f7978a0", 91)</f>
        <v>91</v>
      </c>
      <c r="B99" s="14">
        <f>IFERROR(__xludf.DUMMYFUNCTION("min(filter(Scores!B102:AX102,Scores!B102:AX102&gt;0))"),62.0)</f>
        <v>62</v>
      </c>
      <c r="C99" s="14">
        <v>2438.0</v>
      </c>
      <c r="D99" s="51" t="str">
        <f t="array" ref="D99">if(B99,if(countif(Scores!B102:AX102,B99)=1,concat("💎",XLOOKUP(B99,Scores!B102:AX102,Scores!B$1:AX$1)),concat("🥇 x",countif(Scores!B102:AX102,B99))),"")</f>
        <v>🥇 x3</v>
      </c>
      <c r="E99" s="14">
        <f>if(countif(Scores!B102:AX102,B99)=1,F99,-1)</f>
        <v>-1</v>
      </c>
      <c r="F99" s="14">
        <f t="shared" si="1"/>
        <v>62</v>
      </c>
      <c r="G99" s="14">
        <f>IFERROR(__xludf.DUMMYFUNCTION("if(iferror(small(filter(Scores!B102:AX102,Scores!B102:AX102&gt;0),2),-1)&lt;&gt;F99,iferror(small(filter(Scores!B102:AX102,Scores!B102:AX102&gt;0),2),-1),-1)"),-1.0)</f>
        <v>-1</v>
      </c>
      <c r="H99" s="14">
        <f>IFERROR(__xludf.DUMMYFUNCTION("if(iferror(small(filter(Scores!B102:AX102,Scores!B102:AX102&gt;0),3),-1)&lt;&gt;iferror(small(filter(Scores!B102:AX102,Scores!B102:AX102&gt;0),2),-1),iferror(small(filter(Scores!B102:AX102,Scores!B102:AX102&gt;0),3),-1),-1)"),-1.0)</f>
        <v>-1</v>
      </c>
      <c r="I99" s="14">
        <f>IFERROR(__xludf.DUMMYFUNCTION("IFERROR(COLUMNS(filter(Scores!B102:AE102,Scores!B102:AE102)),"""")"),40.0)</f>
        <v>40</v>
      </c>
      <c r="J99" s="14">
        <f>COUNTIF(Scores!B102:AX102,B99)</f>
        <v>3</v>
      </c>
      <c r="K99" s="21">
        <f>IFERROR(__xludf.DUMMYFUNCTION("""COMPUTED_VALUE"""),91.0)</f>
        <v>91</v>
      </c>
      <c r="L99" s="36"/>
      <c r="S99" s="21">
        <v>194.0</v>
      </c>
      <c r="T99" s="14">
        <v>55.0</v>
      </c>
      <c r="U99" s="14">
        <v>2445.0</v>
      </c>
      <c r="W99" s="21">
        <v>51.0</v>
      </c>
      <c r="X99" s="14">
        <v>111.0</v>
      </c>
      <c r="Y99" s="14">
        <v>2389.0</v>
      </c>
      <c r="AA99" s="21">
        <v>374.0</v>
      </c>
      <c r="AB99" s="14">
        <v>36.0</v>
      </c>
      <c r="AC99" s="14">
        <v>103.0</v>
      </c>
    </row>
    <row r="100">
      <c r="A100" s="27">
        <f>HYPERLINK("https://arcprize.org/play?task=40853293", 92)</f>
        <v>92</v>
      </c>
      <c r="B100" s="14">
        <f>IFERROR(__xludf.DUMMYFUNCTION("min(filter(Scores!B103:AX103,Scores!B103:AX103&gt;0))"),86.0)</f>
        <v>86</v>
      </c>
      <c r="C100" s="14">
        <v>2414.0</v>
      </c>
      <c r="D100" s="51" t="str">
        <f t="array" ref="D100">if(B100,if(countif(Scores!B103:AX103,B100)=1,concat("💎",XLOOKUP(B100,Scores!B103:AX103,Scores!B$1:AX$1)),concat("🥇 x",countif(Scores!B103:AX103,B100))),"")</f>
        <v>🥇 x2</v>
      </c>
      <c r="E100" s="14">
        <f>if(countif(Scores!B103:AX103,B100)=1,F100,-1)</f>
        <v>-1</v>
      </c>
      <c r="F100" s="14">
        <f t="shared" si="1"/>
        <v>86</v>
      </c>
      <c r="G100" s="14">
        <f>IFERROR(__xludf.DUMMYFUNCTION("if(iferror(small(filter(Scores!B103:AX103,Scores!B103:AX103&gt;0),2),-1)&lt;&gt;F100,iferror(small(filter(Scores!B103:AX103,Scores!B103:AX103&gt;0),2),-1),-1)"),-1.0)</f>
        <v>-1</v>
      </c>
      <c r="H100" s="14">
        <f>IFERROR(__xludf.DUMMYFUNCTION("if(iferror(small(filter(Scores!B103:AX103,Scores!B103:AX103&gt;0),3),-1)&lt;&gt;iferror(small(filter(Scores!B103:AX103,Scores!B103:AX103&gt;0),2),-1),iferror(small(filter(Scores!B103:AX103,Scores!B103:AX103&gt;0),3),-1),-1)"),87.0)</f>
        <v>87</v>
      </c>
      <c r="I100" s="14">
        <f>IFERROR(__xludf.DUMMYFUNCTION("IFERROR(COLUMNS(filter(Scores!B103:AE103,Scores!B103:AE103)),"""")"),39.0)</f>
        <v>39</v>
      </c>
      <c r="J100" s="14">
        <f>COUNTIF(Scores!B103:AX103,B100)</f>
        <v>2</v>
      </c>
      <c r="K100" s="21">
        <f>IFERROR(__xludf.DUMMYFUNCTION("""COMPUTED_VALUE"""),92.0)</f>
        <v>92</v>
      </c>
      <c r="L100" s="36"/>
      <c r="S100" s="21">
        <v>296.0</v>
      </c>
      <c r="T100" s="14">
        <v>55.0</v>
      </c>
      <c r="U100" s="14">
        <v>2445.0</v>
      </c>
      <c r="W100" s="21">
        <v>216.0</v>
      </c>
      <c r="X100" s="14">
        <v>111.0</v>
      </c>
      <c r="Y100" s="14">
        <v>2389.0</v>
      </c>
      <c r="AA100" s="21">
        <v>160.0</v>
      </c>
      <c r="AB100" s="14">
        <v>36.0</v>
      </c>
      <c r="AC100" s="14">
        <v>100.0</v>
      </c>
    </row>
    <row r="101">
      <c r="A101" s="27">
        <f>HYPERLINK("https://arcprize.org/play?task=4093f84a", 93)</f>
        <v>93</v>
      </c>
      <c r="B101" s="14">
        <f>IFERROR(__xludf.DUMMYFUNCTION("min(filter(Scores!B104:AX104,Scores!B104:AX104&gt;0))"),98.0)</f>
        <v>98</v>
      </c>
      <c r="C101" s="14">
        <v>2402.0</v>
      </c>
      <c r="D101" s="51" t="str">
        <f t="array" ref="D101">if(B101,if(countif(Scores!B104:AX104,B101)=1,concat("💎",XLOOKUP(B101,Scores!B104:AX104,Scores!B$1:AX$1)),concat("🥇 x",countif(Scores!B104:AX104,B101))),"")</f>
        <v>🥇 x3</v>
      </c>
      <c r="E101" s="14">
        <f>if(countif(Scores!B104:AX104,B101)=1,F101,-1)</f>
        <v>-1</v>
      </c>
      <c r="F101" s="14">
        <f t="shared" si="1"/>
        <v>98</v>
      </c>
      <c r="G101" s="14">
        <f>IFERROR(__xludf.DUMMYFUNCTION("if(iferror(small(filter(Scores!B104:AX104,Scores!B104:AX104&gt;0),2),-1)&lt;&gt;F101,iferror(small(filter(Scores!B104:AX104,Scores!B104:AX104&gt;0),2),-1),-1)"),-1.0)</f>
        <v>-1</v>
      </c>
      <c r="H101" s="14">
        <f>IFERROR(__xludf.DUMMYFUNCTION("if(iferror(small(filter(Scores!B104:AX104,Scores!B104:AX104&gt;0),3),-1)&lt;&gt;iferror(small(filter(Scores!B104:AX104,Scores!B104:AX104&gt;0),2),-1),iferror(small(filter(Scores!B104:AX104,Scores!B104:AX104&gt;0),3),-1),-1)"),-1.0)</f>
        <v>-1</v>
      </c>
      <c r="I101" s="14">
        <f>IFERROR(__xludf.DUMMYFUNCTION("IFERROR(COLUMNS(filter(Scores!B104:AE104,Scores!B104:AE104)),"""")"),36.0)</f>
        <v>36</v>
      </c>
      <c r="J101" s="14">
        <f>COUNTIF(Scores!B104:AX104,B101)</f>
        <v>3</v>
      </c>
      <c r="K101" s="21">
        <f>IFERROR(__xludf.DUMMYFUNCTION("""COMPUTED_VALUE"""),93.0)</f>
        <v>93</v>
      </c>
      <c r="L101" s="36"/>
      <c r="S101" s="21">
        <v>377.0</v>
      </c>
      <c r="T101" s="14">
        <v>55.0</v>
      </c>
      <c r="U101" s="14">
        <v>2445.0</v>
      </c>
      <c r="W101" s="21">
        <v>340.0</v>
      </c>
      <c r="X101" s="14">
        <v>111.0</v>
      </c>
      <c r="Y101" s="14">
        <v>2389.0</v>
      </c>
      <c r="AA101" s="21">
        <v>93.0</v>
      </c>
      <c r="AB101" s="14">
        <v>36.0</v>
      </c>
      <c r="AC101" s="14">
        <v>98.0</v>
      </c>
    </row>
    <row r="102">
      <c r="A102" s="27">
        <f>HYPERLINK("https://arcprize.org/play?task=41e4d17e", 94)</f>
        <v>94</v>
      </c>
      <c r="B102" s="14">
        <f>IFERROR(__xludf.DUMMYFUNCTION("min(filter(Scores!B105:AX105,Scores!B105:AX105&gt;0))"),96.0)</f>
        <v>96</v>
      </c>
      <c r="C102" s="14">
        <v>2404.0</v>
      </c>
      <c r="D102" s="51" t="str">
        <f t="array" ref="D102">if(B102,if(countif(Scores!B105:AX105,B102)=1,concat("💎",XLOOKUP(B102,Scores!B105:AX105,Scores!B$1:AX$1)),concat("🥇 x",countif(Scores!B105:AX105,B102))),"")</f>
        <v>💎jailctf merger</v>
      </c>
      <c r="E102" s="14">
        <f>if(countif(Scores!B105:AX105,B102)=1,F102,-1)</f>
        <v>96</v>
      </c>
      <c r="F102" s="14">
        <f t="shared" si="1"/>
        <v>96</v>
      </c>
      <c r="G102" s="14">
        <f>IFERROR(__xludf.DUMMYFUNCTION("if(iferror(small(filter(Scores!B105:AX105,Scores!B105:AX105&gt;0),2),-1)&lt;&gt;F102,iferror(small(filter(Scores!B105:AX105,Scores!B105:AX105&gt;0),2),-1),-1)"),97.0)</f>
        <v>97</v>
      </c>
      <c r="H102" s="14">
        <f>IFERROR(__xludf.DUMMYFUNCTION("if(iferror(small(filter(Scores!B105:AX105,Scores!B105:AX105&gt;0),3),-1)&lt;&gt;iferror(small(filter(Scores!B105:AX105,Scores!B105:AX105&gt;0),2),-1),iferror(small(filter(Scores!B105:AX105,Scores!B105:AX105&gt;0),3),-1),-1)"),102.0)</f>
        <v>102</v>
      </c>
      <c r="I102" s="14">
        <f>IFERROR(__xludf.DUMMYFUNCTION("IFERROR(COLUMNS(filter(Scores!B105:AE105,Scores!B105:AE105)),"""")"),39.0)</f>
        <v>39</v>
      </c>
      <c r="J102" s="14">
        <f>COUNTIF(Scores!B105:AX105,B102)</f>
        <v>1</v>
      </c>
      <c r="K102" s="21">
        <f>IFERROR(__xludf.DUMMYFUNCTION("""COMPUTED_VALUE"""),94.0)</f>
        <v>94</v>
      </c>
      <c r="L102" s="36"/>
      <c r="S102" s="21">
        <v>43.0</v>
      </c>
      <c r="T102" s="14">
        <v>56.0</v>
      </c>
      <c r="U102" s="14">
        <v>2444.0</v>
      </c>
      <c r="W102" s="21">
        <v>365.0</v>
      </c>
      <c r="X102" s="14">
        <v>111.0</v>
      </c>
      <c r="Y102" s="14">
        <v>2389.0</v>
      </c>
      <c r="AA102" s="21">
        <v>202.0</v>
      </c>
      <c r="AB102" s="14">
        <v>36.0</v>
      </c>
      <c r="AC102" s="14">
        <v>98.0</v>
      </c>
    </row>
    <row r="103">
      <c r="A103" s="27">
        <f>HYPERLINK("https://arcprize.org/play?task=4258a5f9", 95)</f>
        <v>95</v>
      </c>
      <c r="B103" s="14">
        <f>IFERROR(__xludf.DUMMYFUNCTION("min(filter(Scores!B106:AX106,Scores!B106:AX106&gt;0))"),70.0)</f>
        <v>70</v>
      </c>
      <c r="C103" s="14">
        <v>2430.0</v>
      </c>
      <c r="D103" s="51" t="str">
        <f t="array" ref="D103">if(B103,if(countif(Scores!B106:AX106,B103)=1,concat("💎",XLOOKUP(B103,Scores!B106:AX106,Scores!B$1:AX$1)),concat("🥇 x",countif(Scores!B106:AX106,B103))),"")</f>
        <v>🥇 x2</v>
      </c>
      <c r="E103" s="14">
        <f>if(countif(Scores!B106:AX106,B103)=1,F103,-1)</f>
        <v>-1</v>
      </c>
      <c r="F103" s="14">
        <f t="shared" si="1"/>
        <v>70</v>
      </c>
      <c r="G103" s="14">
        <f>IFERROR(__xludf.DUMMYFUNCTION("if(iferror(small(filter(Scores!B106:AX106,Scores!B106:AX106&gt;0),2),-1)&lt;&gt;F103,iferror(small(filter(Scores!B106:AX106,Scores!B106:AX106&gt;0),2),-1),-1)"),-1.0)</f>
        <v>-1</v>
      </c>
      <c r="H103" s="14">
        <f>IFERROR(__xludf.DUMMYFUNCTION("if(iferror(small(filter(Scores!B106:AX106,Scores!B106:AX106&gt;0),3),-1)&lt;&gt;iferror(small(filter(Scores!B106:AX106,Scores!B106:AX106&gt;0),2),-1),iferror(small(filter(Scores!B106:AX106,Scores!B106:AX106&gt;0),3),-1),-1)"),74.0)</f>
        <v>74</v>
      </c>
      <c r="I103" s="14">
        <f>IFERROR(__xludf.DUMMYFUNCTION("IFERROR(COLUMNS(filter(Scores!B106:AE106,Scores!B106:AE106)),"""")"),42.0)</f>
        <v>42</v>
      </c>
      <c r="J103" s="14">
        <f>COUNTIF(Scores!B106:AX106,B103)</f>
        <v>2</v>
      </c>
      <c r="K103" s="21">
        <f>IFERROR(__xludf.DUMMYFUNCTION("""COMPUTED_VALUE"""),95.0)</f>
        <v>95</v>
      </c>
      <c r="L103" s="36"/>
      <c r="S103" s="21">
        <v>218.0</v>
      </c>
      <c r="T103" s="14">
        <v>56.0</v>
      </c>
      <c r="U103" s="14">
        <v>2444.0</v>
      </c>
      <c r="W103" s="21">
        <v>77.0</v>
      </c>
      <c r="X103" s="14">
        <v>110.0</v>
      </c>
      <c r="Y103" s="14">
        <v>2390.0</v>
      </c>
      <c r="AA103" s="21">
        <v>390.0</v>
      </c>
      <c r="AB103" s="14">
        <v>36.0</v>
      </c>
      <c r="AC103" s="14">
        <v>98.0</v>
      </c>
    </row>
    <row r="104">
      <c r="A104" s="27">
        <f>HYPERLINK("https://arcprize.org/play?task=4290ef0e", 96)</f>
        <v>96</v>
      </c>
      <c r="B104" s="14">
        <f>IFERROR(__xludf.DUMMYFUNCTION("min(filter(Scores!B107:AX107,Scores!B107:AX107&gt;0))"),282.0)</f>
        <v>282</v>
      </c>
      <c r="C104" s="14">
        <v>2218.0</v>
      </c>
      <c r="D104" s="51" t="str">
        <f t="array" ref="D104">if(B104,if(countif(Scores!B107:AX107,B104)=1,concat("💎",XLOOKUP(B104,Scores!B107:AX107,Scores!B$1:AX$1)),concat("🥇 x",countif(Scores!B107:AX107,B104))),"")</f>
        <v>🥇 x2</v>
      </c>
      <c r="E104" s="14">
        <f>if(countif(Scores!B107:AX107,B104)=1,F104,-1)</f>
        <v>-1</v>
      </c>
      <c r="F104" s="14">
        <f t="shared" si="1"/>
        <v>282</v>
      </c>
      <c r="G104" s="14">
        <f>IFERROR(__xludf.DUMMYFUNCTION("if(iferror(small(filter(Scores!B107:AX107,Scores!B107:AX107&gt;0),2),-1)&lt;&gt;F104,iferror(small(filter(Scores!B107:AX107,Scores!B107:AX107&gt;0),2),-1),-1)"),-1.0)</f>
        <v>-1</v>
      </c>
      <c r="H104" s="14">
        <f>IFERROR(__xludf.DUMMYFUNCTION("if(iferror(small(filter(Scores!B107:AX107,Scores!B107:AX107&gt;0),3),-1)&lt;&gt;iferror(small(filter(Scores!B107:AX107,Scores!B107:AX107&gt;0),2),-1),iferror(small(filter(Scores!B107:AX107,Scores!B107:AX107&gt;0),3),-1),-1)"),284.0)</f>
        <v>284</v>
      </c>
      <c r="I104" s="14">
        <f>IFERROR(__xludf.DUMMYFUNCTION("IFERROR(COLUMNS(filter(Scores!B107:AE107,Scores!B107:AE107)),"""")"),35.0)</f>
        <v>35</v>
      </c>
      <c r="J104" s="14">
        <f>COUNTIF(Scores!B107:AX107,B104)</f>
        <v>2</v>
      </c>
      <c r="K104" s="21">
        <f>IFERROR(__xludf.DUMMYFUNCTION("""COMPUTED_VALUE"""),96.0)</f>
        <v>96</v>
      </c>
      <c r="L104" s="36"/>
      <c r="S104" s="21">
        <v>305.0</v>
      </c>
      <c r="T104" s="14">
        <v>56.0</v>
      </c>
      <c r="U104" s="14">
        <v>2444.0</v>
      </c>
      <c r="W104" s="21">
        <v>125.0</v>
      </c>
      <c r="X104" s="14">
        <v>110.0</v>
      </c>
      <c r="Y104" s="14">
        <v>2390.0</v>
      </c>
      <c r="AA104" s="21">
        <v>124.0</v>
      </c>
      <c r="AB104" s="14">
        <v>36.0</v>
      </c>
      <c r="AC104" s="14">
        <v>95.0</v>
      </c>
    </row>
    <row r="105">
      <c r="A105" s="27">
        <f>HYPERLINK("https://arcprize.org/play?task=42a50994", 97)</f>
        <v>97</v>
      </c>
      <c r="B105" s="14">
        <f>IFERROR(__xludf.DUMMYFUNCTION("min(filter(Scores!B108:AX108,Scores!B108:AX108&gt;0))"),93.0)</f>
        <v>93</v>
      </c>
      <c r="C105" s="14">
        <v>2407.0</v>
      </c>
      <c r="D105" s="51" t="str">
        <f t="array" ref="D105">if(B105,if(countif(Scores!B108:AX108,B105)=1,concat("💎",XLOOKUP(B105,Scores!B108:AX108,Scores!B$1:AX$1)),concat("🥇 x",countif(Scores!B108:AX108,B105))),"")</f>
        <v>💎ox jam</v>
      </c>
      <c r="E105" s="14">
        <f>if(countif(Scores!B108:AX108,B105)=1,F105,-1)</f>
        <v>93</v>
      </c>
      <c r="F105" s="14">
        <f t="shared" si="1"/>
        <v>93</v>
      </c>
      <c r="G105" s="14">
        <f>IFERROR(__xludf.DUMMYFUNCTION("if(iferror(small(filter(Scores!B108:AX108,Scores!B108:AX108&gt;0),2),-1)&lt;&gt;F105,iferror(small(filter(Scores!B108:AX108,Scores!B108:AX108&gt;0),2),-1),-1)"),96.0)</f>
        <v>96</v>
      </c>
      <c r="H105" s="14">
        <f>IFERROR(__xludf.DUMMYFUNCTION("if(iferror(small(filter(Scores!B108:AX108,Scores!B108:AX108&gt;0),3),-1)&lt;&gt;iferror(small(filter(Scores!B108:AX108,Scores!B108:AX108&gt;0),2),-1),iferror(small(filter(Scores!B108:AX108,Scores!B108:AX108&gt;0),3),-1),-1)"),98.0)</f>
        <v>98</v>
      </c>
      <c r="I105" s="14">
        <f>IFERROR(__xludf.DUMMYFUNCTION("IFERROR(COLUMNS(filter(Scores!B108:AE108,Scores!B108:AE108)),"""")"),40.0)</f>
        <v>40</v>
      </c>
      <c r="J105" s="14">
        <f>COUNTIF(Scores!B108:AX108,B105)</f>
        <v>1</v>
      </c>
      <c r="K105" s="21">
        <f>IFERROR(__xludf.DUMMYFUNCTION("""COMPUTED_VALUE"""),97.0)</f>
        <v>97</v>
      </c>
      <c r="L105" s="36"/>
      <c r="S105" s="21">
        <v>14.0</v>
      </c>
      <c r="T105" s="14">
        <v>57.0</v>
      </c>
      <c r="U105" s="14">
        <v>2443.0</v>
      </c>
      <c r="W105" s="21">
        <v>168.0</v>
      </c>
      <c r="X105" s="14">
        <v>110.0</v>
      </c>
      <c r="Y105" s="14">
        <v>2390.0</v>
      </c>
      <c r="AA105" s="21">
        <v>189.0</v>
      </c>
      <c r="AB105" s="14">
        <v>36.0</v>
      </c>
      <c r="AC105" s="14">
        <v>95.0</v>
      </c>
    </row>
    <row r="106">
      <c r="A106" s="27">
        <f>HYPERLINK("https://arcprize.org/play?task=4347f46a", 98)</f>
        <v>98</v>
      </c>
      <c r="B106" s="14">
        <f>IFERROR(__xludf.DUMMYFUNCTION("min(filter(Scores!B109:AX109,Scores!B109:AX109&gt;0))"),64.0)</f>
        <v>64</v>
      </c>
      <c r="C106" s="14">
        <v>2436.0</v>
      </c>
      <c r="D106" s="51" t="str">
        <f t="array" ref="D106">if(B106,if(countif(Scores!B109:AX109,B106)=1,concat("💎",XLOOKUP(B106,Scores!B109:AX109,Scores!B$1:AX$1)),concat("🥇 x",countif(Scores!B109:AX109,B106))),"")</f>
        <v>💎ox jam</v>
      </c>
      <c r="E106" s="14">
        <f>if(countif(Scores!B109:AX109,B106)=1,F106,-1)</f>
        <v>64</v>
      </c>
      <c r="F106" s="14">
        <f t="shared" si="1"/>
        <v>64</v>
      </c>
      <c r="G106" s="14">
        <f>IFERROR(__xludf.DUMMYFUNCTION("if(iferror(small(filter(Scores!B109:AX109,Scores!B109:AX109&gt;0),2),-1)&lt;&gt;F106,iferror(small(filter(Scores!B109:AX109,Scores!B109:AX109&gt;0),2),-1),-1)"),72.0)</f>
        <v>72</v>
      </c>
      <c r="H106" s="14">
        <f>IFERROR(__xludf.DUMMYFUNCTION("if(iferror(small(filter(Scores!B109:AX109,Scores!B109:AX109&gt;0),3),-1)&lt;&gt;iferror(small(filter(Scores!B109:AX109,Scores!B109:AX109&gt;0),2),-1),iferror(small(filter(Scores!B109:AX109,Scores!B109:AX109&gt;0),3),-1),-1)"),74.0)</f>
        <v>74</v>
      </c>
      <c r="I106" s="14">
        <f>IFERROR(__xludf.DUMMYFUNCTION("IFERROR(COLUMNS(filter(Scores!B109:AE109,Scores!B109:AE109)),"""")"),40.0)</f>
        <v>40</v>
      </c>
      <c r="J106" s="14">
        <f>COUNTIF(Scores!B109:AX109,B106)</f>
        <v>1</v>
      </c>
      <c r="K106" s="21">
        <f>IFERROR(__xludf.DUMMYFUNCTION("""COMPUTED_VALUE"""),98.0)</f>
        <v>98</v>
      </c>
      <c r="L106" s="36"/>
      <c r="S106" s="21">
        <v>127.0</v>
      </c>
      <c r="T106" s="14">
        <v>57.0</v>
      </c>
      <c r="U106" s="14">
        <v>2443.0</v>
      </c>
      <c r="W106" s="21">
        <v>330.0</v>
      </c>
      <c r="X106" s="14">
        <v>110.0</v>
      </c>
      <c r="Y106" s="14">
        <v>2390.0</v>
      </c>
      <c r="AA106" s="21">
        <v>212.0</v>
      </c>
      <c r="AB106" s="14">
        <v>36.0</v>
      </c>
      <c r="AC106" s="14">
        <v>93.0</v>
      </c>
    </row>
    <row r="107">
      <c r="A107" s="27">
        <f>HYPERLINK("https://arcprize.org/play?task=444801d8", 99)</f>
        <v>99</v>
      </c>
      <c r="B107" s="14">
        <f>IFERROR(__xludf.DUMMYFUNCTION("min(filter(Scores!B110:AX110,Scores!B110:AX110&gt;0))"),93.0)</f>
        <v>93</v>
      </c>
      <c r="C107" s="14">
        <v>2407.0</v>
      </c>
      <c r="D107" s="51" t="str">
        <f t="array" ref="D107">if(B107,if(countif(Scores!B110:AX110,B107)=1,concat("💎",XLOOKUP(B107,Scores!B110:AX110,Scores!B$1:AX$1)),concat("🥇 x",countif(Scores!B110:AX110,B107))),"")</f>
        <v>💎Code Golf International</v>
      </c>
      <c r="E107" s="14">
        <f>if(countif(Scores!B110:AX110,B107)=1,F107,-1)</f>
        <v>93</v>
      </c>
      <c r="F107" s="14">
        <f t="shared" si="1"/>
        <v>93</v>
      </c>
      <c r="G107" s="14">
        <f>IFERROR(__xludf.DUMMYFUNCTION("if(iferror(small(filter(Scores!B110:AX110,Scores!B110:AX110&gt;0),2),-1)&lt;&gt;F107,iferror(small(filter(Scores!B110:AX110,Scores!B110:AX110&gt;0),2),-1),-1)"),103.0)</f>
        <v>103</v>
      </c>
      <c r="H107" s="14">
        <f>IFERROR(__xludf.DUMMYFUNCTION("if(iferror(small(filter(Scores!B110:AX110,Scores!B110:AX110&gt;0),3),-1)&lt;&gt;iferror(small(filter(Scores!B110:AX110,Scores!B110:AX110&gt;0),2),-1),iferror(small(filter(Scores!B110:AX110,Scores!B110:AX110&gt;0),3),-1),-1)"),104.0)</f>
        <v>104</v>
      </c>
      <c r="I107" s="14">
        <f>IFERROR(__xludf.DUMMYFUNCTION("IFERROR(COLUMNS(filter(Scores!B110:AE110,Scores!B110:AE110)),"""")"),35.0)</f>
        <v>35</v>
      </c>
      <c r="J107" s="14">
        <f>COUNTIF(Scores!B110:AX110,B107)</f>
        <v>1</v>
      </c>
      <c r="K107" s="21">
        <f>IFERROR(__xludf.DUMMYFUNCTION("""COMPUTED_VALUE"""),99.0)</f>
        <v>99</v>
      </c>
      <c r="L107" s="36"/>
      <c r="S107" s="21">
        <v>128.0</v>
      </c>
      <c r="T107" s="14">
        <v>57.0</v>
      </c>
      <c r="U107" s="14">
        <v>2443.0</v>
      </c>
      <c r="W107" s="21">
        <v>397.0</v>
      </c>
      <c r="X107" s="14">
        <v>110.0</v>
      </c>
      <c r="Y107" s="14">
        <v>2390.0</v>
      </c>
      <c r="AA107" s="21">
        <v>247.0</v>
      </c>
      <c r="AB107" s="14">
        <v>36.0</v>
      </c>
      <c r="AC107" s="14">
        <v>92.0</v>
      </c>
    </row>
    <row r="108">
      <c r="A108" s="27">
        <f>HYPERLINK("https://arcprize.org/play?task=445eab21", 100)</f>
        <v>100</v>
      </c>
      <c r="B108" s="14">
        <f>IFERROR(__xludf.DUMMYFUNCTION("min(filter(Scores!B111:AX111,Scores!B111:AX111&gt;0))"),85.0)</f>
        <v>85</v>
      </c>
      <c r="C108" s="14">
        <v>2415.0</v>
      </c>
      <c r="D108" s="51" t="str">
        <f t="array" ref="D108">if(B108,if(countif(Scores!B111:AX111,B108)=1,concat("💎",XLOOKUP(B108,Scores!B111:AX111,Scores!B$1:AX$1)),concat("🥇 x",countif(Scores!B111:AX111,B108))),"")</f>
        <v>💎Code Golf International</v>
      </c>
      <c r="E108" s="14">
        <f>if(countif(Scores!B111:AX111,B108)=1,F108,-1)</f>
        <v>85</v>
      </c>
      <c r="F108" s="14">
        <f t="shared" si="1"/>
        <v>85</v>
      </c>
      <c r="G108" s="14">
        <f>IFERROR(__xludf.DUMMYFUNCTION("if(iferror(small(filter(Scores!B111:AX111,Scores!B111:AX111&gt;0),2),-1)&lt;&gt;F108,iferror(small(filter(Scores!B111:AX111,Scores!B111:AX111&gt;0),2),-1),-1)"),86.0)</f>
        <v>86</v>
      </c>
      <c r="H108" s="14">
        <f>IFERROR(__xludf.DUMMYFUNCTION("if(iferror(small(filter(Scores!B111:AX111,Scores!B111:AX111&gt;0),3),-1)&lt;&gt;iferror(small(filter(Scores!B111:AX111,Scores!B111:AX111&gt;0),2),-1),iferror(small(filter(Scores!B111:AX111,Scores!B111:AX111&gt;0),3),-1),-1)"),87.0)</f>
        <v>87</v>
      </c>
      <c r="I108" s="14">
        <f>IFERROR(__xludf.DUMMYFUNCTION("IFERROR(COLUMNS(filter(Scores!B111:AE111,Scores!B111:AE111)),"""")"),36.0)</f>
        <v>36</v>
      </c>
      <c r="J108" s="14">
        <f>COUNTIF(Scores!B111:AX111,B108)</f>
        <v>1</v>
      </c>
      <c r="K108" s="21">
        <f>IFERROR(__xludf.DUMMYFUNCTION("""COMPUTED_VALUE"""),100.0)</f>
        <v>100</v>
      </c>
      <c r="L108" s="36"/>
      <c r="S108" s="21">
        <v>232.0</v>
      </c>
      <c r="T108" s="14">
        <v>57.0</v>
      </c>
      <c r="U108" s="14">
        <v>2443.0</v>
      </c>
      <c r="W108" s="21">
        <v>369.0</v>
      </c>
      <c r="X108" s="14">
        <v>109.0</v>
      </c>
      <c r="Y108" s="14">
        <v>2391.0</v>
      </c>
      <c r="AA108" s="21">
        <v>221.0</v>
      </c>
      <c r="AB108" s="14">
        <v>36.0</v>
      </c>
      <c r="AC108" s="14">
        <v>86.0</v>
      </c>
    </row>
    <row r="109">
      <c r="A109" s="27">
        <f>HYPERLINK("https://arcprize.org/play?task=447fd412", 101)</f>
        <v>101</v>
      </c>
      <c r="B109" s="14">
        <f>IFERROR(__xludf.DUMMYFUNCTION("min(filter(Scores!B112:AX112,Scores!B112:AX112&gt;0))"),258.0)</f>
        <v>258</v>
      </c>
      <c r="C109" s="14">
        <v>2242.0</v>
      </c>
      <c r="D109" s="51" t="str">
        <f t="array" ref="D109">if(B109,if(countif(Scores!B112:AX112,B109)=1,concat("💎",XLOOKUP(B109,Scores!B112:AX112,Scores!B$1:AX$1)),concat("🥇 x",countif(Scores!B112:AX112,B109))),"")</f>
        <v>💎ox jam</v>
      </c>
      <c r="E109" s="14">
        <f>if(countif(Scores!B112:AX112,B109)=1,F109,-1)</f>
        <v>258</v>
      </c>
      <c r="F109" s="14">
        <f t="shared" si="1"/>
        <v>258</v>
      </c>
      <c r="G109" s="14">
        <f>IFERROR(__xludf.DUMMYFUNCTION("if(iferror(small(filter(Scores!B112:AX112,Scores!B112:AX112&gt;0),2),-1)&lt;&gt;F109,iferror(small(filter(Scores!B112:AX112,Scores!B112:AX112&gt;0),2),-1),-1)"),265.0)</f>
        <v>265</v>
      </c>
      <c r="H109" s="14">
        <f>IFERROR(__xludf.DUMMYFUNCTION("if(iferror(small(filter(Scores!B112:AX112,Scores!B112:AX112&gt;0),3),-1)&lt;&gt;iferror(small(filter(Scores!B112:AX112,Scores!B112:AX112&gt;0),2),-1),iferror(small(filter(Scores!B112:AX112,Scores!B112:AX112&gt;0),3),-1),-1)"),271.0)</f>
        <v>271</v>
      </c>
      <c r="I109" s="14">
        <f>IFERROR(__xludf.DUMMYFUNCTION("IFERROR(COLUMNS(filter(Scores!B112:AE112,Scores!B112:AE112)),"""")"),34.0)</f>
        <v>34</v>
      </c>
      <c r="J109" s="14">
        <f>COUNTIF(Scores!B112:AX112,B109)</f>
        <v>1</v>
      </c>
      <c r="K109" s="21">
        <f>IFERROR(__xludf.DUMMYFUNCTION("""COMPUTED_VALUE"""),101.0)</f>
        <v>101</v>
      </c>
      <c r="L109" s="36"/>
      <c r="S109" s="21">
        <v>389.0</v>
      </c>
      <c r="T109" s="14">
        <v>57.0</v>
      </c>
      <c r="U109" s="14">
        <v>2443.0</v>
      </c>
      <c r="W109" s="21">
        <v>169.0</v>
      </c>
      <c r="X109" s="14">
        <v>108.0</v>
      </c>
      <c r="Y109" s="14">
        <v>2392.0</v>
      </c>
      <c r="AA109" s="21">
        <v>100.0</v>
      </c>
      <c r="AB109" s="14">
        <v>36.0</v>
      </c>
      <c r="AC109" s="14">
        <v>85.0</v>
      </c>
    </row>
    <row r="110">
      <c r="A110" s="27">
        <f>HYPERLINK("https://arcprize.org/play?task=44d8ac46", 102)</f>
        <v>102</v>
      </c>
      <c r="B110" s="14">
        <f>IFERROR(__xludf.DUMMYFUNCTION("min(filter(Scores!B113:AX113,Scores!B113:AX113&gt;0))"),124.0)</f>
        <v>124</v>
      </c>
      <c r="C110" s="14">
        <v>2376.0</v>
      </c>
      <c r="D110" s="51" t="str">
        <f t="array" ref="D110">if(B110,if(countif(Scores!B113:AX113,B110)=1,concat("💎",XLOOKUP(B110,Scores!B113:AX113,Scores!B$1:AX$1)),concat("🥇 x",countif(Scores!B113:AX113,B110))),"")</f>
        <v>💎jailctf merger</v>
      </c>
      <c r="E110" s="14">
        <f>if(countif(Scores!B113:AX113,B110)=1,F110,-1)</f>
        <v>124</v>
      </c>
      <c r="F110" s="14">
        <f t="shared" si="1"/>
        <v>124</v>
      </c>
      <c r="G110" s="14">
        <f>IFERROR(__xludf.DUMMYFUNCTION("if(iferror(small(filter(Scores!B113:AX113,Scores!B113:AX113&gt;0),2),-1)&lt;&gt;F110,iferror(small(filter(Scores!B113:AX113,Scores!B113:AX113&gt;0),2),-1),-1)"),126.0)</f>
        <v>126</v>
      </c>
      <c r="H110" s="14">
        <f>IFERROR(__xludf.DUMMYFUNCTION("if(iferror(small(filter(Scores!B113:AX113,Scores!B113:AX113&gt;0),3),-1)&lt;&gt;iferror(small(filter(Scores!B113:AX113,Scores!B113:AX113&gt;0),2),-1),iferror(small(filter(Scores!B113:AX113,Scores!B113:AX113&gt;0),3),-1),-1)"),135.0)</f>
        <v>135</v>
      </c>
      <c r="I110" s="14">
        <f>IFERROR(__xludf.DUMMYFUNCTION("IFERROR(COLUMNS(filter(Scores!B113:AE113,Scores!B113:AE113)),"""")"),36.0)</f>
        <v>36</v>
      </c>
      <c r="J110" s="14">
        <f>COUNTIF(Scores!B113:AX113,B110)</f>
        <v>1</v>
      </c>
      <c r="K110" s="21">
        <f>IFERROR(__xludf.DUMMYFUNCTION("""COMPUTED_VALUE"""),102.0)</f>
        <v>102</v>
      </c>
      <c r="L110" s="36"/>
      <c r="S110" s="21">
        <v>1.0</v>
      </c>
      <c r="T110" s="14">
        <v>58.0</v>
      </c>
      <c r="U110" s="14">
        <v>2442.0</v>
      </c>
      <c r="W110" s="21">
        <v>341.0</v>
      </c>
      <c r="X110" s="14">
        <v>108.0</v>
      </c>
      <c r="Y110" s="14">
        <v>2392.0</v>
      </c>
      <c r="AA110" s="21">
        <v>394.0</v>
      </c>
      <c r="AB110" s="14">
        <v>36.0</v>
      </c>
      <c r="AC110" s="14">
        <v>85.0</v>
      </c>
    </row>
    <row r="111">
      <c r="A111" s="27">
        <f>HYPERLINK("https://arcprize.org/play?task=44f52bb0", 103)</f>
        <v>103</v>
      </c>
      <c r="B111" s="14">
        <f>IFERROR(__xludf.DUMMYFUNCTION("min(filter(Scores!B114:AX114,Scores!B114:AX114&gt;0))"),29.0)</f>
        <v>29</v>
      </c>
      <c r="C111" s="14">
        <v>2471.0</v>
      </c>
      <c r="D111" s="51" t="str">
        <f t="array" ref="D111">if(B111,if(countif(Scores!B114:AX114,B111)=1,concat("💎",XLOOKUP(B111,Scores!B114:AX114,Scores!B$1:AX$1)),concat("🥇 x",countif(Scores!B114:AX114,B111))),"")</f>
        <v>🥇 x24</v>
      </c>
      <c r="E111" s="14">
        <f>if(countif(Scores!B114:AX114,B111)=1,F111,-1)</f>
        <v>-1</v>
      </c>
      <c r="F111" s="14">
        <f t="shared" si="1"/>
        <v>29</v>
      </c>
      <c r="G111" s="14">
        <f>IFERROR(__xludf.DUMMYFUNCTION("if(iferror(small(filter(Scores!B114:AX114,Scores!B114:AX114&gt;0),2),-1)&lt;&gt;F111,iferror(small(filter(Scores!B114:AX114,Scores!B114:AX114&gt;0),2),-1),-1)"),-1.0)</f>
        <v>-1</v>
      </c>
      <c r="H111" s="14">
        <f>IFERROR(__xludf.DUMMYFUNCTION("if(iferror(small(filter(Scores!B114:AX114,Scores!B114:AX114&gt;0),3),-1)&lt;&gt;iferror(small(filter(Scores!B114:AX114,Scores!B114:AX114&gt;0),2),-1),iferror(small(filter(Scores!B114:AX114,Scores!B114:AX114&gt;0),3),-1),-1)"),-1.0)</f>
        <v>-1</v>
      </c>
      <c r="I111" s="14">
        <f>IFERROR(__xludf.DUMMYFUNCTION("IFERROR(COLUMNS(filter(Scores!B114:AE114,Scores!B114:AE114)),"""")"),46.0)</f>
        <v>46</v>
      </c>
      <c r="J111" s="14">
        <f>COUNTIF(Scores!B114:AX114,B111)</f>
        <v>24</v>
      </c>
      <c r="K111" s="21">
        <f>IFERROR(__xludf.DUMMYFUNCTION("""COMPUTED_VALUE"""),103.0)</f>
        <v>103</v>
      </c>
      <c r="L111" s="36"/>
      <c r="S111" s="21">
        <v>3.0</v>
      </c>
      <c r="T111" s="14">
        <v>58.0</v>
      </c>
      <c r="U111" s="14">
        <v>2442.0</v>
      </c>
      <c r="W111" s="21">
        <v>185.0</v>
      </c>
      <c r="X111" s="14">
        <v>107.0</v>
      </c>
      <c r="Y111" s="14">
        <v>2393.0</v>
      </c>
      <c r="AA111" s="21">
        <v>273.0</v>
      </c>
      <c r="AB111" s="14">
        <v>36.0</v>
      </c>
      <c r="AC111" s="14">
        <v>75.0</v>
      </c>
    </row>
    <row r="112">
      <c r="A112" s="27">
        <f>HYPERLINK("https://arcprize.org/play?task=4522001f", 104)</f>
        <v>104</v>
      </c>
      <c r="B112" s="14">
        <f>IFERROR(__xludf.DUMMYFUNCTION("min(filter(Scores!B115:AX115,Scores!B115:AX115&gt;0))"),84.0)</f>
        <v>84</v>
      </c>
      <c r="C112" s="14">
        <v>2416.0</v>
      </c>
      <c r="D112" s="51" t="str">
        <f t="array" ref="D112">if(B112,if(countif(Scores!B115:AX115,B112)=1,concat("💎",XLOOKUP(B112,Scores!B115:AX115,Scores!B$1:AX$1)),concat("🥇 x",countif(Scores!B115:AX115,B112))),"")</f>
        <v>🥇 x3</v>
      </c>
      <c r="E112" s="14">
        <f>if(countif(Scores!B115:AX115,B112)=1,F112,-1)</f>
        <v>-1</v>
      </c>
      <c r="F112" s="14">
        <f t="shared" si="1"/>
        <v>84</v>
      </c>
      <c r="G112" s="14">
        <f>IFERROR(__xludf.DUMMYFUNCTION("if(iferror(small(filter(Scores!B115:AX115,Scores!B115:AX115&gt;0),2),-1)&lt;&gt;F112,iferror(small(filter(Scores!B115:AX115,Scores!B115:AX115&gt;0),2),-1),-1)"),-1.0)</f>
        <v>-1</v>
      </c>
      <c r="H112" s="14">
        <f>IFERROR(__xludf.DUMMYFUNCTION("if(iferror(small(filter(Scores!B115:AX115,Scores!B115:AX115&gt;0),3),-1)&lt;&gt;iferror(small(filter(Scores!B115:AX115,Scores!B115:AX115&gt;0),2),-1),iferror(small(filter(Scores!B115:AX115,Scores!B115:AX115&gt;0),3),-1),-1)"),-1.0)</f>
        <v>-1</v>
      </c>
      <c r="I112" s="14">
        <f>IFERROR(__xludf.DUMMYFUNCTION("IFERROR(COLUMNS(filter(Scores!B115:AE115,Scores!B115:AE115)),"""")"),40.0)</f>
        <v>40</v>
      </c>
      <c r="J112" s="14">
        <f>COUNTIF(Scores!B115:AX115,B112)</f>
        <v>3</v>
      </c>
      <c r="K112" s="21">
        <f>IFERROR(__xludf.DUMMYFUNCTION("""COMPUTED_VALUE"""),104.0)</f>
        <v>104</v>
      </c>
      <c r="L112" s="36"/>
      <c r="S112" s="21">
        <v>146.0</v>
      </c>
      <c r="T112" s="14">
        <v>58.0</v>
      </c>
      <c r="U112" s="14">
        <v>2442.0</v>
      </c>
      <c r="W112" s="21">
        <v>198.0</v>
      </c>
      <c r="X112" s="14">
        <v>107.0</v>
      </c>
      <c r="Y112" s="14">
        <v>2393.0</v>
      </c>
      <c r="AA112" s="21">
        <v>233.0</v>
      </c>
      <c r="AB112" s="14">
        <v>37.0</v>
      </c>
      <c r="AC112" s="14">
        <v>261.0</v>
      </c>
    </row>
    <row r="113">
      <c r="A113" s="27">
        <f>HYPERLINK("https://arcprize.org/play?task=4612dd53", 105)</f>
        <v>105</v>
      </c>
      <c r="B113" s="14">
        <f>IFERROR(__xludf.DUMMYFUNCTION("min(filter(Scores!B116:AX116,Scores!B116:AX116&gt;0))"),124.0)</f>
        <v>124</v>
      </c>
      <c r="C113" s="14">
        <v>2376.0</v>
      </c>
      <c r="D113" s="51" t="str">
        <f t="array" ref="D113">if(B113,if(countif(Scores!B116:AX116,B113)=1,concat("💎",XLOOKUP(B113,Scores!B116:AX116,Scores!B$1:AX$1)),concat("🥇 x",countif(Scores!B116:AX116,B113))),"")</f>
        <v>💎jailctf merger</v>
      </c>
      <c r="E113" s="14">
        <f>if(countif(Scores!B116:AX116,B113)=1,F113,-1)</f>
        <v>124</v>
      </c>
      <c r="F113" s="14">
        <f t="shared" si="1"/>
        <v>124</v>
      </c>
      <c r="G113" s="14">
        <f>IFERROR(__xludf.DUMMYFUNCTION("if(iferror(small(filter(Scores!B116:AX116,Scores!B116:AX116&gt;0),2),-1)&lt;&gt;F113,iferror(small(filter(Scores!B116:AX116,Scores!B116:AX116&gt;0),2),-1),-1)"),126.0)</f>
        <v>126</v>
      </c>
      <c r="H113" s="14">
        <f>IFERROR(__xludf.DUMMYFUNCTION("if(iferror(small(filter(Scores!B116:AX116,Scores!B116:AX116&gt;0),3),-1)&lt;&gt;iferror(small(filter(Scores!B116:AX116,Scores!B116:AX116&gt;0),2),-1),iferror(small(filter(Scores!B116:AX116,Scores!B116:AX116&gt;0),3),-1),-1)"),134.0)</f>
        <v>134</v>
      </c>
      <c r="I113" s="14">
        <f>IFERROR(__xludf.DUMMYFUNCTION("IFERROR(COLUMNS(filter(Scores!B116:AE116,Scores!B116:AE116)),"""")"),35.0)</f>
        <v>35</v>
      </c>
      <c r="J113" s="14">
        <f>COUNTIF(Scores!B116:AX116,B113)</f>
        <v>1</v>
      </c>
      <c r="K113" s="21">
        <f>IFERROR(__xludf.DUMMYFUNCTION("""COMPUTED_VALUE"""),105.0)</f>
        <v>105</v>
      </c>
      <c r="L113" s="36"/>
      <c r="S113" s="21">
        <v>332.0</v>
      </c>
      <c r="T113" s="14">
        <v>58.0</v>
      </c>
      <c r="U113" s="14">
        <v>2442.0</v>
      </c>
      <c r="W113" s="21">
        <v>234.0</v>
      </c>
      <c r="X113" s="14">
        <v>106.0</v>
      </c>
      <c r="Y113" s="14">
        <v>2394.0</v>
      </c>
      <c r="AA113" s="21">
        <v>361.0</v>
      </c>
      <c r="AB113" s="14">
        <v>37.0</v>
      </c>
      <c r="AC113" s="14">
        <v>185.0</v>
      </c>
    </row>
    <row r="114">
      <c r="A114" s="27">
        <f>HYPERLINK("https://arcprize.org/play?task=46442a0e", 106)</f>
        <v>106</v>
      </c>
      <c r="B114" s="14">
        <f>IFERROR(__xludf.DUMMYFUNCTION("min(filter(Scores!B117:AX117,Scores!B117:AX117&gt;0))"),55.0)</f>
        <v>55</v>
      </c>
      <c r="C114" s="14">
        <v>2445.0</v>
      </c>
      <c r="D114" s="51" t="str">
        <f t="array" ref="D114">if(B114,if(countif(Scores!B117:AX117,B114)=1,concat("💎",XLOOKUP(B114,Scores!B117:AX117,Scores!B$1:AX$1)),concat("🥇 x",countif(Scores!B117:AX117,B114))),"")</f>
        <v>💎ox jam</v>
      </c>
      <c r="E114" s="14">
        <f>if(countif(Scores!B117:AX117,B114)=1,F114,-1)</f>
        <v>55</v>
      </c>
      <c r="F114" s="14">
        <f t="shared" si="1"/>
        <v>55</v>
      </c>
      <c r="G114" s="14">
        <f>IFERROR(__xludf.DUMMYFUNCTION("if(iferror(small(filter(Scores!B117:AX117,Scores!B117:AX117&gt;0),2),-1)&lt;&gt;F114,iferror(small(filter(Scores!B117:AX117,Scores!B117:AX117&gt;0),2),-1),-1)"),59.0)</f>
        <v>59</v>
      </c>
      <c r="H114" s="14">
        <f>IFERROR(__xludf.DUMMYFUNCTION("if(iferror(small(filter(Scores!B117:AX117,Scores!B117:AX117&gt;0),3),-1)&lt;&gt;iferror(small(filter(Scores!B117:AX117,Scores!B117:AX117&gt;0),2),-1),iferror(small(filter(Scores!B117:AX117,Scores!B117:AX117&gt;0),3),-1),-1)"),66.0)</f>
        <v>66</v>
      </c>
      <c r="I114" s="14">
        <f>IFERROR(__xludf.DUMMYFUNCTION("IFERROR(COLUMNS(filter(Scores!B117:AE117,Scores!B117:AE117)),"""")"),42.0)</f>
        <v>42</v>
      </c>
      <c r="J114" s="14">
        <f>COUNTIF(Scores!B117:AX117,B114)</f>
        <v>1</v>
      </c>
      <c r="K114" s="21">
        <f>IFERROR(__xludf.DUMMYFUNCTION("""COMPUTED_VALUE"""),106.0)</f>
        <v>106</v>
      </c>
      <c r="L114" s="36"/>
      <c r="S114" s="21">
        <v>78.0</v>
      </c>
      <c r="T114" s="14">
        <v>59.0</v>
      </c>
      <c r="U114" s="14">
        <v>2441.0</v>
      </c>
      <c r="W114" s="21">
        <v>263.0</v>
      </c>
      <c r="X114" s="14">
        <v>106.0</v>
      </c>
      <c r="Y114" s="14">
        <v>2394.0</v>
      </c>
      <c r="AA114" s="21">
        <v>363.0</v>
      </c>
      <c r="AB114" s="14">
        <v>37.0</v>
      </c>
      <c r="AC114" s="14">
        <v>175.0</v>
      </c>
    </row>
    <row r="115">
      <c r="A115" s="27">
        <f>HYPERLINK("https://arcprize.org/play?task=469497ad", 107)</f>
        <v>107</v>
      </c>
      <c r="B115" s="14">
        <f>IFERROR(__xludf.DUMMYFUNCTION("min(filter(Scores!B118:AX118,Scores!B118:AX118&gt;0))"),132.0)</f>
        <v>132</v>
      </c>
      <c r="C115" s="14">
        <v>2368.0</v>
      </c>
      <c r="D115" s="51" t="str">
        <f t="array" ref="D115">if(B115,if(countif(Scores!B118:AX118,B115)=1,concat("💎",XLOOKUP(B115,Scores!B118:AX118,Scores!B$1:AX$1)),concat("🥇 x",countif(Scores!B118:AX118,B115))),"")</f>
        <v>💎ox jam</v>
      </c>
      <c r="E115" s="14">
        <f>if(countif(Scores!B118:AX118,B115)=1,F115,-1)</f>
        <v>132</v>
      </c>
      <c r="F115" s="14">
        <f t="shared" si="1"/>
        <v>132</v>
      </c>
      <c r="G115" s="14">
        <f>IFERROR(__xludf.DUMMYFUNCTION("if(iferror(small(filter(Scores!B118:AX118,Scores!B118:AX118&gt;0),2),-1)&lt;&gt;F115,iferror(small(filter(Scores!B118:AX118,Scores!B118:AX118&gt;0),2),-1),-1)"),137.0)</f>
        <v>137</v>
      </c>
      <c r="H115" s="14">
        <f>IFERROR(__xludf.DUMMYFUNCTION("if(iferror(small(filter(Scores!B118:AX118,Scores!B118:AX118&gt;0),3),-1)&lt;&gt;iferror(small(filter(Scores!B118:AX118,Scores!B118:AX118&gt;0),2),-1),iferror(small(filter(Scores!B118:AX118,Scores!B118:AX118&gt;0),3),-1),-1)"),-1.0)</f>
        <v>-1</v>
      </c>
      <c r="I115" s="14">
        <f>IFERROR(__xludf.DUMMYFUNCTION("IFERROR(COLUMNS(filter(Scores!B118:AE118,Scores!B118:AE118)),"""")"),40.0)</f>
        <v>40</v>
      </c>
      <c r="J115" s="14">
        <f>COUNTIF(Scores!B118:AX118,B115)</f>
        <v>1</v>
      </c>
      <c r="K115" s="21">
        <f>IFERROR(__xludf.DUMMYFUNCTION("""COMPUTED_VALUE"""),107.0)</f>
        <v>107</v>
      </c>
      <c r="L115" s="36"/>
      <c r="S115" s="21">
        <v>291.0</v>
      </c>
      <c r="T115" s="14">
        <v>59.0</v>
      </c>
      <c r="U115" s="14">
        <v>2441.0</v>
      </c>
      <c r="W115" s="21">
        <v>279.0</v>
      </c>
      <c r="X115" s="14">
        <v>106.0</v>
      </c>
      <c r="Y115" s="14">
        <v>2394.0</v>
      </c>
      <c r="AA115" s="21">
        <v>328.0</v>
      </c>
      <c r="AB115" s="14">
        <v>37.0</v>
      </c>
      <c r="AC115" s="14">
        <v>158.0</v>
      </c>
    </row>
    <row r="116">
      <c r="A116" s="27">
        <f>HYPERLINK("https://arcprize.org/play?task=46f33fce", 108)</f>
        <v>108</v>
      </c>
      <c r="B116" s="14">
        <f>IFERROR(__xludf.DUMMYFUNCTION("min(filter(Scores!B119:AX119,Scores!B119:AX119&gt;0))"),46.0)</f>
        <v>46</v>
      </c>
      <c r="C116" s="14">
        <v>2454.0</v>
      </c>
      <c r="D116" s="51" t="str">
        <f t="array" ref="D116">if(B116,if(countif(Scores!B119:AX119,B116)=1,concat("💎",XLOOKUP(B116,Scores!B119:AX119,Scores!B$1:AX$1)),concat("🥇 x",countif(Scores!B119:AX119,B116))),"")</f>
        <v>🥇 x3</v>
      </c>
      <c r="E116" s="14">
        <f>if(countif(Scores!B119:AX119,B116)=1,F116,-1)</f>
        <v>-1</v>
      </c>
      <c r="F116" s="14">
        <f t="shared" si="1"/>
        <v>46</v>
      </c>
      <c r="G116" s="14">
        <f>IFERROR(__xludf.DUMMYFUNCTION("if(iferror(small(filter(Scores!B119:AX119,Scores!B119:AX119&gt;0),2),-1)&lt;&gt;F116,iferror(small(filter(Scores!B119:AX119,Scores!B119:AX119&gt;0),2),-1),-1)"),-1.0)</f>
        <v>-1</v>
      </c>
      <c r="H116" s="14">
        <f>IFERROR(__xludf.DUMMYFUNCTION("if(iferror(small(filter(Scores!B119:AX119,Scores!B119:AX119&gt;0),3),-1)&lt;&gt;iferror(small(filter(Scores!B119:AX119,Scores!B119:AX119&gt;0),2),-1),iferror(small(filter(Scores!B119:AX119,Scores!B119:AX119&gt;0),3),-1),-1)"),-1.0)</f>
        <v>-1</v>
      </c>
      <c r="I116" s="14">
        <f>IFERROR(__xludf.DUMMYFUNCTION("IFERROR(COLUMNS(filter(Scores!B119:AE119,Scores!B119:AE119)),"""")"),43.0)</f>
        <v>43</v>
      </c>
      <c r="J116" s="14">
        <f>COUNTIF(Scores!B119:AX119,B116)</f>
        <v>3</v>
      </c>
      <c r="K116" s="21">
        <f>IFERROR(__xludf.DUMMYFUNCTION("""COMPUTED_VALUE"""),108.0)</f>
        <v>108</v>
      </c>
      <c r="L116" s="36"/>
      <c r="S116" s="21">
        <v>293.0</v>
      </c>
      <c r="T116" s="14">
        <v>59.0</v>
      </c>
      <c r="U116" s="14">
        <v>2441.0</v>
      </c>
      <c r="W116" s="21">
        <v>342.0</v>
      </c>
      <c r="X116" s="14">
        <v>106.0</v>
      </c>
      <c r="Y116" s="14">
        <v>2394.0</v>
      </c>
      <c r="AA116" s="21">
        <v>145.0</v>
      </c>
      <c r="AB116" s="14">
        <v>37.0</v>
      </c>
      <c r="AC116" s="14">
        <v>157.0</v>
      </c>
    </row>
    <row r="117">
      <c r="A117" s="27">
        <f>HYPERLINK("https://arcprize.org/play?task=47c1f68c", 109)</f>
        <v>109</v>
      </c>
      <c r="B117" s="14">
        <f>IFERROR(__xludf.DUMMYFUNCTION("min(filter(Scores!B120:AX120,Scores!B120:AX120&gt;0))"),77.0)</f>
        <v>77</v>
      </c>
      <c r="C117" s="14">
        <v>2423.0</v>
      </c>
      <c r="D117" s="51" t="str">
        <f t="array" ref="D117">if(B117,if(countif(Scores!B120:AX120,B117)=1,concat("💎",XLOOKUP(B117,Scores!B120:AX120,Scores!B$1:AX$1)),concat("🥇 x",countif(Scores!B120:AX120,B117))),"")</f>
        <v>💎ox jam</v>
      </c>
      <c r="E117" s="14">
        <f>if(countif(Scores!B120:AX120,B117)=1,F117,-1)</f>
        <v>77</v>
      </c>
      <c r="F117" s="14">
        <f t="shared" si="1"/>
        <v>77</v>
      </c>
      <c r="G117" s="14">
        <f>IFERROR(__xludf.DUMMYFUNCTION("if(iferror(small(filter(Scores!B120:AX120,Scores!B120:AX120&gt;0),2),-1)&lt;&gt;F117,iferror(small(filter(Scores!B120:AX120,Scores!B120:AX120&gt;0),2),-1),-1)"),80.0)</f>
        <v>80</v>
      </c>
      <c r="H117" s="14">
        <f>IFERROR(__xludf.DUMMYFUNCTION("if(iferror(small(filter(Scores!B120:AX120,Scores!B120:AX120&gt;0),3),-1)&lt;&gt;iferror(small(filter(Scores!B120:AX120,Scores!B120:AX120&gt;0),2),-1),iferror(small(filter(Scores!B120:AX120,Scores!B120:AX120&gt;0),3),-1),-1)"),-1.0)</f>
        <v>-1</v>
      </c>
      <c r="I117" s="14">
        <f>IFERROR(__xludf.DUMMYFUNCTION("IFERROR(COLUMNS(filter(Scores!B120:AE120,Scores!B120:AE120)),"""")"),39.0)</f>
        <v>39</v>
      </c>
      <c r="J117" s="14">
        <f>COUNTIF(Scores!B120:AX120,B117)</f>
        <v>1</v>
      </c>
      <c r="K117" s="21">
        <f>IFERROR(__xludf.DUMMYFUNCTION("""COMPUTED_VALUE"""),109.0)</f>
        <v>109</v>
      </c>
      <c r="L117" s="36"/>
      <c r="S117" s="21">
        <v>39.0</v>
      </c>
      <c r="T117" s="14">
        <v>60.0</v>
      </c>
      <c r="U117" s="14">
        <v>2440.0</v>
      </c>
      <c r="W117" s="21">
        <v>79.0</v>
      </c>
      <c r="X117" s="14">
        <v>105.0</v>
      </c>
      <c r="Y117" s="14">
        <v>2395.0</v>
      </c>
      <c r="AA117" s="21">
        <v>206.0</v>
      </c>
      <c r="AB117" s="14">
        <v>37.0</v>
      </c>
      <c r="AC117" s="14">
        <v>139.0</v>
      </c>
    </row>
    <row r="118">
      <c r="A118" s="27">
        <f>HYPERLINK("https://arcprize.org/play?task=484b58aa", 110)</f>
        <v>110</v>
      </c>
      <c r="B118" s="14">
        <f>IFERROR(__xludf.DUMMYFUNCTION("min(filter(Scores!B121:AX121,Scores!B121:AX121&gt;0))"),83.0)</f>
        <v>83</v>
      </c>
      <c r="C118" s="14">
        <v>2417.0</v>
      </c>
      <c r="D118" s="51" t="str">
        <f t="array" ref="D118">if(B118,if(countif(Scores!B121:AX121,B118)=1,concat("💎",XLOOKUP(B118,Scores!B121:AX121,Scores!B$1:AX$1)),concat("🥇 x",countif(Scores!B121:AX121,B118))),"")</f>
        <v>💎LogicLynx</v>
      </c>
      <c r="E118" s="14">
        <f>if(countif(Scores!B121:AX121,B118)=1,F118,-1)</f>
        <v>83</v>
      </c>
      <c r="F118" s="14">
        <f t="shared" si="1"/>
        <v>83</v>
      </c>
      <c r="G118" s="14">
        <f>IFERROR(__xludf.DUMMYFUNCTION("if(iferror(small(filter(Scores!B121:AX121,Scores!B121:AX121&gt;0),2),-1)&lt;&gt;F118,iferror(small(filter(Scores!B121:AX121,Scores!B121:AX121&gt;0),2),-1),-1)"),84.0)</f>
        <v>84</v>
      </c>
      <c r="H118" s="14">
        <f>IFERROR(__xludf.DUMMYFUNCTION("if(iferror(small(filter(Scores!B121:AX121,Scores!B121:AX121&gt;0),3),-1)&lt;&gt;iferror(small(filter(Scores!B121:AX121,Scores!B121:AX121&gt;0),2),-1),iferror(small(filter(Scores!B121:AX121,Scores!B121:AX121&gt;0),3),-1),-1)"),-1.0)</f>
        <v>-1</v>
      </c>
      <c r="I118" s="14">
        <f>IFERROR(__xludf.DUMMYFUNCTION("IFERROR(COLUMNS(filter(Scores!B121:AE121,Scores!B121:AE121)),"""")"),37.0)</f>
        <v>37</v>
      </c>
      <c r="J118" s="14">
        <f>COUNTIF(Scores!B121:AX121,B118)</f>
        <v>1</v>
      </c>
      <c r="K118" s="21">
        <f>IFERROR(__xludf.DUMMYFUNCTION("""COMPUTED_VALUE"""),110.0)</f>
        <v>110</v>
      </c>
      <c r="L118" s="36"/>
      <c r="S118" s="21">
        <v>111.0</v>
      </c>
      <c r="T118" s="14">
        <v>60.0</v>
      </c>
      <c r="U118" s="14">
        <v>2440.0</v>
      </c>
      <c r="W118" s="21">
        <v>196.0</v>
      </c>
      <c r="X118" s="14">
        <v>105.0</v>
      </c>
      <c r="Y118" s="14">
        <v>2395.0</v>
      </c>
      <c r="AA118" s="21">
        <v>396.0</v>
      </c>
      <c r="AB118" s="14">
        <v>37.0</v>
      </c>
      <c r="AC118" s="14">
        <v>139.0</v>
      </c>
    </row>
    <row r="119">
      <c r="A119" s="27">
        <f>HYPERLINK("https://arcprize.org/play?task=48d8fb45", 111)</f>
        <v>111</v>
      </c>
      <c r="B119" s="14">
        <f>IFERROR(__xludf.DUMMYFUNCTION("min(filter(Scores!B122:AX122,Scores!B122:AX122&gt;0))"),60.0)</f>
        <v>60</v>
      </c>
      <c r="C119" s="14">
        <v>2440.0</v>
      </c>
      <c r="D119" s="51" t="str">
        <f t="array" ref="D119">if(B119,if(countif(Scores!B122:AX122,B119)=1,concat("💎",XLOOKUP(B119,Scores!B122:AX122,Scores!B$1:AX$1)),concat("🥇 x",countif(Scores!B122:AX122,B119))),"")</f>
        <v>🥇 x5</v>
      </c>
      <c r="E119" s="14">
        <f>if(countif(Scores!B122:AX122,B119)=1,F119,-1)</f>
        <v>-1</v>
      </c>
      <c r="F119" s="14">
        <f t="shared" si="1"/>
        <v>60</v>
      </c>
      <c r="G119" s="14">
        <f>IFERROR(__xludf.DUMMYFUNCTION("if(iferror(small(filter(Scores!B122:AX122,Scores!B122:AX122&gt;0),2),-1)&lt;&gt;F119,iferror(small(filter(Scores!B122:AX122,Scores!B122:AX122&gt;0),2),-1),-1)"),-1.0)</f>
        <v>-1</v>
      </c>
      <c r="H119" s="14">
        <f>IFERROR(__xludf.DUMMYFUNCTION("if(iferror(small(filter(Scores!B122:AX122,Scores!B122:AX122&gt;0),3),-1)&lt;&gt;iferror(small(filter(Scores!B122:AX122,Scores!B122:AX122&gt;0),2),-1),iferror(small(filter(Scores!B122:AX122,Scores!B122:AX122&gt;0),3),-1),-1)"),-1.0)</f>
        <v>-1</v>
      </c>
      <c r="I119" s="14">
        <f>IFERROR(__xludf.DUMMYFUNCTION("IFERROR(COLUMNS(filter(Scores!B122:AE122,Scores!B122:AE122)),"""")"),43.0)</f>
        <v>43</v>
      </c>
      <c r="J119" s="14">
        <f>COUNTIF(Scores!B122:AX122,B119)</f>
        <v>5</v>
      </c>
      <c r="K119" s="21">
        <f>IFERROR(__xludf.DUMMYFUNCTION("""COMPUTED_VALUE"""),111.0)</f>
        <v>111</v>
      </c>
      <c r="L119" s="36"/>
      <c r="S119" s="21">
        <v>186.0</v>
      </c>
      <c r="T119" s="14">
        <v>60.0</v>
      </c>
      <c r="U119" s="14">
        <v>2440.0</v>
      </c>
      <c r="W119" s="21">
        <v>335.0</v>
      </c>
      <c r="X119" s="14">
        <v>105.0</v>
      </c>
      <c r="Y119" s="14">
        <v>2395.0</v>
      </c>
      <c r="AA119" s="21">
        <v>137.0</v>
      </c>
      <c r="AB119" s="14">
        <v>37.0</v>
      </c>
      <c r="AC119" s="14">
        <v>137.0</v>
      </c>
    </row>
    <row r="120">
      <c r="A120" s="27">
        <f>HYPERLINK("https://arcprize.org/play?task=4938f0c2", 112)</f>
        <v>112</v>
      </c>
      <c r="B120" s="14">
        <f>IFERROR(__xludf.DUMMYFUNCTION("min(filter(Scores!B123:AX123,Scores!B123:AX123&gt;0))"),91.0)</f>
        <v>91</v>
      </c>
      <c r="C120" s="14">
        <v>2409.0</v>
      </c>
      <c r="D120" s="51" t="str">
        <f t="array" ref="D120">if(B120,if(countif(Scores!B123:AX123,B120)=1,concat("💎",XLOOKUP(B120,Scores!B123:AX123,Scores!B$1:AX$1)),concat("🥇 x",countif(Scores!B123:AX123,B120))),"")</f>
        <v>🥇 x2</v>
      </c>
      <c r="E120" s="14">
        <f>if(countif(Scores!B123:AX123,B120)=1,F120,-1)</f>
        <v>-1</v>
      </c>
      <c r="F120" s="14">
        <f t="shared" si="1"/>
        <v>91</v>
      </c>
      <c r="G120" s="14">
        <f>IFERROR(__xludf.DUMMYFUNCTION("if(iferror(small(filter(Scores!B123:AX123,Scores!B123:AX123&gt;0),2),-1)&lt;&gt;F120,iferror(small(filter(Scores!B123:AX123,Scores!B123:AX123&gt;0),2),-1),-1)"),-1.0)</f>
        <v>-1</v>
      </c>
      <c r="H120" s="14">
        <f>IFERROR(__xludf.DUMMYFUNCTION("if(iferror(small(filter(Scores!B123:AX123,Scores!B123:AX123&gt;0),3),-1)&lt;&gt;iferror(small(filter(Scores!B123:AX123,Scores!B123:AX123&gt;0),2),-1),iferror(small(filter(Scores!B123:AX123,Scores!B123:AX123&gt;0),3),-1),-1)"),101.0)</f>
        <v>101</v>
      </c>
      <c r="I120" s="14">
        <f>IFERROR(__xludf.DUMMYFUNCTION("IFERROR(COLUMNS(filter(Scores!B123:AE123,Scores!B123:AE123)),"""")"),38.0)</f>
        <v>38</v>
      </c>
      <c r="J120" s="14">
        <f>COUNTIF(Scores!B123:AX123,B120)</f>
        <v>2</v>
      </c>
      <c r="K120" s="21">
        <f>IFERROR(__xludf.DUMMYFUNCTION("""COMPUTED_VALUE"""),112.0)</f>
        <v>112</v>
      </c>
      <c r="L120" s="36"/>
      <c r="S120" s="21">
        <v>130.0</v>
      </c>
      <c r="T120" s="14">
        <v>61.0</v>
      </c>
      <c r="U120" s="14">
        <v>2439.0</v>
      </c>
      <c r="W120" s="21">
        <v>246.0</v>
      </c>
      <c r="X120" s="14">
        <v>104.0</v>
      </c>
      <c r="Y120" s="14">
        <v>2396.0</v>
      </c>
      <c r="AA120" s="21">
        <v>64.0</v>
      </c>
      <c r="AB120" s="14">
        <v>37.0</v>
      </c>
      <c r="AC120" s="14">
        <v>135.0</v>
      </c>
    </row>
    <row r="121">
      <c r="A121" s="27">
        <f>HYPERLINK("https://arcprize.org/play?task=496994bd", 113)</f>
        <v>113</v>
      </c>
      <c r="B121" s="14">
        <f>IFERROR(__xludf.DUMMYFUNCTION("min(filter(Scores!B124:AX124,Scores!B124:AX124&gt;0))"),25.0)</f>
        <v>25</v>
      </c>
      <c r="C121" s="14">
        <v>2475.0</v>
      </c>
      <c r="D121" s="51" t="str">
        <f t="array" ref="D121">if(B121,if(countif(Scores!B124:AX124,B121)=1,concat("💎",XLOOKUP(B121,Scores!B124:AX124,Scores!B$1:AX$1)),concat("🥇 x",countif(Scores!B124:AX124,B121))),"")</f>
        <v>🥇 x31</v>
      </c>
      <c r="E121" s="14">
        <f>if(countif(Scores!B124:AX124,B121)=1,F121,-1)</f>
        <v>-1</v>
      </c>
      <c r="F121" s="14">
        <f t="shared" si="1"/>
        <v>25</v>
      </c>
      <c r="G121" s="14">
        <f>IFERROR(__xludf.DUMMYFUNCTION("if(iferror(small(filter(Scores!B124:AX124,Scores!B124:AX124&gt;0),2),-1)&lt;&gt;F121,iferror(small(filter(Scores!B124:AX124,Scores!B124:AX124&gt;0),2),-1),-1)"),-1.0)</f>
        <v>-1</v>
      </c>
      <c r="H121" s="14">
        <f>IFERROR(__xludf.DUMMYFUNCTION("if(iferror(small(filter(Scores!B124:AX124,Scores!B124:AX124&gt;0),3),-1)&lt;&gt;iferror(small(filter(Scores!B124:AX124,Scores!B124:AX124&gt;0),2),-1),iferror(small(filter(Scores!B124:AX124,Scores!B124:AX124&gt;0),3),-1),-1)"),-1.0)</f>
        <v>-1</v>
      </c>
      <c r="I121" s="14">
        <f>IFERROR(__xludf.DUMMYFUNCTION("IFERROR(COLUMNS(filter(Scores!B124:AE124,Scores!B124:AE124)),"""")"),45.0)</f>
        <v>45</v>
      </c>
      <c r="J121" s="14">
        <f>COUNTIF(Scores!B124:AX124,B121)</f>
        <v>31</v>
      </c>
      <c r="K121" s="21">
        <f>IFERROR(__xludf.DUMMYFUNCTION("""COMPUTED_VALUE"""),113.0)</f>
        <v>113</v>
      </c>
      <c r="L121" s="36"/>
      <c r="S121" s="21">
        <v>166.0</v>
      </c>
      <c r="T121" s="14">
        <v>61.0</v>
      </c>
      <c r="U121" s="14">
        <v>2439.0</v>
      </c>
      <c r="W121" s="21">
        <v>265.0</v>
      </c>
      <c r="X121" s="14">
        <v>104.0</v>
      </c>
      <c r="Y121" s="14">
        <v>2396.0</v>
      </c>
      <c r="AA121" s="21">
        <v>378.0</v>
      </c>
      <c r="AB121" s="14">
        <v>37.0</v>
      </c>
      <c r="AC121" s="14">
        <v>131.0</v>
      </c>
    </row>
    <row r="122">
      <c r="A122" s="27">
        <f>HYPERLINK("https://arcprize.org/play?task=49d1d64f", 114)</f>
        <v>114</v>
      </c>
      <c r="B122" s="14">
        <f>IFERROR(__xludf.DUMMYFUNCTION("min(filter(Scores!B125:AX125,Scores!B125:AX125&gt;0))"),64.0)</f>
        <v>64</v>
      </c>
      <c r="C122" s="14">
        <v>2436.0</v>
      </c>
      <c r="D122" s="51" t="str">
        <f t="array" ref="D122">if(B122,if(countif(Scores!B125:AX125,B122)=1,concat("💎",XLOOKUP(B122,Scores!B125:AX125,Scores!B$1:AX$1)),concat("🥇 x",countif(Scores!B125:AX125,B122))),"")</f>
        <v>🥇 x4</v>
      </c>
      <c r="E122" s="14">
        <f>if(countif(Scores!B125:AX125,B122)=1,F122,-1)</f>
        <v>-1</v>
      </c>
      <c r="F122" s="14">
        <f t="shared" si="1"/>
        <v>64</v>
      </c>
      <c r="G122" s="14">
        <f>IFERROR(__xludf.DUMMYFUNCTION("if(iferror(small(filter(Scores!B125:AX125,Scores!B125:AX125&gt;0),2),-1)&lt;&gt;F122,iferror(small(filter(Scores!B125:AX125,Scores!B125:AX125&gt;0),2),-1),-1)"),-1.0)</f>
        <v>-1</v>
      </c>
      <c r="H122" s="14">
        <f>IFERROR(__xludf.DUMMYFUNCTION("if(iferror(small(filter(Scores!B125:AX125,Scores!B125:AX125&gt;0),3),-1)&lt;&gt;iferror(small(filter(Scores!B125:AX125,Scores!B125:AX125&gt;0),2),-1),iferror(small(filter(Scores!B125:AX125,Scores!B125:AX125&gt;0),3),-1),-1)"),-1.0)</f>
        <v>-1</v>
      </c>
      <c r="I122" s="14">
        <f>IFERROR(__xludf.DUMMYFUNCTION("IFERROR(COLUMNS(filter(Scores!B125:AE125,Scores!B125:AE125)),"""")"),42.0)</f>
        <v>42</v>
      </c>
      <c r="J122" s="14">
        <f>COUNTIF(Scores!B125:AX125,B122)</f>
        <v>4</v>
      </c>
      <c r="K122" s="21">
        <f>IFERROR(__xludf.DUMMYFUNCTION("""COMPUTED_VALUE"""),114.0)</f>
        <v>114</v>
      </c>
      <c r="L122" s="36"/>
      <c r="S122" s="21">
        <v>176.0</v>
      </c>
      <c r="T122" s="14">
        <v>61.0</v>
      </c>
      <c r="U122" s="14">
        <v>2439.0</v>
      </c>
      <c r="W122" s="21">
        <v>278.0</v>
      </c>
      <c r="X122" s="14">
        <v>104.0</v>
      </c>
      <c r="Y122" s="14">
        <v>2396.0</v>
      </c>
      <c r="AA122" s="21">
        <v>163.0</v>
      </c>
      <c r="AB122" s="14">
        <v>37.0</v>
      </c>
      <c r="AC122" s="14">
        <v>130.0</v>
      </c>
    </row>
    <row r="123" ht="17.25" customHeight="1">
      <c r="A123" s="27">
        <f>HYPERLINK("https://arcprize.org/play?task=4be741c5", 115)</f>
        <v>115</v>
      </c>
      <c r="B123" s="14">
        <f>IFERROR(__xludf.DUMMYFUNCTION("min(filter(Scores!B126:AX126,Scores!B126:AX126&gt;0))"),51.0)</f>
        <v>51</v>
      </c>
      <c r="C123" s="14">
        <v>2449.0</v>
      </c>
      <c r="D123" s="51" t="str">
        <f t="array" ref="D123">if(B123,if(countif(Scores!B126:AX126,B123)=1,concat("💎",XLOOKUP(B123,Scores!B126:AX126,Scores!B$1:AX$1)),concat("🥇 x",countif(Scores!B126:AX126,B123))),"")</f>
        <v>🥇 x2</v>
      </c>
      <c r="E123" s="14">
        <f>if(countif(Scores!B126:AX126,B123)=1,F123,-1)</f>
        <v>-1</v>
      </c>
      <c r="F123" s="14">
        <f t="shared" si="1"/>
        <v>51</v>
      </c>
      <c r="G123" s="14">
        <f>IFERROR(__xludf.DUMMYFUNCTION("if(iferror(small(filter(Scores!B126:AX126,Scores!B126:AX126&gt;0),2),-1)&lt;&gt;F123,iferror(small(filter(Scores!B126:AX126,Scores!B126:AX126&gt;0),2),-1),-1)"),-1.0)</f>
        <v>-1</v>
      </c>
      <c r="H123" s="14">
        <f>IFERROR(__xludf.DUMMYFUNCTION("if(iferror(small(filter(Scores!B126:AX126,Scores!B126:AX126&gt;0),3),-1)&lt;&gt;iferror(small(filter(Scores!B126:AX126,Scores!B126:AX126&gt;0),2),-1),iferror(small(filter(Scores!B126:AX126,Scores!B126:AX126&gt;0),3),-1),-1)"),52.0)</f>
        <v>52</v>
      </c>
      <c r="I123" s="14">
        <f>IFERROR(__xludf.DUMMYFUNCTION("IFERROR(COLUMNS(filter(Scores!B126:AE126,Scores!B126:AE126)),"""")"),41.0)</f>
        <v>41</v>
      </c>
      <c r="J123" s="14">
        <f>COUNTIF(Scores!B126:AX126,B123)</f>
        <v>2</v>
      </c>
      <c r="K123" s="21">
        <f>IFERROR(__xludf.DUMMYFUNCTION("""COMPUTED_VALUE"""),115.0)</f>
        <v>115</v>
      </c>
      <c r="L123" s="36"/>
      <c r="S123" s="21">
        <v>214.0</v>
      </c>
      <c r="T123" s="14">
        <v>61.0</v>
      </c>
      <c r="U123" s="14">
        <v>2439.0</v>
      </c>
      <c r="W123" s="21">
        <v>286.0</v>
      </c>
      <c r="X123" s="14">
        <v>104.0</v>
      </c>
      <c r="Y123" s="14">
        <v>2396.0</v>
      </c>
      <c r="AA123" s="21">
        <v>34.0</v>
      </c>
      <c r="AB123" s="14">
        <v>37.0</v>
      </c>
      <c r="AC123" s="14">
        <v>116.0</v>
      </c>
    </row>
    <row r="124">
      <c r="A124" s="27">
        <f>HYPERLINK("https://arcprize.org/play?task=4c4377d9", 116)</f>
        <v>116</v>
      </c>
      <c r="B124" s="14">
        <f>IFERROR(__xludf.DUMMYFUNCTION("min(filter(Scores!B127:AX127,Scores!B127:AX127&gt;0))"),20.0)</f>
        <v>20</v>
      </c>
      <c r="C124" s="14">
        <v>2480.0</v>
      </c>
      <c r="D124" s="51" t="str">
        <f t="array" ref="D124">if(B124,if(countif(Scores!B127:AX127,B124)=1,concat("💎",XLOOKUP(B124,Scores!B127:AX127,Scores!B$1:AX$1)),concat("🥇 x",countif(Scores!B127:AX127,B124))),"")</f>
        <v>🥇 x43</v>
      </c>
      <c r="E124" s="14">
        <f>if(countif(Scores!B127:AX127,B124)=1,F124,-1)</f>
        <v>-1</v>
      </c>
      <c r="F124" s="14">
        <f t="shared" si="1"/>
        <v>20</v>
      </c>
      <c r="G124" s="14">
        <f>IFERROR(__xludf.DUMMYFUNCTION("if(iferror(small(filter(Scores!B127:AX127,Scores!B127:AX127&gt;0),2),-1)&lt;&gt;F124,iferror(small(filter(Scores!B127:AX127,Scores!B127:AX127&gt;0),2),-1),-1)"),-1.0)</f>
        <v>-1</v>
      </c>
      <c r="H124" s="14">
        <f>IFERROR(__xludf.DUMMYFUNCTION("if(iferror(small(filter(Scores!B127:AX127,Scores!B127:AX127&gt;0),3),-1)&lt;&gt;iferror(small(filter(Scores!B127:AX127,Scores!B127:AX127&gt;0),2),-1),iferror(small(filter(Scores!B127:AX127,Scores!B127:AX127&gt;0),3),-1),-1)"),-1.0)</f>
        <v>-1</v>
      </c>
      <c r="I124" s="14">
        <f>IFERROR(__xludf.DUMMYFUNCTION("IFERROR(COLUMNS(filter(Scores!B127:AE127,Scores!B127:AE127)),"""")"),45.0)</f>
        <v>45</v>
      </c>
      <c r="J124" s="14">
        <f>COUNTIF(Scores!B127:AX127,B124)</f>
        <v>43</v>
      </c>
      <c r="K124" s="21">
        <f>IFERROR(__xludf.DUMMYFUNCTION("""COMPUTED_VALUE"""),116.0)</f>
        <v>116</v>
      </c>
      <c r="L124" s="36"/>
      <c r="S124" s="21">
        <v>235.0</v>
      </c>
      <c r="T124" s="14">
        <v>61.0</v>
      </c>
      <c r="U124" s="14">
        <v>2439.0</v>
      </c>
      <c r="W124" s="21">
        <v>19.0</v>
      </c>
      <c r="X124" s="14">
        <v>103.0</v>
      </c>
      <c r="Y124" s="14">
        <v>2397.0</v>
      </c>
      <c r="AA124" s="21">
        <v>253.0</v>
      </c>
      <c r="AB124" s="14">
        <v>37.0</v>
      </c>
      <c r="AC124" s="14">
        <v>114.0</v>
      </c>
    </row>
    <row r="125">
      <c r="A125" s="27">
        <f>HYPERLINK("https://arcprize.org/play?task=4c5c2cf0", 117)</f>
        <v>117</v>
      </c>
      <c r="B125" s="14">
        <f>IFERROR(__xludf.DUMMYFUNCTION("min(filter(Scores!B128:AX128,Scores!B128:AX128&gt;0))"),115.0)</f>
        <v>115</v>
      </c>
      <c r="C125" s="14">
        <v>2385.0</v>
      </c>
      <c r="D125" s="51" t="str">
        <f t="array" ref="D125">if(B125,if(countif(Scores!B128:AX128,B125)=1,concat("💎",XLOOKUP(B125,Scores!B128:AX128,Scores!B$1:AX$1)),concat("🥇 x",countif(Scores!B128:AX128,B125))),"")</f>
        <v>💎Code Golf International</v>
      </c>
      <c r="E125" s="14">
        <f>if(countif(Scores!B128:AX128,B125)=1,F125,-1)</f>
        <v>115</v>
      </c>
      <c r="F125" s="14">
        <f t="shared" si="1"/>
        <v>115</v>
      </c>
      <c r="G125" s="14">
        <f>IFERROR(__xludf.DUMMYFUNCTION("if(iferror(small(filter(Scores!B128:AX128,Scores!B128:AX128&gt;0),2),-1)&lt;&gt;F125,iferror(small(filter(Scores!B128:AX128,Scores!B128:AX128&gt;0),2),-1),-1)"),130.0)</f>
        <v>130</v>
      </c>
      <c r="H125" s="14">
        <f>IFERROR(__xludf.DUMMYFUNCTION("if(iferror(small(filter(Scores!B128:AX128,Scores!B128:AX128&gt;0),3),-1)&lt;&gt;iferror(small(filter(Scores!B128:AX128,Scores!B128:AX128&gt;0),2),-1),iferror(small(filter(Scores!B128:AX128,Scores!B128:AX128&gt;0),3),-1),-1)"),147.0)</f>
        <v>147</v>
      </c>
      <c r="I125" s="14">
        <f>IFERROR(__xludf.DUMMYFUNCTION("IFERROR(COLUMNS(filter(Scores!B128:AE128,Scores!B128:AE128)),"""")"),34.0)</f>
        <v>34</v>
      </c>
      <c r="J125" s="14">
        <f>COUNTIF(Scores!B128:AX128,B125)</f>
        <v>1</v>
      </c>
      <c r="K125" s="21">
        <f>IFERROR(__xludf.DUMMYFUNCTION("""COMPUTED_VALUE"""),117.0)</f>
        <v>117</v>
      </c>
      <c r="L125" s="36"/>
      <c r="S125" s="21">
        <v>244.0</v>
      </c>
      <c r="T125" s="14">
        <v>61.0</v>
      </c>
      <c r="U125" s="14">
        <v>2439.0</v>
      </c>
      <c r="W125" s="21">
        <v>29.0</v>
      </c>
      <c r="X125" s="14">
        <v>103.0</v>
      </c>
      <c r="Y125" s="14">
        <v>2397.0</v>
      </c>
      <c r="AA125" s="21">
        <v>365.0</v>
      </c>
      <c r="AB125" s="14">
        <v>37.0</v>
      </c>
      <c r="AC125" s="14">
        <v>111.0</v>
      </c>
    </row>
    <row r="126">
      <c r="A126" s="27">
        <f>HYPERLINK("https://arcprize.org/play?task=50846271", 118)</f>
        <v>118</v>
      </c>
      <c r="B126" s="14">
        <f>IFERROR(__xludf.DUMMYFUNCTION("min(filter(Scores!B129:AX129,Scores!B129:AX129&gt;0))"),225.0)</f>
        <v>225</v>
      </c>
      <c r="C126" s="14">
        <v>2275.0</v>
      </c>
      <c r="D126" s="51" t="str">
        <f t="array" ref="D126">if(B126,if(countif(Scores!B129:AX129,B126)=1,concat("💎",XLOOKUP(B126,Scores!B129:AX129,Scores!B$1:AX$1)),concat("🥇 x",countif(Scores!B129:AX129,B126))),"")</f>
        <v>💎ox jam</v>
      </c>
      <c r="E126" s="14">
        <f>if(countif(Scores!B129:AX129,B126)=1,F126,-1)</f>
        <v>225</v>
      </c>
      <c r="F126" s="14">
        <f t="shared" si="1"/>
        <v>225</v>
      </c>
      <c r="G126" s="14">
        <f>IFERROR(__xludf.DUMMYFUNCTION("if(iferror(small(filter(Scores!B129:AX129,Scores!B129:AX129&gt;0),2),-1)&lt;&gt;F126,iferror(small(filter(Scores!B129:AX129,Scores!B129:AX129&gt;0),2),-1),-1)"),244.0)</f>
        <v>244</v>
      </c>
      <c r="H126" s="14">
        <f>IFERROR(__xludf.DUMMYFUNCTION("if(iferror(small(filter(Scores!B129:AX129,Scores!B129:AX129&gt;0),3),-1)&lt;&gt;iferror(small(filter(Scores!B129:AX129,Scores!B129:AX129&gt;0),2),-1),iferror(small(filter(Scores!B129:AX129,Scores!B129:AX129&gt;0),3),-1),-1)"),245.0)</f>
        <v>245</v>
      </c>
      <c r="I126" s="14">
        <f>IFERROR(__xludf.DUMMYFUNCTION("IFERROR(COLUMNS(filter(Scores!B129:AE129,Scores!B129:AE129)),"""")"),36.0)</f>
        <v>36</v>
      </c>
      <c r="J126" s="14">
        <f>COUNTIF(Scores!B129:AX129,B126)</f>
        <v>1</v>
      </c>
      <c r="K126" s="21">
        <f>IFERROR(__xludf.DUMMYFUNCTION("""COMPUTED_VALUE"""),118.0)</f>
        <v>118</v>
      </c>
      <c r="L126" s="36"/>
      <c r="S126" s="21">
        <v>258.0</v>
      </c>
      <c r="T126" s="14">
        <v>61.0</v>
      </c>
      <c r="U126" s="14">
        <v>2439.0</v>
      </c>
      <c r="W126" s="21">
        <v>138.0</v>
      </c>
      <c r="X126" s="14">
        <v>103.0</v>
      </c>
      <c r="Y126" s="14">
        <v>2397.0</v>
      </c>
      <c r="AA126" s="21">
        <v>234.0</v>
      </c>
      <c r="AB126" s="14">
        <v>37.0</v>
      </c>
      <c r="AC126" s="14">
        <v>106.0</v>
      </c>
    </row>
    <row r="127">
      <c r="A127" s="27">
        <f>HYPERLINK("https://arcprize.org/play?task=508bd3b6", 119)</f>
        <v>119</v>
      </c>
      <c r="B127" s="14">
        <f>IFERROR(__xludf.DUMMYFUNCTION("min(filter(Scores!B130:AX130,Scores!B130:AX130&gt;0))"),102.0)</f>
        <v>102</v>
      </c>
      <c r="C127" s="14">
        <v>2398.0</v>
      </c>
      <c r="D127" s="51" t="str">
        <f t="array" ref="D127">if(B127,if(countif(Scores!B130:AX130,B127)=1,concat("💎",XLOOKUP(B127,Scores!B130:AX130,Scores!B$1:AX$1)),concat("🥇 x",countif(Scores!B130:AX130,B127))),"")</f>
        <v>🥇 x4</v>
      </c>
      <c r="E127" s="14">
        <f>if(countif(Scores!B130:AX130,B127)=1,F127,-1)</f>
        <v>-1</v>
      </c>
      <c r="F127" s="14">
        <f t="shared" si="1"/>
        <v>102</v>
      </c>
      <c r="G127" s="14">
        <f>IFERROR(__xludf.DUMMYFUNCTION("if(iferror(small(filter(Scores!B130:AX130,Scores!B130:AX130&gt;0),2),-1)&lt;&gt;F127,iferror(small(filter(Scores!B130:AX130,Scores!B130:AX130&gt;0),2),-1),-1)"),-1.0)</f>
        <v>-1</v>
      </c>
      <c r="H127" s="14">
        <f>IFERROR(__xludf.DUMMYFUNCTION("if(iferror(small(filter(Scores!B130:AX130,Scores!B130:AX130&gt;0),3),-1)&lt;&gt;iferror(small(filter(Scores!B130:AX130,Scores!B130:AX130&gt;0),2),-1),iferror(small(filter(Scores!B130:AX130,Scores!B130:AX130&gt;0),3),-1),-1)"),-1.0)</f>
        <v>-1</v>
      </c>
      <c r="I127" s="14">
        <f>IFERROR(__xludf.DUMMYFUNCTION("IFERROR(COLUMNS(filter(Scores!B130:AE130,Scores!B130:AE130)),"""")"),35.0)</f>
        <v>35</v>
      </c>
      <c r="J127" s="14">
        <f>COUNTIF(Scores!B130:AX130,B127)</f>
        <v>4</v>
      </c>
      <c r="K127" s="21">
        <f>IFERROR(__xludf.DUMMYFUNCTION("""COMPUTED_VALUE"""),119.0)</f>
        <v>119</v>
      </c>
      <c r="L127" s="36"/>
      <c r="S127" s="21">
        <v>313.0</v>
      </c>
      <c r="T127" s="14">
        <v>61.0</v>
      </c>
      <c r="U127" s="14">
        <v>2439.0</v>
      </c>
      <c r="W127" s="21">
        <v>159.0</v>
      </c>
      <c r="X127" s="14">
        <v>103.0</v>
      </c>
      <c r="Y127" s="14">
        <v>2397.0</v>
      </c>
      <c r="AA127" s="21">
        <v>79.0</v>
      </c>
      <c r="AB127" s="14">
        <v>37.0</v>
      </c>
      <c r="AC127" s="14">
        <v>105.0</v>
      </c>
    </row>
    <row r="128">
      <c r="A128" s="27">
        <f>HYPERLINK("https://arcprize.org/play?task=50cb2852", 120)</f>
        <v>120</v>
      </c>
      <c r="B128" s="14">
        <f>IFERROR(__xludf.DUMMYFUNCTION("min(filter(Scores!B131:AX131,Scores!B131:AX131&gt;0))"),78.0)</f>
        <v>78</v>
      </c>
      <c r="C128" s="14">
        <v>2422.0</v>
      </c>
      <c r="D128" s="51" t="str">
        <f t="array" ref="D128">if(B128,if(countif(Scores!B131:AX131,B128)=1,concat("💎",XLOOKUP(B128,Scores!B131:AX131,Scores!B$1:AX$1)),concat("🥇 x",countif(Scores!B131:AX131,B128))),"")</f>
        <v>💎ox jam</v>
      </c>
      <c r="E128" s="14">
        <f>if(countif(Scores!B131:AX131,B128)=1,F128,-1)</f>
        <v>78</v>
      </c>
      <c r="F128" s="14">
        <f t="shared" si="1"/>
        <v>78</v>
      </c>
      <c r="G128" s="14">
        <f>IFERROR(__xludf.DUMMYFUNCTION("if(iferror(small(filter(Scores!B131:AX131,Scores!B131:AX131&gt;0),2),-1)&lt;&gt;F128,iferror(small(filter(Scores!B131:AX131,Scores!B131:AX131&gt;0),2),-1),-1)"),85.0)</f>
        <v>85</v>
      </c>
      <c r="H128" s="14">
        <f>IFERROR(__xludf.DUMMYFUNCTION("if(iferror(small(filter(Scores!B131:AX131,Scores!B131:AX131&gt;0),3),-1)&lt;&gt;iferror(small(filter(Scores!B131:AX131,Scores!B131:AX131&gt;0),2),-1),iferror(small(filter(Scores!B131:AX131,Scores!B131:AX131&gt;0),3),-1),-1)"),89.0)</f>
        <v>89</v>
      </c>
      <c r="I128" s="14">
        <f>IFERROR(__xludf.DUMMYFUNCTION("IFERROR(COLUMNS(filter(Scores!B131:AE131,Scores!B131:AE131)),"""")"),39.0)</f>
        <v>39</v>
      </c>
      <c r="J128" s="14">
        <f>COUNTIF(Scores!B131:AX131,B128)</f>
        <v>1</v>
      </c>
      <c r="K128" s="21">
        <f>IFERROR(__xludf.DUMMYFUNCTION("""COMPUTED_VALUE"""),120.0)</f>
        <v>120</v>
      </c>
      <c r="L128" s="36"/>
      <c r="S128" s="21">
        <v>384.0</v>
      </c>
      <c r="T128" s="14">
        <v>61.0</v>
      </c>
      <c r="U128" s="14">
        <v>2439.0</v>
      </c>
      <c r="W128" s="21">
        <v>190.0</v>
      </c>
      <c r="X128" s="14">
        <v>103.0</v>
      </c>
      <c r="Y128" s="14">
        <v>2397.0</v>
      </c>
      <c r="AA128" s="21">
        <v>204.0</v>
      </c>
      <c r="AB128" s="14">
        <v>37.0</v>
      </c>
      <c r="AC128" s="14">
        <v>93.0</v>
      </c>
    </row>
    <row r="129">
      <c r="A129" s="27">
        <f>HYPERLINK("https://arcprize.org/play?task=5117e062", 121)</f>
        <v>121</v>
      </c>
      <c r="B129" s="14">
        <f>IFERROR(__xludf.DUMMYFUNCTION("min(filter(Scores!B132:AX132,Scores!B132:AX132&gt;0))"),85.0)</f>
        <v>85</v>
      </c>
      <c r="C129" s="14">
        <v>2415.0</v>
      </c>
      <c r="D129" s="51" t="str">
        <f t="array" ref="D129">if(B129,if(countif(Scores!B132:AX132,B129)=1,concat("💎",XLOOKUP(B129,Scores!B132:AX132,Scores!B$1:AX$1)),concat("🥇 x",countif(Scores!B132:AX132,B129))),"")</f>
        <v>🥇 x2</v>
      </c>
      <c r="E129" s="14">
        <f>if(countif(Scores!B132:AX132,B129)=1,F129,-1)</f>
        <v>-1</v>
      </c>
      <c r="F129" s="14">
        <f t="shared" si="1"/>
        <v>85</v>
      </c>
      <c r="G129" s="14">
        <f>IFERROR(__xludf.DUMMYFUNCTION("if(iferror(small(filter(Scores!B132:AX132,Scores!B132:AX132&gt;0),2),-1)&lt;&gt;F129,iferror(small(filter(Scores!B132:AX132,Scores!B132:AX132&gt;0),2),-1),-1)"),-1.0)</f>
        <v>-1</v>
      </c>
      <c r="H129" s="14">
        <f>IFERROR(__xludf.DUMMYFUNCTION("if(iferror(small(filter(Scores!B132:AX132,Scores!B132:AX132&gt;0),3),-1)&lt;&gt;iferror(small(filter(Scores!B132:AX132,Scores!B132:AX132&gt;0),2),-1),iferror(small(filter(Scores!B132:AX132,Scores!B132:AX132&gt;0),3),-1),-1)"),86.0)</f>
        <v>86</v>
      </c>
      <c r="I129" s="14">
        <f>IFERROR(__xludf.DUMMYFUNCTION("IFERROR(COLUMNS(filter(Scores!B132:AE132,Scores!B132:AE132)),"""")"),39.0)</f>
        <v>39</v>
      </c>
      <c r="J129" s="14">
        <f>COUNTIF(Scores!B132:AX132,B129)</f>
        <v>2</v>
      </c>
      <c r="K129" s="21">
        <f>IFERROR(__xludf.DUMMYFUNCTION("""COMPUTED_VALUE"""),121.0)</f>
        <v>121</v>
      </c>
      <c r="L129" s="36"/>
      <c r="S129" s="21">
        <v>388.0</v>
      </c>
      <c r="T129" s="14">
        <v>61.0</v>
      </c>
      <c r="U129" s="14">
        <v>2439.0</v>
      </c>
      <c r="W129" s="21">
        <v>281.0</v>
      </c>
      <c r="X129" s="14">
        <v>103.0</v>
      </c>
      <c r="Y129" s="14">
        <v>2397.0</v>
      </c>
      <c r="AA129" s="21">
        <v>358.0</v>
      </c>
      <c r="AB129" s="14">
        <v>37.0</v>
      </c>
      <c r="AC129" s="14">
        <v>90.0</v>
      </c>
    </row>
    <row r="130">
      <c r="A130" s="27">
        <f>HYPERLINK("https://arcprize.org/play?task=5168d44c", 122)</f>
        <v>122</v>
      </c>
      <c r="B130" s="14">
        <f>IFERROR(__xludf.DUMMYFUNCTION("min(filter(Scores!B133:AX133,Scores!B133:AX133&gt;0))"),70.0)</f>
        <v>70</v>
      </c>
      <c r="C130" s="14">
        <v>2430.0</v>
      </c>
      <c r="D130" s="51" t="str">
        <f t="array" ref="D130">if(B130,if(countif(Scores!B133:AX133,B130)=1,concat("💎",XLOOKUP(B130,Scores!B133:AX133,Scores!B$1:AX$1)),concat("🥇 x",countif(Scores!B133:AX133,B130))),"")</f>
        <v>💎Code Golf International</v>
      </c>
      <c r="E130" s="14">
        <f>if(countif(Scores!B133:AX133,B130)=1,F130,-1)</f>
        <v>70</v>
      </c>
      <c r="F130" s="14">
        <f t="shared" si="1"/>
        <v>70</v>
      </c>
      <c r="G130" s="14">
        <f>IFERROR(__xludf.DUMMYFUNCTION("if(iferror(small(filter(Scores!B133:AX133,Scores!B133:AX133&gt;0),2),-1)&lt;&gt;F130,iferror(small(filter(Scores!B133:AX133,Scores!B133:AX133&gt;0),2),-1),-1)"),71.0)</f>
        <v>71</v>
      </c>
      <c r="H130" s="14">
        <f>IFERROR(__xludf.DUMMYFUNCTION("if(iferror(small(filter(Scores!B133:AX133,Scores!B133:AX133&gt;0),3),-1)&lt;&gt;iferror(small(filter(Scores!B133:AX133,Scores!B133:AX133&gt;0),2),-1),iferror(small(filter(Scores!B133:AX133,Scores!B133:AX133&gt;0),3),-1),-1)"),75.0)</f>
        <v>75</v>
      </c>
      <c r="I130" s="14">
        <f>IFERROR(__xludf.DUMMYFUNCTION("IFERROR(COLUMNS(filter(Scores!B133:AE133,Scores!B133:AE133)),"""")"),35.0)</f>
        <v>35</v>
      </c>
      <c r="J130" s="14">
        <f>COUNTIF(Scores!B133:AX133,B130)</f>
        <v>1</v>
      </c>
      <c r="K130" s="21">
        <f>IFERROR(__xludf.DUMMYFUNCTION("""COMPUTED_VALUE"""),122.0)</f>
        <v>122</v>
      </c>
      <c r="L130" s="36"/>
      <c r="S130" s="21">
        <v>7.0</v>
      </c>
      <c r="T130" s="14">
        <v>62.0</v>
      </c>
      <c r="U130" s="14">
        <v>2438.0</v>
      </c>
      <c r="W130" s="21">
        <v>374.0</v>
      </c>
      <c r="X130" s="14">
        <v>103.0</v>
      </c>
      <c r="Y130" s="14">
        <v>2397.0</v>
      </c>
      <c r="AA130" s="21">
        <v>174.0</v>
      </c>
      <c r="AB130" s="14">
        <v>37.0</v>
      </c>
      <c r="AC130" s="14">
        <v>89.0</v>
      </c>
    </row>
    <row r="131">
      <c r="A131" s="27">
        <f>HYPERLINK("https://arcprize.org/play?task=539a4f51", 123)</f>
        <v>123</v>
      </c>
      <c r="B131" s="14">
        <f>IFERROR(__xludf.DUMMYFUNCTION("min(filter(Scores!B134:AX134,Scores!B134:AX134&gt;0))"),71.0)</f>
        <v>71</v>
      </c>
      <c r="C131" s="14">
        <v>2429.0</v>
      </c>
      <c r="D131" s="51" t="str">
        <f t="array" ref="D131">if(B131,if(countif(Scores!B134:AX134,B131)=1,concat("💎",XLOOKUP(B131,Scores!B134:AX134,Scores!B$1:AX$1)),concat("🥇 x",countif(Scores!B134:AX134,B131))),"")</f>
        <v>🥇 x3</v>
      </c>
      <c r="E131" s="14">
        <f>if(countif(Scores!B134:AX134,B131)=1,F131,-1)</f>
        <v>-1</v>
      </c>
      <c r="F131" s="14">
        <f t="shared" si="1"/>
        <v>71</v>
      </c>
      <c r="G131" s="14">
        <f>IFERROR(__xludf.DUMMYFUNCTION("if(iferror(small(filter(Scores!B134:AX134,Scores!B134:AX134&gt;0),2),-1)&lt;&gt;F131,iferror(small(filter(Scores!B134:AX134,Scores!B134:AX134&gt;0),2),-1),-1)"),-1.0)</f>
        <v>-1</v>
      </c>
      <c r="H131" s="14">
        <f>IFERROR(__xludf.DUMMYFUNCTION("if(iferror(small(filter(Scores!B134:AX134,Scores!B134:AX134&gt;0),3),-1)&lt;&gt;iferror(small(filter(Scores!B134:AX134,Scores!B134:AX134&gt;0),2),-1),iferror(small(filter(Scores!B134:AX134,Scores!B134:AX134&gt;0),3),-1),-1)"),-1.0)</f>
        <v>-1</v>
      </c>
      <c r="I131" s="14">
        <f>IFERROR(__xludf.DUMMYFUNCTION("IFERROR(COLUMNS(filter(Scores!B134:AE134,Scores!B134:AE134)),"""")"),39.0)</f>
        <v>39</v>
      </c>
      <c r="J131" s="14">
        <f>COUNTIF(Scores!B134:AX134,B131)</f>
        <v>3</v>
      </c>
      <c r="K131" s="21">
        <f>IFERROR(__xludf.DUMMYFUNCTION("""COMPUTED_VALUE"""),123.0)</f>
        <v>123</v>
      </c>
      <c r="L131" s="36"/>
      <c r="S131" s="21">
        <v>24.0</v>
      </c>
      <c r="T131" s="14">
        <v>62.0</v>
      </c>
      <c r="U131" s="14">
        <v>2438.0</v>
      </c>
      <c r="W131" s="21">
        <v>119.0</v>
      </c>
      <c r="X131" s="14">
        <v>102.0</v>
      </c>
      <c r="Y131" s="14">
        <v>2398.0</v>
      </c>
      <c r="AA131" s="21">
        <v>110.0</v>
      </c>
      <c r="AB131" s="14">
        <v>37.0</v>
      </c>
      <c r="AC131" s="14">
        <v>83.0</v>
      </c>
    </row>
    <row r="132">
      <c r="A132" s="27">
        <f>HYPERLINK("https://arcprize.org/play?task=53b68214", 124)</f>
        <v>124</v>
      </c>
      <c r="B132" s="14">
        <f>IFERROR(__xludf.DUMMYFUNCTION("min(filter(Scores!B135:AX135,Scores!B135:AX135&gt;0))"),95.0)</f>
        <v>95</v>
      </c>
      <c r="C132" s="14">
        <v>2405.0</v>
      </c>
      <c r="D132" s="51" t="str">
        <f t="array" ref="D132">if(B132,if(countif(Scores!B135:AX135,B132)=1,concat("💎",XLOOKUP(B132,Scores!B135:AX135,Scores!B$1:AX$1)),concat("🥇 x",countif(Scores!B135:AX135,B132))),"")</f>
        <v>💎ox jam</v>
      </c>
      <c r="E132" s="14">
        <f>if(countif(Scores!B135:AX135,B132)=1,F132,-1)</f>
        <v>95</v>
      </c>
      <c r="F132" s="14">
        <f t="shared" si="1"/>
        <v>95</v>
      </c>
      <c r="G132" s="14">
        <f>IFERROR(__xludf.DUMMYFUNCTION("if(iferror(small(filter(Scores!B135:AX135,Scores!B135:AX135&gt;0),2),-1)&lt;&gt;F132,iferror(small(filter(Scores!B135:AX135,Scores!B135:AX135&gt;0),2),-1),-1)"),96.0)</f>
        <v>96</v>
      </c>
      <c r="H132" s="14">
        <f>IFERROR(__xludf.DUMMYFUNCTION("if(iferror(small(filter(Scores!B135:AX135,Scores!B135:AX135&gt;0),3),-1)&lt;&gt;iferror(small(filter(Scores!B135:AX135,Scores!B135:AX135&gt;0),2),-1),iferror(small(filter(Scores!B135:AX135,Scores!B135:AX135&gt;0),3),-1),-1)"),97.0)</f>
        <v>97</v>
      </c>
      <c r="I132" s="14">
        <f>IFERROR(__xludf.DUMMYFUNCTION("IFERROR(COLUMNS(filter(Scores!B135:AE135,Scores!B135:AE135)),"""")"),36.0)</f>
        <v>36</v>
      </c>
      <c r="J132" s="14">
        <f>COUNTIF(Scores!B135:AX135,B132)</f>
        <v>1</v>
      </c>
      <c r="K132" s="21">
        <f>IFERROR(__xludf.DUMMYFUNCTION("""COMPUTED_VALUE"""),124.0)</f>
        <v>124</v>
      </c>
      <c r="L132" s="36"/>
      <c r="S132" s="21">
        <v>61.0</v>
      </c>
      <c r="T132" s="14">
        <v>62.0</v>
      </c>
      <c r="U132" s="14">
        <v>2438.0</v>
      </c>
      <c r="W132" s="21">
        <v>371.0</v>
      </c>
      <c r="X132" s="14">
        <v>102.0</v>
      </c>
      <c r="Y132" s="14">
        <v>2398.0</v>
      </c>
      <c r="AA132" s="21">
        <v>333.0</v>
      </c>
      <c r="AB132" s="14">
        <v>37.0</v>
      </c>
      <c r="AC132" s="14">
        <v>83.0</v>
      </c>
    </row>
    <row r="133">
      <c r="A133" s="27">
        <f>HYPERLINK("https://arcprize.org/play?task=543a7ed5", 125)</f>
        <v>125</v>
      </c>
      <c r="B133" s="14">
        <f>IFERROR(__xludf.DUMMYFUNCTION("min(filter(Scores!B136:AX136,Scores!B136:AX136&gt;0))"),110.0)</f>
        <v>110</v>
      </c>
      <c r="C133" s="14">
        <v>2390.0</v>
      </c>
      <c r="D133" s="51" t="str">
        <f t="array" ref="D133">if(B133,if(countif(Scores!B136:AX136,B133)=1,concat("💎",XLOOKUP(B133,Scores!B136:AX136,Scores!B$1:AX$1)),concat("🥇 x",countif(Scores!B136:AX136,B133))),"")</f>
        <v>💎jailctf merger</v>
      </c>
      <c r="E133" s="14">
        <f>if(countif(Scores!B136:AX136,B133)=1,F133,-1)</f>
        <v>110</v>
      </c>
      <c r="F133" s="14">
        <f t="shared" si="1"/>
        <v>110</v>
      </c>
      <c r="G133" s="14">
        <f>IFERROR(__xludf.DUMMYFUNCTION("if(iferror(small(filter(Scores!B136:AX136,Scores!B136:AX136&gt;0),2),-1)&lt;&gt;F133,iferror(small(filter(Scores!B136:AX136,Scores!B136:AX136&gt;0),2),-1),-1)"),116.0)</f>
        <v>116</v>
      </c>
      <c r="H133" s="14">
        <f>IFERROR(__xludf.DUMMYFUNCTION("if(iferror(small(filter(Scores!B136:AX136,Scores!B136:AX136&gt;0),3),-1)&lt;&gt;iferror(small(filter(Scores!B136:AX136,Scores!B136:AX136&gt;0),2),-1),iferror(small(filter(Scores!B136:AX136,Scores!B136:AX136&gt;0),3),-1),-1)"),118.0)</f>
        <v>118</v>
      </c>
      <c r="I133" s="14">
        <f>IFERROR(__xludf.DUMMYFUNCTION("IFERROR(COLUMNS(filter(Scores!B136:AE136,Scores!B136:AE136)),"""")"),35.0)</f>
        <v>35</v>
      </c>
      <c r="J133" s="14">
        <f>COUNTIF(Scores!B136:AX136,B133)</f>
        <v>1</v>
      </c>
      <c r="K133" s="21">
        <f>IFERROR(__xludf.DUMMYFUNCTION("""COMPUTED_VALUE"""),125.0)</f>
        <v>125</v>
      </c>
      <c r="L133" s="36"/>
      <c r="S133" s="21">
        <v>84.0</v>
      </c>
      <c r="T133" s="14">
        <v>62.0</v>
      </c>
      <c r="U133" s="14">
        <v>2438.0</v>
      </c>
      <c r="W133" s="21">
        <v>37.0</v>
      </c>
      <c r="X133" s="14">
        <v>101.0</v>
      </c>
      <c r="Y133" s="14">
        <v>2399.0</v>
      </c>
      <c r="AA133" s="21">
        <v>314.0</v>
      </c>
      <c r="AB133" s="14">
        <v>37.0</v>
      </c>
      <c r="AC133" s="14">
        <v>82.0</v>
      </c>
    </row>
    <row r="134">
      <c r="A134" s="27">
        <f>HYPERLINK("https://arcprize.org/play?task=54d82841", 126)</f>
        <v>126</v>
      </c>
      <c r="B134" s="14">
        <f>IFERROR(__xludf.DUMMYFUNCTION("min(filter(Scores!B137:AX137,Scores!B137:AX137&gt;0))"),54.0)</f>
        <v>54</v>
      </c>
      <c r="C134" s="14">
        <v>2446.0</v>
      </c>
      <c r="D134" s="51" t="str">
        <f t="array" ref="D134">if(B134,if(countif(Scores!B137:AX137,B134)=1,concat("💎",XLOOKUP(B134,Scores!B137:AX137,Scores!B$1:AX$1)),concat("🥇 x",countif(Scores!B137:AX137,B134))),"")</f>
        <v>🥇 x9</v>
      </c>
      <c r="E134" s="14">
        <f>if(countif(Scores!B137:AX137,B134)=1,F134,-1)</f>
        <v>-1</v>
      </c>
      <c r="F134" s="14">
        <f t="shared" si="1"/>
        <v>54</v>
      </c>
      <c r="G134" s="14">
        <f>IFERROR(__xludf.DUMMYFUNCTION("if(iferror(small(filter(Scores!B137:AX137,Scores!B137:AX137&gt;0),2),-1)&lt;&gt;F134,iferror(small(filter(Scores!B137:AX137,Scores!B137:AX137&gt;0),2),-1),-1)"),-1.0)</f>
        <v>-1</v>
      </c>
      <c r="H134" s="14">
        <f>IFERROR(__xludf.DUMMYFUNCTION("if(iferror(small(filter(Scores!B137:AX137,Scores!B137:AX137&gt;0),3),-1)&lt;&gt;iferror(small(filter(Scores!B137:AX137,Scores!B137:AX137&gt;0),2),-1),iferror(small(filter(Scores!B137:AX137,Scores!B137:AX137&gt;0),3),-1),-1)"),-1.0)</f>
        <v>-1</v>
      </c>
      <c r="I134" s="14">
        <f>IFERROR(__xludf.DUMMYFUNCTION("IFERROR(COLUMNS(filter(Scores!B137:AE137,Scores!B137:AE137)),"""")"),45.0)</f>
        <v>45</v>
      </c>
      <c r="J134" s="14">
        <f>COUNTIF(Scores!B137:AX137,B134)</f>
        <v>9</v>
      </c>
      <c r="K134" s="21">
        <f>IFERROR(__xludf.DUMMYFUNCTION("""COMPUTED_VALUE"""),126.0)</f>
        <v>126</v>
      </c>
      <c r="L134" s="36"/>
      <c r="S134" s="21">
        <v>91.0</v>
      </c>
      <c r="T134" s="14">
        <v>62.0</v>
      </c>
      <c r="U134" s="14">
        <v>2438.0</v>
      </c>
      <c r="W134" s="21">
        <v>71.0</v>
      </c>
      <c r="X134" s="14">
        <v>100.0</v>
      </c>
      <c r="Y134" s="14">
        <v>2400.0</v>
      </c>
      <c r="AA134" s="21">
        <v>359.0</v>
      </c>
      <c r="AB134" s="14">
        <v>37.0</v>
      </c>
      <c r="AC134" s="14">
        <v>64.0</v>
      </c>
    </row>
    <row r="135">
      <c r="A135" s="27">
        <f>HYPERLINK("https://arcprize.org/play?task=54d9e175", 127)</f>
        <v>127</v>
      </c>
      <c r="B135" s="14">
        <f>IFERROR(__xludf.DUMMYFUNCTION("min(filter(Scores!B138:AX138,Scores!B138:AX138&gt;0))"),57.0)</f>
        <v>57</v>
      </c>
      <c r="C135" s="14">
        <v>2443.0</v>
      </c>
      <c r="D135" s="51" t="str">
        <f t="array" ref="D135">if(B135,if(countif(Scores!B138:AX138,B135)=1,concat("💎",XLOOKUP(B135,Scores!B138:AX138,Scores!B$1:AX$1)),concat("🥇 x",countif(Scores!B138:AX138,B135))),"")</f>
        <v>💎Code Golf International</v>
      </c>
      <c r="E135" s="14">
        <f>if(countif(Scores!B138:AX138,B135)=1,F135,-1)</f>
        <v>57</v>
      </c>
      <c r="F135" s="14">
        <f t="shared" si="1"/>
        <v>57</v>
      </c>
      <c r="G135" s="14">
        <f>IFERROR(__xludf.DUMMYFUNCTION("if(iferror(small(filter(Scores!B138:AX138,Scores!B138:AX138&gt;0),2),-1)&lt;&gt;F135,iferror(small(filter(Scores!B138:AX138,Scores!B138:AX138&gt;0),2),-1),-1)"),59.0)</f>
        <v>59</v>
      </c>
      <c r="H135" s="14">
        <f>IFERROR(__xludf.DUMMYFUNCTION("if(iferror(small(filter(Scores!B138:AX138,Scores!B138:AX138&gt;0),3),-1)&lt;&gt;iferror(small(filter(Scores!B138:AX138,Scores!B138:AX138&gt;0),2),-1),iferror(small(filter(Scores!B138:AX138,Scores!B138:AX138&gt;0),3),-1),-1)"),63.0)</f>
        <v>63</v>
      </c>
      <c r="I135" s="14">
        <f>IFERROR(__xludf.DUMMYFUNCTION("IFERROR(COLUMNS(filter(Scores!B138:AE138,Scores!B138:AE138)),"""")"),42.0)</f>
        <v>42</v>
      </c>
      <c r="J135" s="14">
        <f>COUNTIF(Scores!B138:AX138,B135)</f>
        <v>1</v>
      </c>
      <c r="K135" s="21">
        <f>IFERROR(__xludf.DUMMYFUNCTION("""COMPUTED_VALUE"""),127.0)</f>
        <v>127</v>
      </c>
      <c r="L135" s="36"/>
      <c r="S135" s="21">
        <v>303.0</v>
      </c>
      <c r="T135" s="14">
        <v>62.0</v>
      </c>
      <c r="U135" s="14">
        <v>2438.0</v>
      </c>
      <c r="W135" s="21">
        <v>151.0</v>
      </c>
      <c r="X135" s="14">
        <v>100.0</v>
      </c>
      <c r="Y135" s="14">
        <v>2400.0</v>
      </c>
      <c r="AA135" s="21">
        <v>157.0</v>
      </c>
      <c r="AB135" s="14">
        <v>38.0</v>
      </c>
      <c r="AC135" s="14">
        <v>237.0</v>
      </c>
    </row>
    <row r="136">
      <c r="A136" s="27">
        <f>HYPERLINK("https://arcprize.org/play?task=5521c0d9", 128)</f>
        <v>128</v>
      </c>
      <c r="B136" s="14">
        <f>IFERROR(__xludf.DUMMYFUNCTION("min(filter(Scores!B139:AX139,Scores!B139:AX139&gt;0))"),57.0)</f>
        <v>57</v>
      </c>
      <c r="C136" s="14">
        <v>2443.0</v>
      </c>
      <c r="D136" s="51" t="str">
        <f t="array" ref="D136">if(B136,if(countif(Scores!B139:AX139,B136)=1,concat("💎",XLOOKUP(B136,Scores!B139:AX139,Scores!B$1:AX$1)),concat("🥇 x",countif(Scores!B139:AX139,B136))),"")</f>
        <v>💎Code Golf International</v>
      </c>
      <c r="E136" s="14">
        <f>if(countif(Scores!B139:AX139,B136)=1,F136,-1)</f>
        <v>57</v>
      </c>
      <c r="F136" s="14">
        <f t="shared" si="1"/>
        <v>57</v>
      </c>
      <c r="G136" s="14">
        <f>IFERROR(__xludf.DUMMYFUNCTION("if(iferror(small(filter(Scores!B139:AX139,Scores!B139:AX139&gt;0),2),-1)&lt;&gt;F136,iferror(small(filter(Scores!B139:AX139,Scores!B139:AX139&gt;0),2),-1),-1)"),59.0)</f>
        <v>59</v>
      </c>
      <c r="H136" s="14">
        <f>IFERROR(__xludf.DUMMYFUNCTION("if(iferror(small(filter(Scores!B139:AX139,Scores!B139:AX139&gt;0),3),-1)&lt;&gt;iferror(small(filter(Scores!B139:AX139,Scores!B139:AX139&gt;0),2),-1),iferror(small(filter(Scores!B139:AX139,Scores!B139:AX139&gt;0),3),-1),-1)"),-1.0)</f>
        <v>-1</v>
      </c>
      <c r="I136" s="14">
        <f>IFERROR(__xludf.DUMMYFUNCTION("IFERROR(COLUMNS(filter(Scores!B139:AE139,Scores!B139:AE139)),"""")"),41.0)</f>
        <v>41</v>
      </c>
      <c r="J136" s="14">
        <f>COUNTIF(Scores!B139:AX139,B136)</f>
        <v>1</v>
      </c>
      <c r="K136" s="21">
        <f>IFERROR(__xludf.DUMMYFUNCTION("""COMPUTED_VALUE"""),128.0)</f>
        <v>128</v>
      </c>
      <c r="L136" s="36"/>
      <c r="S136" s="21">
        <v>338.0</v>
      </c>
      <c r="T136" s="14">
        <v>62.0</v>
      </c>
      <c r="U136" s="14">
        <v>2438.0</v>
      </c>
      <c r="W136" s="21">
        <v>160.0</v>
      </c>
      <c r="X136" s="14">
        <v>100.0</v>
      </c>
      <c r="Y136" s="14">
        <v>2400.0</v>
      </c>
      <c r="AA136" s="21">
        <v>5.0</v>
      </c>
      <c r="AB136" s="14">
        <v>38.0</v>
      </c>
      <c r="AC136" s="14">
        <v>166.0</v>
      </c>
    </row>
    <row r="137">
      <c r="A137" s="27">
        <f>HYPERLINK("https://arcprize.org/play?task=5582e5ca", 129)</f>
        <v>129</v>
      </c>
      <c r="B137" s="14">
        <f>IFERROR(__xludf.DUMMYFUNCTION("min(filter(Scores!B140:AX140,Scores!B140:AX140&gt;0))"),47.0)</f>
        <v>47</v>
      </c>
      <c r="C137" s="14">
        <v>2453.0</v>
      </c>
      <c r="D137" s="51" t="str">
        <f t="array" ref="D137">if(B137,if(countif(Scores!B140:AX140,B137)=1,concat("💎",XLOOKUP(B137,Scores!B140:AX140,Scores!B$1:AX$1)),concat("🥇 x",countif(Scores!B140:AX140,B137))),"")</f>
        <v>🥇 x12</v>
      </c>
      <c r="E137" s="14">
        <f>if(countif(Scores!B140:AX140,B137)=1,F137,-1)</f>
        <v>-1</v>
      </c>
      <c r="F137" s="14">
        <f t="shared" si="1"/>
        <v>47</v>
      </c>
      <c r="G137" s="14">
        <f>IFERROR(__xludf.DUMMYFUNCTION("if(iferror(small(filter(Scores!B140:AX140,Scores!B140:AX140&gt;0),2),-1)&lt;&gt;F137,iferror(small(filter(Scores!B140:AX140,Scores!B140:AX140&gt;0),2),-1),-1)"),-1.0)</f>
        <v>-1</v>
      </c>
      <c r="H137" s="14">
        <f>IFERROR(__xludf.DUMMYFUNCTION("if(iferror(small(filter(Scores!B140:AX140,Scores!B140:AX140&gt;0),3),-1)&lt;&gt;iferror(small(filter(Scores!B140:AX140,Scores!B140:AX140&gt;0),2),-1),iferror(small(filter(Scores!B140:AX140,Scores!B140:AX140&gt;0),3),-1),-1)"),-1.0)</f>
        <v>-1</v>
      </c>
      <c r="I137" s="14">
        <f>IFERROR(__xludf.DUMMYFUNCTION("IFERROR(COLUMNS(filter(Scores!B140:AE140,Scores!B140:AE140)),"""")"),44.0)</f>
        <v>44</v>
      </c>
      <c r="J137" s="14">
        <f>COUNTIF(Scores!B140:AX140,B137)</f>
        <v>12</v>
      </c>
      <c r="K137" s="21">
        <f>IFERROR(__xludf.DUMMYFUNCTION("""COMPUTED_VALUE"""),129.0)</f>
        <v>129</v>
      </c>
      <c r="L137" s="36"/>
      <c r="S137" s="21">
        <v>399.0</v>
      </c>
      <c r="T137" s="14">
        <v>62.0</v>
      </c>
      <c r="U137" s="14">
        <v>2438.0</v>
      </c>
      <c r="W137" s="21">
        <v>323.0</v>
      </c>
      <c r="X137" s="14">
        <v>100.0</v>
      </c>
      <c r="Y137" s="14">
        <v>2400.0</v>
      </c>
      <c r="AA137" s="21">
        <v>69.0</v>
      </c>
      <c r="AB137" s="14">
        <v>38.0</v>
      </c>
      <c r="AC137" s="14">
        <v>143.0</v>
      </c>
    </row>
    <row r="138">
      <c r="A138" s="27">
        <f>HYPERLINK("https://arcprize.org/play?task=5614dbcf", 130)</f>
        <v>130</v>
      </c>
      <c r="B138" s="14">
        <f>IFERROR(__xludf.DUMMYFUNCTION("min(filter(Scores!B141:AX141,Scores!B141:AX141&gt;0))"),61.0)</f>
        <v>61</v>
      </c>
      <c r="C138" s="14">
        <v>2439.0</v>
      </c>
      <c r="D138" s="51" t="str">
        <f t="array" ref="D138">if(B138,if(countif(Scores!B141:AX141,B138)=1,concat("💎",XLOOKUP(B138,Scores!B141:AX141,Scores!B$1:AX$1)),concat("🥇 x",countif(Scores!B141:AX141,B138))),"")</f>
        <v>💎Code Golf International</v>
      </c>
      <c r="E138" s="14">
        <f>if(countif(Scores!B141:AX141,B138)=1,F138,-1)</f>
        <v>61</v>
      </c>
      <c r="F138" s="14">
        <f t="shared" si="1"/>
        <v>61</v>
      </c>
      <c r="G138" s="14">
        <f>IFERROR(__xludf.DUMMYFUNCTION("if(iferror(small(filter(Scores!B141:AX141,Scores!B141:AX141&gt;0),2),-1)&lt;&gt;F138,iferror(small(filter(Scores!B141:AX141,Scores!B141:AX141&gt;0),2),-1),-1)"),65.0)</f>
        <v>65</v>
      </c>
      <c r="H138" s="14">
        <f>IFERROR(__xludf.DUMMYFUNCTION("if(iferror(small(filter(Scores!B141:AX141,Scores!B141:AX141&gt;0),3),-1)&lt;&gt;iferror(small(filter(Scores!B141:AX141,Scores!B141:AX141&gt;0),2),-1),iferror(small(filter(Scores!B141:AX141,Scores!B141:AX141&gt;0),3),-1),-1)"),-1.0)</f>
        <v>-1</v>
      </c>
      <c r="I138" s="14">
        <f>IFERROR(__xludf.DUMMYFUNCTION("IFERROR(COLUMNS(filter(Scores!B141:AE141,Scores!B141:AE141)),"""")"),43.0)</f>
        <v>43</v>
      </c>
      <c r="J138" s="14">
        <f>COUNTIF(Scores!B141:AX141,B138)</f>
        <v>1</v>
      </c>
      <c r="K138" s="21">
        <f>IFERROR(__xludf.DUMMYFUNCTION("""COMPUTED_VALUE"""),130.0)</f>
        <v>130</v>
      </c>
      <c r="L138" s="36"/>
      <c r="S138" s="21">
        <v>28.0</v>
      </c>
      <c r="T138" s="14">
        <v>63.0</v>
      </c>
      <c r="U138" s="14">
        <v>2437.0</v>
      </c>
      <c r="W138" s="21">
        <v>68.0</v>
      </c>
      <c r="X138" s="14">
        <v>99.0</v>
      </c>
      <c r="Y138" s="14">
        <v>2401.0</v>
      </c>
      <c r="AA138" s="21">
        <v>392.0</v>
      </c>
      <c r="AB138" s="14">
        <v>38.0</v>
      </c>
      <c r="AC138" s="14">
        <v>135.0</v>
      </c>
    </row>
    <row r="139">
      <c r="A139" s="27">
        <f>HYPERLINK("https://arcprize.org/play?task=56dc2b01", 131)</f>
        <v>131</v>
      </c>
      <c r="B139" s="14">
        <f>IFERROR(__xludf.DUMMYFUNCTION("min(filter(Scores!B142:AX142,Scores!B142:AX142&gt;0))"),117.0)</f>
        <v>117</v>
      </c>
      <c r="C139" s="14">
        <v>2383.0</v>
      </c>
      <c r="D139" s="51" t="str">
        <f t="array" ref="D139">if(B139,if(countif(Scores!B142:AX142,B139)=1,concat("💎",XLOOKUP(B139,Scores!B142:AX142,Scores!B$1:AX$1)),concat("🥇 x",countif(Scores!B142:AX142,B139))),"")</f>
        <v>💎jailctf merger</v>
      </c>
      <c r="E139" s="14">
        <f>if(countif(Scores!B142:AX142,B139)=1,F139,-1)</f>
        <v>117</v>
      </c>
      <c r="F139" s="14">
        <f t="shared" si="1"/>
        <v>117</v>
      </c>
      <c r="G139" s="14">
        <f>IFERROR(__xludf.DUMMYFUNCTION("if(iferror(small(filter(Scores!B142:AX142,Scores!B142:AX142&gt;0),2),-1)&lt;&gt;F139,iferror(small(filter(Scores!B142:AX142,Scores!B142:AX142&gt;0),2),-1),-1)"),125.0)</f>
        <v>125</v>
      </c>
      <c r="H139" s="14">
        <f>IFERROR(__xludf.DUMMYFUNCTION("if(iferror(small(filter(Scores!B142:AX142,Scores!B142:AX142&gt;0),3),-1)&lt;&gt;iferror(small(filter(Scores!B142:AX142,Scores!B142:AX142&gt;0),2),-1),iferror(small(filter(Scores!B142:AX142,Scores!B142:AX142&gt;0),3),-1),-1)"),126.0)</f>
        <v>126</v>
      </c>
      <c r="I139" s="14">
        <f>IFERROR(__xludf.DUMMYFUNCTION("IFERROR(COLUMNS(filter(Scores!B142:AE142,Scores!B142:AE142)),"""")"),39.0)</f>
        <v>39</v>
      </c>
      <c r="J139" s="14">
        <f>COUNTIF(Scores!B142:AX142,B139)</f>
        <v>1</v>
      </c>
      <c r="K139" s="21">
        <f>IFERROR(__xludf.DUMMYFUNCTION("""COMPUTED_VALUE"""),131.0)</f>
        <v>131</v>
      </c>
      <c r="L139" s="36"/>
      <c r="S139" s="21">
        <v>40.0</v>
      </c>
      <c r="T139" s="14">
        <v>63.0</v>
      </c>
      <c r="U139" s="14">
        <v>2437.0</v>
      </c>
      <c r="W139" s="21">
        <v>192.0</v>
      </c>
      <c r="X139" s="14">
        <v>99.0</v>
      </c>
      <c r="Y139" s="14">
        <v>2401.0</v>
      </c>
      <c r="AA139" s="21">
        <v>25.0</v>
      </c>
      <c r="AB139" s="14">
        <v>38.0</v>
      </c>
      <c r="AC139" s="14">
        <v>127.0</v>
      </c>
    </row>
    <row r="140">
      <c r="A140" s="27">
        <f>HYPERLINK("https://arcprize.org/play?task=56ff96f3", 132)</f>
        <v>132</v>
      </c>
      <c r="B140" s="14">
        <f>IFERROR(__xludf.DUMMYFUNCTION("min(filter(Scores!B143:AX143,Scores!B143:AX143&gt;0))"),86.0)</f>
        <v>86</v>
      </c>
      <c r="C140" s="14">
        <v>2414.0</v>
      </c>
      <c r="D140" s="51" t="str">
        <f t="array" ref="D140">if(B140,if(countif(Scores!B143:AX143,B140)=1,concat("💎",XLOOKUP(B140,Scores!B143:AX143,Scores!B$1:AX$1)),concat("🥇 x",countif(Scores!B143:AX143,B140))),"")</f>
        <v>🥇 x3</v>
      </c>
      <c r="E140" s="14">
        <f>if(countif(Scores!B143:AX143,B140)=1,F140,-1)</f>
        <v>-1</v>
      </c>
      <c r="F140" s="14">
        <f t="shared" si="1"/>
        <v>86</v>
      </c>
      <c r="G140" s="14">
        <f>IFERROR(__xludf.DUMMYFUNCTION("if(iferror(small(filter(Scores!B143:AX143,Scores!B143:AX143&gt;0),2),-1)&lt;&gt;F140,iferror(small(filter(Scores!B143:AX143,Scores!B143:AX143&gt;0),2),-1),-1)"),-1.0)</f>
        <v>-1</v>
      </c>
      <c r="H140" s="14">
        <f>IFERROR(__xludf.DUMMYFUNCTION("if(iferror(small(filter(Scores!B143:AX143,Scores!B143:AX143&gt;0),3),-1)&lt;&gt;iferror(small(filter(Scores!B143:AX143,Scores!B143:AX143&gt;0),2),-1),iferror(small(filter(Scores!B143:AX143,Scores!B143:AX143&gt;0),3),-1),-1)"),-1.0)</f>
        <v>-1</v>
      </c>
      <c r="I140" s="14">
        <f>IFERROR(__xludf.DUMMYFUNCTION("IFERROR(COLUMNS(filter(Scores!B143:AE143,Scores!B143:AE143)),"""")"),42.0)</f>
        <v>42</v>
      </c>
      <c r="J140" s="14">
        <f>COUNTIF(Scores!B143:AX143,B140)</f>
        <v>3</v>
      </c>
      <c r="K140" s="21">
        <f>IFERROR(__xludf.DUMMYFUNCTION("""COMPUTED_VALUE"""),132.0)</f>
        <v>132</v>
      </c>
      <c r="L140" s="36"/>
      <c r="S140" s="21">
        <v>269.0</v>
      </c>
      <c r="T140" s="14">
        <v>63.0</v>
      </c>
      <c r="U140" s="14">
        <v>2437.0</v>
      </c>
      <c r="W140" s="21">
        <v>239.0</v>
      </c>
      <c r="X140" s="14">
        <v>99.0</v>
      </c>
      <c r="Y140" s="14">
        <v>2401.0</v>
      </c>
      <c r="AA140" s="21">
        <v>275.0</v>
      </c>
      <c r="AB140" s="14">
        <v>38.0</v>
      </c>
      <c r="AC140" s="14">
        <v>126.0</v>
      </c>
    </row>
    <row r="141">
      <c r="A141" s="27">
        <f>HYPERLINK("https://arcprize.org/play?task=57aa92db", 133)</f>
        <v>133</v>
      </c>
      <c r="B141" s="14">
        <f>IFERROR(__xludf.DUMMYFUNCTION("min(filter(Scores!B144:AX144,Scores!B144:AX144&gt;0))"),273.0)</f>
        <v>273</v>
      </c>
      <c r="C141" s="14">
        <v>2227.0</v>
      </c>
      <c r="D141" s="51" t="str">
        <f t="array" ref="D141">if(B141,if(countif(Scores!B144:AX144,B141)=1,concat("💎",XLOOKUP(B141,Scores!B144:AX144,Scores!B$1:AX$1)),concat("🥇 x",countif(Scores!B144:AX144,B141))),"")</f>
        <v>💎ox jam</v>
      </c>
      <c r="E141" s="14">
        <f>if(countif(Scores!B144:AX144,B141)=1,F141,-1)</f>
        <v>273</v>
      </c>
      <c r="F141" s="14">
        <f t="shared" si="1"/>
        <v>273</v>
      </c>
      <c r="G141" s="14">
        <f>IFERROR(__xludf.DUMMYFUNCTION("if(iferror(small(filter(Scores!B144:AX144,Scores!B144:AX144&gt;0),2),-1)&lt;&gt;F141,iferror(small(filter(Scores!B144:AX144,Scores!B144:AX144&gt;0),2),-1),-1)"),275.0)</f>
        <v>275</v>
      </c>
      <c r="H141" s="14">
        <f>IFERROR(__xludf.DUMMYFUNCTION("if(iferror(small(filter(Scores!B144:AX144,Scores!B144:AX144&gt;0),3),-1)&lt;&gt;iferror(small(filter(Scores!B144:AX144,Scores!B144:AX144&gt;0),2),-1),iferror(small(filter(Scores!B144:AX144,Scores!B144:AX144&gt;0),3),-1),-1)"),276.0)</f>
        <v>276</v>
      </c>
      <c r="I141" s="14">
        <f>IFERROR(__xludf.DUMMYFUNCTION("IFERROR(COLUMNS(filter(Scores!B144:AE144,Scores!B144:AE144)),"""")"),35.0)</f>
        <v>35</v>
      </c>
      <c r="J141" s="14">
        <f>COUNTIF(Scores!B144:AX144,B141)</f>
        <v>1</v>
      </c>
      <c r="K141" s="21">
        <f>IFERROR(__xludf.DUMMYFUNCTION("""COMPUTED_VALUE"""),133.0)</f>
        <v>133</v>
      </c>
      <c r="L141" s="36"/>
      <c r="S141" s="21">
        <v>289.0</v>
      </c>
      <c r="T141" s="14">
        <v>63.0</v>
      </c>
      <c r="U141" s="14">
        <v>2437.0</v>
      </c>
      <c r="W141" s="21">
        <v>93.0</v>
      </c>
      <c r="X141" s="14">
        <v>98.0</v>
      </c>
      <c r="Y141" s="14">
        <v>2402.0</v>
      </c>
      <c r="AA141" s="21">
        <v>226.0</v>
      </c>
      <c r="AB141" s="14">
        <v>38.0</v>
      </c>
      <c r="AC141" s="14">
        <v>117.0</v>
      </c>
    </row>
    <row r="142">
      <c r="A142" s="27">
        <f>HYPERLINK("https://arcprize.org/play?task=5ad4f10b", 134)</f>
        <v>134</v>
      </c>
      <c r="B142" s="14">
        <f>IFERROR(__xludf.DUMMYFUNCTION("min(filter(Scores!B145:AX145,Scores!B145:AX145&gt;0))"),123.0)</f>
        <v>123</v>
      </c>
      <c r="C142" s="14">
        <v>2377.0</v>
      </c>
      <c r="D142" s="51" t="str">
        <f t="array" ref="D142">if(B142,if(countif(Scores!B145:AX145,B142)=1,concat("💎",XLOOKUP(B142,Scores!B145:AX145,Scores!B$1:AX$1)),concat("🥇 x",countif(Scores!B145:AX145,B142))),"")</f>
        <v>💎ox jam</v>
      </c>
      <c r="E142" s="14">
        <f>if(countif(Scores!B145:AX145,B142)=1,F142,-1)</f>
        <v>123</v>
      </c>
      <c r="F142" s="14">
        <f t="shared" si="1"/>
        <v>123</v>
      </c>
      <c r="G142" s="14">
        <f>IFERROR(__xludf.DUMMYFUNCTION("if(iferror(small(filter(Scores!B145:AX145,Scores!B145:AX145&gt;0),2),-1)&lt;&gt;F142,iferror(small(filter(Scores!B145:AX145,Scores!B145:AX145&gt;0),2),-1),-1)"),142.0)</f>
        <v>142</v>
      </c>
      <c r="H142" s="14">
        <f>IFERROR(__xludf.DUMMYFUNCTION("if(iferror(small(filter(Scores!B145:AX145,Scores!B145:AX145&gt;0),3),-1)&lt;&gt;iferror(small(filter(Scores!B145:AX145,Scores!B145:AX145&gt;0),2),-1),iferror(small(filter(Scores!B145:AX145,Scores!B145:AX145&gt;0),3),-1),-1)"),143.0)</f>
        <v>143</v>
      </c>
      <c r="I142" s="14">
        <f>IFERROR(__xludf.DUMMYFUNCTION("IFERROR(COLUMNS(filter(Scores!B145:AE145,Scores!B145:AE145)),"""")"),35.0)</f>
        <v>35</v>
      </c>
      <c r="J142" s="14">
        <f>COUNTIF(Scores!B145:AX145,B142)</f>
        <v>1</v>
      </c>
      <c r="K142" s="21">
        <f>IFERROR(__xludf.DUMMYFUNCTION("""COMPUTED_VALUE"""),134.0)</f>
        <v>134</v>
      </c>
      <c r="L142" s="36"/>
      <c r="S142" s="21">
        <v>306.0</v>
      </c>
      <c r="T142" s="14">
        <v>63.0</v>
      </c>
      <c r="U142" s="14">
        <v>2437.0</v>
      </c>
      <c r="W142" s="21">
        <v>202.0</v>
      </c>
      <c r="X142" s="14">
        <v>98.0</v>
      </c>
      <c r="Y142" s="14">
        <v>2402.0</v>
      </c>
      <c r="AA142" s="21">
        <v>397.0</v>
      </c>
      <c r="AB142" s="14">
        <v>38.0</v>
      </c>
      <c r="AC142" s="14">
        <v>110.0</v>
      </c>
    </row>
    <row r="143">
      <c r="A143" s="27">
        <f>HYPERLINK("https://arcprize.org/play?task=5bd6f4ac", 135)</f>
        <v>135</v>
      </c>
      <c r="B143" s="14">
        <f>IFERROR(__xludf.DUMMYFUNCTION("min(filter(Scores!B146:AX146,Scores!B146:AX146&gt;0))"),32.0)</f>
        <v>32</v>
      </c>
      <c r="C143" s="14">
        <v>2468.0</v>
      </c>
      <c r="D143" s="51" t="str">
        <f t="array" ref="D143">if(B143,if(countif(Scores!B146:AX146,B143)=1,concat("💎",XLOOKUP(B143,Scores!B146:AX146,Scores!B$1:AX$1)),concat("🥇 x",countif(Scores!B146:AX146,B143))),"")</f>
        <v>🥇 x33</v>
      </c>
      <c r="E143" s="14">
        <f>if(countif(Scores!B146:AX146,B143)=1,F143,-1)</f>
        <v>-1</v>
      </c>
      <c r="F143" s="14">
        <f t="shared" si="1"/>
        <v>32</v>
      </c>
      <c r="G143" s="14">
        <f>IFERROR(__xludf.DUMMYFUNCTION("if(iferror(small(filter(Scores!B146:AX146,Scores!B146:AX146&gt;0),2),-1)&lt;&gt;F143,iferror(small(filter(Scores!B146:AX146,Scores!B146:AX146&gt;0),2),-1),-1)"),-1.0)</f>
        <v>-1</v>
      </c>
      <c r="H143" s="14">
        <f>IFERROR(__xludf.DUMMYFUNCTION("if(iferror(small(filter(Scores!B146:AX146,Scores!B146:AX146&gt;0),3),-1)&lt;&gt;iferror(small(filter(Scores!B146:AX146,Scores!B146:AX146&gt;0),2),-1),iferror(small(filter(Scores!B146:AX146,Scores!B146:AX146&gt;0),3),-1),-1)"),-1.0)</f>
        <v>-1</v>
      </c>
      <c r="I143" s="14">
        <f>IFERROR(__xludf.DUMMYFUNCTION("IFERROR(COLUMNS(filter(Scores!B146:AE146,Scores!B146:AE146)),"""")"),46.0)</f>
        <v>46</v>
      </c>
      <c r="J143" s="14">
        <f>COUNTIF(Scores!B146:AX146,B143)</f>
        <v>33</v>
      </c>
      <c r="K143" s="21">
        <f>IFERROR(__xludf.DUMMYFUNCTION("""COMPUTED_VALUE"""),135.0)</f>
        <v>135</v>
      </c>
      <c r="L143" s="36"/>
      <c r="S143" s="21">
        <v>315.0</v>
      </c>
      <c r="T143" s="14">
        <v>63.0</v>
      </c>
      <c r="U143" s="14">
        <v>2437.0</v>
      </c>
      <c r="W143" s="21">
        <v>245.0</v>
      </c>
      <c r="X143" s="14">
        <v>98.0</v>
      </c>
      <c r="Y143" s="14">
        <v>2402.0</v>
      </c>
      <c r="AA143" s="21">
        <v>369.0</v>
      </c>
      <c r="AB143" s="14">
        <v>38.0</v>
      </c>
      <c r="AC143" s="14">
        <v>109.0</v>
      </c>
    </row>
    <row r="144">
      <c r="A144" s="27">
        <f>HYPERLINK("https://arcprize.org/play?task=5c0a986e", 136)</f>
        <v>136</v>
      </c>
      <c r="B144" s="14">
        <f>IFERROR(__xludf.DUMMYFUNCTION("min(filter(Scores!B147:AX147,Scores!B147:AX147&gt;0))"),94.0)</f>
        <v>94</v>
      </c>
      <c r="C144" s="14">
        <v>2406.0</v>
      </c>
      <c r="D144" s="51" t="str">
        <f t="array" ref="D144">if(B144,if(countif(Scores!B147:AX147,B144)=1,concat("💎",XLOOKUP(B144,Scores!B147:AX147,Scores!B$1:AX$1)),concat("🥇 x",countif(Scores!B147:AX147,B144))),"")</f>
        <v>💎Code Golf International</v>
      </c>
      <c r="E144" s="14">
        <f>if(countif(Scores!B147:AX147,B144)=1,F144,-1)</f>
        <v>94</v>
      </c>
      <c r="F144" s="14">
        <f t="shared" si="1"/>
        <v>94</v>
      </c>
      <c r="G144" s="14">
        <f>IFERROR(__xludf.DUMMYFUNCTION("if(iferror(small(filter(Scores!B147:AX147,Scores!B147:AX147&gt;0),2),-1)&lt;&gt;F144,iferror(small(filter(Scores!B147:AX147,Scores!B147:AX147&gt;0),2),-1),-1)"),97.0)</f>
        <v>97</v>
      </c>
      <c r="H144" s="14">
        <f>IFERROR(__xludf.DUMMYFUNCTION("if(iferror(small(filter(Scores!B147:AX147,Scores!B147:AX147&gt;0),3),-1)&lt;&gt;iferror(small(filter(Scores!B147:AX147,Scores!B147:AX147&gt;0),2),-1),iferror(small(filter(Scores!B147:AX147,Scores!B147:AX147&gt;0),3),-1),-1)"),104.0)</f>
        <v>104</v>
      </c>
      <c r="I144" s="14">
        <f>IFERROR(__xludf.DUMMYFUNCTION("IFERROR(COLUMNS(filter(Scores!B147:AE147,Scores!B147:AE147)),"""")"),39.0)</f>
        <v>39</v>
      </c>
      <c r="J144" s="14">
        <f>COUNTIF(Scores!B147:AX147,B144)</f>
        <v>1</v>
      </c>
      <c r="K144" s="21">
        <f>IFERROR(__xludf.DUMMYFUNCTION("""COMPUTED_VALUE"""),136.0)</f>
        <v>136</v>
      </c>
      <c r="L144" s="36"/>
      <c r="S144" s="21">
        <v>343.0</v>
      </c>
      <c r="T144" s="14">
        <v>63.0</v>
      </c>
      <c r="U144" s="14">
        <v>2437.0</v>
      </c>
      <c r="W144" s="21">
        <v>390.0</v>
      </c>
      <c r="X144" s="14">
        <v>98.0</v>
      </c>
      <c r="Y144" s="14">
        <v>2402.0</v>
      </c>
      <c r="AA144" s="21">
        <v>263.0</v>
      </c>
      <c r="AB144" s="14">
        <v>38.0</v>
      </c>
      <c r="AC144" s="14">
        <v>106.0</v>
      </c>
    </row>
    <row r="145">
      <c r="A145" s="27">
        <f>HYPERLINK("https://arcprize.org/play?task=5c2c9af4", 137)</f>
        <v>137</v>
      </c>
      <c r="B145" s="14">
        <f>IFERROR(__xludf.DUMMYFUNCTION("min(filter(Scores!B148:AX148,Scores!B148:AX148&gt;0))"),137.0)</f>
        <v>137</v>
      </c>
      <c r="C145" s="14">
        <v>2363.0</v>
      </c>
      <c r="D145" s="51" t="str">
        <f t="array" ref="D145">if(B145,if(countif(Scores!B148:AX148,B145)=1,concat("💎",XLOOKUP(B145,Scores!B148:AX148,Scores!B$1:AX$1)),concat("🥇 x",countif(Scores!B148:AX148,B145))),"")</f>
        <v>💎jailctf merger</v>
      </c>
      <c r="E145" s="14">
        <f>if(countif(Scores!B148:AX148,B145)=1,F145,-1)</f>
        <v>137</v>
      </c>
      <c r="F145" s="14">
        <f t="shared" si="1"/>
        <v>137</v>
      </c>
      <c r="G145" s="14">
        <f>IFERROR(__xludf.DUMMYFUNCTION("if(iferror(small(filter(Scores!B148:AX148,Scores!B148:AX148&gt;0),2),-1)&lt;&gt;F145,iferror(small(filter(Scores!B148:AX148,Scores!B148:AX148&gt;0),2),-1),-1)"),139.0)</f>
        <v>139</v>
      </c>
      <c r="H145" s="14">
        <f>IFERROR(__xludf.DUMMYFUNCTION("if(iferror(small(filter(Scores!B148:AX148,Scores!B148:AX148&gt;0),3),-1)&lt;&gt;iferror(small(filter(Scores!B148:AX148,Scores!B148:AX148&gt;0),2),-1),iferror(small(filter(Scores!B148:AX148,Scores!B148:AX148&gt;0),3),-1),-1)"),141.0)</f>
        <v>141</v>
      </c>
      <c r="I145" s="14">
        <f>IFERROR(__xludf.DUMMYFUNCTION("IFERROR(COLUMNS(filter(Scores!B148:AE148,Scores!B148:AE148)),"""")"),37.0)</f>
        <v>37</v>
      </c>
      <c r="J145" s="14">
        <f>COUNTIF(Scores!B148:AX148,B145)</f>
        <v>1</v>
      </c>
      <c r="K145" s="21">
        <f>IFERROR(__xludf.DUMMYFUNCTION("""COMPUTED_VALUE"""),137.0)</f>
        <v>137</v>
      </c>
      <c r="L145" s="36"/>
      <c r="S145" s="21">
        <v>391.0</v>
      </c>
      <c r="T145" s="14">
        <v>63.0</v>
      </c>
      <c r="U145" s="14">
        <v>2437.0</v>
      </c>
      <c r="W145" s="21">
        <v>27.0</v>
      </c>
      <c r="X145" s="14">
        <v>97.0</v>
      </c>
      <c r="Y145" s="14">
        <v>2403.0</v>
      </c>
      <c r="AA145" s="21">
        <v>196.0</v>
      </c>
      <c r="AB145" s="14">
        <v>38.0</v>
      </c>
      <c r="AC145" s="14">
        <v>105.0</v>
      </c>
    </row>
    <row r="146">
      <c r="A146" s="27">
        <f>HYPERLINK("https://arcprize.org/play?task=5daaa586", 138)</f>
        <v>138</v>
      </c>
      <c r="B146" s="14">
        <f>IFERROR(__xludf.DUMMYFUNCTION("min(filter(Scores!B149:AX149,Scores!B149:AX149&gt;0))"),103.0)</f>
        <v>103</v>
      </c>
      <c r="C146" s="14">
        <v>2397.0</v>
      </c>
      <c r="D146" s="51" t="str">
        <f t="array" ref="D146">if(B146,if(countif(Scores!B149:AX149,B146)=1,concat("💎",XLOOKUP(B146,Scores!B149:AX149,Scores!B$1:AX$1)),concat("🥇 x",countif(Scores!B149:AX149,B146))),"")</f>
        <v>🥇 x3</v>
      </c>
      <c r="E146" s="14">
        <f>if(countif(Scores!B149:AX149,B146)=1,F146,-1)</f>
        <v>-1</v>
      </c>
      <c r="F146" s="14">
        <f t="shared" si="1"/>
        <v>103</v>
      </c>
      <c r="G146" s="14">
        <f>IFERROR(__xludf.DUMMYFUNCTION("if(iferror(small(filter(Scores!B149:AX149,Scores!B149:AX149&gt;0),2),-1)&lt;&gt;F146,iferror(small(filter(Scores!B149:AX149,Scores!B149:AX149&gt;0),2),-1),-1)"),-1.0)</f>
        <v>-1</v>
      </c>
      <c r="H146" s="14">
        <f>IFERROR(__xludf.DUMMYFUNCTION("if(iferror(small(filter(Scores!B149:AX149,Scores!B149:AX149&gt;0),3),-1)&lt;&gt;iferror(small(filter(Scores!B149:AX149,Scores!B149:AX149&gt;0),2),-1),iferror(small(filter(Scores!B149:AX149,Scores!B149:AX149&gt;0),3),-1),-1)"),-1.0)</f>
        <v>-1</v>
      </c>
      <c r="I146" s="14">
        <f>IFERROR(__xludf.DUMMYFUNCTION("IFERROR(COLUMNS(filter(Scores!B149:AE149,Scores!B149:AE149)),"""")"),35.0)</f>
        <v>35</v>
      </c>
      <c r="J146" s="14">
        <f>COUNTIF(Scores!B149:AX149,B146)</f>
        <v>3</v>
      </c>
      <c r="K146" s="21">
        <f>IFERROR(__xludf.DUMMYFUNCTION("""COMPUTED_VALUE"""),138.0)</f>
        <v>138</v>
      </c>
      <c r="L146" s="36"/>
      <c r="S146" s="21">
        <v>393.0</v>
      </c>
      <c r="T146" s="14">
        <v>63.0</v>
      </c>
      <c r="U146" s="14">
        <v>2437.0</v>
      </c>
      <c r="W146" s="21">
        <v>94.0</v>
      </c>
      <c r="X146" s="14">
        <v>96.0</v>
      </c>
      <c r="Y146" s="14">
        <v>2404.0</v>
      </c>
      <c r="AA146" s="21">
        <v>278.0</v>
      </c>
      <c r="AB146" s="14">
        <v>38.0</v>
      </c>
      <c r="AC146" s="14">
        <v>104.0</v>
      </c>
    </row>
    <row r="147">
      <c r="A147" s="27">
        <f>HYPERLINK("https://arcprize.org/play?task=60b61512", 139)</f>
        <v>139</v>
      </c>
      <c r="B147" s="14">
        <f>IFERROR(__xludf.DUMMYFUNCTION("min(filter(Scores!B150:AX150,Scores!B150:AX150&gt;0))"),81.0)</f>
        <v>81</v>
      </c>
      <c r="C147" s="14">
        <v>2419.0</v>
      </c>
      <c r="D147" s="51" t="str">
        <f t="array" ref="D147">if(B147,if(countif(Scores!B150:AX150,B147)=1,concat("💎",XLOOKUP(B147,Scores!B150:AX150,Scores!B$1:AX$1)),concat("🥇 x",countif(Scores!B150:AX150,B147))),"")</f>
        <v>💎biz</v>
      </c>
      <c r="E147" s="14">
        <f>if(countif(Scores!B150:AX150,B147)=1,F147,-1)</f>
        <v>81</v>
      </c>
      <c r="F147" s="14">
        <f t="shared" si="1"/>
        <v>81</v>
      </c>
      <c r="G147" s="14">
        <f>IFERROR(__xludf.DUMMYFUNCTION("if(iferror(small(filter(Scores!B150:AX150,Scores!B150:AX150&gt;0),2),-1)&lt;&gt;F147,iferror(small(filter(Scores!B150:AX150,Scores!B150:AX150&gt;0),2),-1),-1)"),86.0)</f>
        <v>86</v>
      </c>
      <c r="H147" s="14">
        <f>IFERROR(__xludf.DUMMYFUNCTION("if(iferror(small(filter(Scores!B150:AX150,Scores!B150:AX150&gt;0),3),-1)&lt;&gt;iferror(small(filter(Scores!B150:AX150,Scores!B150:AX150&gt;0),2),-1),iferror(small(filter(Scores!B150:AX150,Scores!B150:AX150&gt;0),3),-1),-1)"),88.0)</f>
        <v>88</v>
      </c>
      <c r="I147" s="14">
        <f>IFERROR(__xludf.DUMMYFUNCTION("IFERROR(COLUMNS(filter(Scores!B150:AE150,Scores!B150:AE150)),"""")"),39.0)</f>
        <v>39</v>
      </c>
      <c r="J147" s="14">
        <f>COUNTIF(Scores!B150:AX150,B147)</f>
        <v>1</v>
      </c>
      <c r="K147" s="21">
        <f>IFERROR(__xludf.DUMMYFUNCTION("""COMPUTED_VALUE"""),139.0)</f>
        <v>139</v>
      </c>
      <c r="L147" s="36"/>
      <c r="S147" s="21">
        <v>98.0</v>
      </c>
      <c r="T147" s="14">
        <v>64.0</v>
      </c>
      <c r="U147" s="14">
        <v>2436.0</v>
      </c>
      <c r="W147" s="21">
        <v>154.0</v>
      </c>
      <c r="X147" s="14">
        <v>96.0</v>
      </c>
      <c r="Y147" s="14">
        <v>2404.0</v>
      </c>
      <c r="AA147" s="21">
        <v>29.0</v>
      </c>
      <c r="AB147" s="14">
        <v>38.0</v>
      </c>
      <c r="AC147" s="14">
        <v>103.0</v>
      </c>
    </row>
    <row r="148">
      <c r="A148" s="27">
        <f>HYPERLINK("https://arcprize.org/play?task=6150a2bd", 140)</f>
        <v>140</v>
      </c>
      <c r="B148" s="14">
        <f>IFERROR(__xludf.DUMMYFUNCTION("min(filter(Scores!B151:AX151,Scores!B151:AX151&gt;0))"),36.0)</f>
        <v>36</v>
      </c>
      <c r="C148" s="14">
        <v>2464.0</v>
      </c>
      <c r="D148" s="51" t="str">
        <f t="array" ref="D148">if(B148,if(countif(Scores!B151:AX151,B148)=1,concat("💎",XLOOKUP(B148,Scores!B151:AX151,Scores!B$1:AX$1)),concat("🥇 x",countif(Scores!B151:AX151,B148))),"")</f>
        <v>🥇 x43</v>
      </c>
      <c r="E148" s="14">
        <f>if(countif(Scores!B151:AX151,B148)=1,F148,-1)</f>
        <v>-1</v>
      </c>
      <c r="F148" s="14">
        <f t="shared" si="1"/>
        <v>36</v>
      </c>
      <c r="G148" s="14">
        <f>IFERROR(__xludf.DUMMYFUNCTION("if(iferror(small(filter(Scores!B151:AX151,Scores!B151:AX151&gt;0),2),-1)&lt;&gt;F148,iferror(small(filter(Scores!B151:AX151,Scores!B151:AX151&gt;0),2),-1),-1)"),-1.0)</f>
        <v>-1</v>
      </c>
      <c r="H148" s="14">
        <f>IFERROR(__xludf.DUMMYFUNCTION("if(iferror(small(filter(Scores!B151:AX151,Scores!B151:AX151&gt;0),3),-1)&lt;&gt;iferror(small(filter(Scores!B151:AX151,Scores!B151:AX151&gt;0),2),-1),iferror(small(filter(Scores!B151:AX151,Scores!B151:AX151&gt;0),3),-1),-1)"),-1.0)</f>
        <v>-1</v>
      </c>
      <c r="I148" s="14">
        <f>IFERROR(__xludf.DUMMYFUNCTION("IFERROR(COLUMNS(filter(Scores!B151:AE151,Scores!B151:AE151)),"""")"),45.0)</f>
        <v>45</v>
      </c>
      <c r="J148" s="14">
        <f>COUNTIF(Scores!B151:AX151,B148)</f>
        <v>43</v>
      </c>
      <c r="K148" s="21">
        <f>IFERROR(__xludf.DUMMYFUNCTION("""COMPUTED_VALUE"""),140.0)</f>
        <v>140</v>
      </c>
      <c r="L148" s="36"/>
      <c r="S148" s="21">
        <v>114.0</v>
      </c>
      <c r="T148" s="14">
        <v>64.0</v>
      </c>
      <c r="U148" s="14">
        <v>2436.0</v>
      </c>
      <c r="W148" s="21">
        <v>162.0</v>
      </c>
      <c r="X148" s="14">
        <v>96.0</v>
      </c>
      <c r="Y148" s="14">
        <v>2404.0</v>
      </c>
      <c r="AA148" s="21">
        <v>190.0</v>
      </c>
      <c r="AB148" s="14">
        <v>38.0</v>
      </c>
      <c r="AC148" s="14">
        <v>103.0</v>
      </c>
    </row>
    <row r="149">
      <c r="A149" s="27">
        <f>HYPERLINK("https://arcprize.org/play?task=623ea044", 141)</f>
        <v>141</v>
      </c>
      <c r="B149" s="14">
        <f>IFERROR(__xludf.DUMMYFUNCTION("min(filter(Scores!B152:AX152,Scores!B152:AX152&gt;0))"),92.0)</f>
        <v>92</v>
      </c>
      <c r="C149" s="14">
        <v>2408.0</v>
      </c>
      <c r="D149" s="51" t="str">
        <f t="array" ref="D149">if(B149,if(countif(Scores!B152:AX152,B149)=1,concat("💎",XLOOKUP(B149,Scores!B152:AX152,Scores!B$1:AX$1)),concat("🥇 x",countif(Scores!B152:AX152,B149))),"")</f>
        <v>🥇 x2</v>
      </c>
      <c r="E149" s="14">
        <f>if(countif(Scores!B152:AX152,B149)=1,F149,-1)</f>
        <v>-1</v>
      </c>
      <c r="F149" s="14">
        <f t="shared" si="1"/>
        <v>92</v>
      </c>
      <c r="G149" s="14">
        <f>IFERROR(__xludf.DUMMYFUNCTION("if(iferror(small(filter(Scores!B152:AX152,Scores!B152:AX152&gt;0),2),-1)&lt;&gt;F149,iferror(small(filter(Scores!B152:AX152,Scores!B152:AX152&gt;0),2),-1),-1)"),-1.0)</f>
        <v>-1</v>
      </c>
      <c r="H149" s="14">
        <f>IFERROR(__xludf.DUMMYFUNCTION("if(iferror(small(filter(Scores!B152:AX152,Scores!B152:AX152&gt;0),3),-1)&lt;&gt;iferror(small(filter(Scores!B152:AX152,Scores!B152:AX152&gt;0),2),-1),iferror(small(filter(Scores!B152:AX152,Scores!B152:AX152&gt;0),3),-1),-1)"),93.0)</f>
        <v>93</v>
      </c>
      <c r="I149" s="14">
        <f>IFERROR(__xludf.DUMMYFUNCTION("IFERROR(COLUMNS(filter(Scores!B152:AE152,Scores!B152:AE152)),"""")"),41.0)</f>
        <v>41</v>
      </c>
      <c r="J149" s="14">
        <f>COUNTIF(Scores!B152:AX152,B149)</f>
        <v>2</v>
      </c>
      <c r="K149" s="21">
        <f>IFERROR(__xludf.DUMMYFUNCTION("""COMPUTED_VALUE"""),141.0)</f>
        <v>141</v>
      </c>
      <c r="L149" s="36"/>
      <c r="S149" s="21">
        <v>203.0</v>
      </c>
      <c r="T149" s="14">
        <v>64.0</v>
      </c>
      <c r="U149" s="14">
        <v>2436.0</v>
      </c>
      <c r="W149" s="21">
        <v>9.0</v>
      </c>
      <c r="X149" s="14">
        <v>95.0</v>
      </c>
      <c r="Y149" s="14">
        <v>2405.0</v>
      </c>
      <c r="AA149" s="21">
        <v>37.0</v>
      </c>
      <c r="AB149" s="14">
        <v>38.0</v>
      </c>
      <c r="AC149" s="14">
        <v>101.0</v>
      </c>
    </row>
    <row r="150">
      <c r="A150" s="27">
        <f>HYPERLINK("https://arcprize.org/play?task=62c24649", 142)</f>
        <v>142</v>
      </c>
      <c r="B150" s="14">
        <f>IFERROR(__xludf.DUMMYFUNCTION("min(filter(Scores!B153:AX153,Scores!B153:AX153&gt;0))"),40.0)</f>
        <v>40</v>
      </c>
      <c r="C150" s="14">
        <v>2460.0</v>
      </c>
      <c r="D150" s="51" t="str">
        <f t="array" ref="D150">if(B150,if(countif(Scores!B153:AX153,B150)=1,concat("💎",XLOOKUP(B150,Scores!B153:AX153,Scores!B$1:AX$1)),concat("🥇 x",countif(Scores!B153:AX153,B150))),"")</f>
        <v>🥇 x29</v>
      </c>
      <c r="E150" s="14">
        <f>if(countif(Scores!B153:AX153,B150)=1,F150,-1)</f>
        <v>-1</v>
      </c>
      <c r="F150" s="14">
        <f t="shared" si="1"/>
        <v>40</v>
      </c>
      <c r="G150" s="14">
        <f>IFERROR(__xludf.DUMMYFUNCTION("if(iferror(small(filter(Scores!B153:AX153,Scores!B153:AX153&gt;0),2),-1)&lt;&gt;F150,iferror(small(filter(Scores!B153:AX153,Scores!B153:AX153&gt;0),2),-1),-1)"),-1.0)</f>
        <v>-1</v>
      </c>
      <c r="H150" s="14">
        <f>IFERROR(__xludf.DUMMYFUNCTION("if(iferror(small(filter(Scores!B153:AX153,Scores!B153:AX153&gt;0),3),-1)&lt;&gt;iferror(small(filter(Scores!B153:AX153,Scores!B153:AX153&gt;0),2),-1),iferror(small(filter(Scores!B153:AX153,Scores!B153:AX153&gt;0),3),-1),-1)"),-1.0)</f>
        <v>-1</v>
      </c>
      <c r="I150" s="14">
        <f>IFERROR(__xludf.DUMMYFUNCTION("IFERROR(COLUMNS(filter(Scores!B153:AE153,Scores!B153:AE153)),"""")"),46.0)</f>
        <v>46</v>
      </c>
      <c r="J150" s="14">
        <f>COUNTIF(Scores!B153:AX153,B150)</f>
        <v>29</v>
      </c>
      <c r="K150" s="21">
        <f>IFERROR(__xludf.DUMMYFUNCTION("""COMPUTED_VALUE"""),142.0)</f>
        <v>142</v>
      </c>
      <c r="L150" s="36"/>
      <c r="S150" s="21">
        <v>359.0</v>
      </c>
      <c r="T150" s="14">
        <v>64.0</v>
      </c>
      <c r="U150" s="14">
        <v>2436.0</v>
      </c>
      <c r="W150" s="21">
        <v>88.0</v>
      </c>
      <c r="X150" s="14">
        <v>95.0</v>
      </c>
      <c r="Y150" s="14">
        <v>2405.0</v>
      </c>
      <c r="AA150" s="21">
        <v>323.0</v>
      </c>
      <c r="AB150" s="14">
        <v>38.0</v>
      </c>
      <c r="AC150" s="14">
        <v>100.0</v>
      </c>
    </row>
    <row r="151">
      <c r="A151" s="27">
        <f>HYPERLINK("https://arcprize.org/play?task=63613498", 143)</f>
        <v>143</v>
      </c>
      <c r="B151" s="14">
        <f>IFERROR(__xludf.DUMMYFUNCTION("min(filter(Scores!B154:AX154,Scores!B154:AX154&gt;0))"),127.0)</f>
        <v>127</v>
      </c>
      <c r="C151" s="14">
        <v>2373.0</v>
      </c>
      <c r="D151" s="51" t="str">
        <f t="array" ref="D151">if(B151,if(countif(Scores!B154:AX154,B151)=1,concat("💎",XLOOKUP(B151,Scores!B154:AX154,Scores!B$1:AX$1)),concat("🥇 x",countif(Scores!B154:AX154,B151))),"")</f>
        <v>💎Code Golf International</v>
      </c>
      <c r="E151" s="14">
        <f>if(countif(Scores!B154:AX154,B151)=1,F151,-1)</f>
        <v>127</v>
      </c>
      <c r="F151" s="14">
        <f t="shared" si="1"/>
        <v>127</v>
      </c>
      <c r="G151" s="14">
        <f>IFERROR(__xludf.DUMMYFUNCTION("if(iferror(small(filter(Scores!B154:AX154,Scores!B154:AX154&gt;0),2),-1)&lt;&gt;F151,iferror(small(filter(Scores!B154:AX154,Scores!B154:AX154&gt;0),2),-1),-1)"),130.0)</f>
        <v>130</v>
      </c>
      <c r="H151" s="14">
        <f>IFERROR(__xludf.DUMMYFUNCTION("if(iferror(small(filter(Scores!B154:AX154,Scores!B154:AX154&gt;0),3),-1)&lt;&gt;iferror(small(filter(Scores!B154:AX154,Scores!B154:AX154&gt;0),2),-1),iferror(small(filter(Scores!B154:AX154,Scores!B154:AX154&gt;0),3),-1),-1)"),135.0)</f>
        <v>135</v>
      </c>
      <c r="I151" s="14">
        <f>IFERROR(__xludf.DUMMYFUNCTION("IFERROR(COLUMNS(filter(Scores!B154:AE154,Scores!B154:AE154)),"""")"),35.0)</f>
        <v>35</v>
      </c>
      <c r="J151" s="14">
        <f>COUNTIF(Scores!B154:AX154,B151)</f>
        <v>1</v>
      </c>
      <c r="K151" s="21">
        <f>IFERROR(__xludf.DUMMYFUNCTION("""COMPUTED_VALUE"""),143.0)</f>
        <v>143</v>
      </c>
      <c r="L151" s="36"/>
      <c r="S151" s="21">
        <v>274.0</v>
      </c>
      <c r="T151" s="14">
        <v>65.0</v>
      </c>
      <c r="U151" s="14">
        <v>2435.0</v>
      </c>
      <c r="W151" s="21">
        <v>124.0</v>
      </c>
      <c r="X151" s="14">
        <v>95.0</v>
      </c>
      <c r="Y151" s="14">
        <v>2405.0</v>
      </c>
      <c r="AA151" s="21">
        <v>48.0</v>
      </c>
      <c r="AB151" s="14">
        <v>38.0</v>
      </c>
      <c r="AC151" s="14">
        <v>92.0</v>
      </c>
    </row>
    <row r="152">
      <c r="A152" s="27">
        <f>HYPERLINK("https://arcprize.org/play?task=6430c8c4", 144)</f>
        <v>144</v>
      </c>
      <c r="B152" s="14">
        <f>IFERROR(__xludf.DUMMYFUNCTION("min(filter(Scores!B155:AX155,Scores!B155:AX155&gt;0))"),53.0)</f>
        <v>53</v>
      </c>
      <c r="C152" s="14">
        <v>2447.0</v>
      </c>
      <c r="D152" s="51" t="str">
        <f t="array" ref="D152">if(B152,if(countif(Scores!B155:AX155,B152)=1,concat("💎",XLOOKUP(B152,Scores!B155:AX155,Scores!B$1:AX$1)),concat("🥇 x",countif(Scores!B155:AX155,B152))),"")</f>
        <v>🥇 x4</v>
      </c>
      <c r="E152" s="14">
        <f>if(countif(Scores!B155:AX155,B152)=1,F152,-1)</f>
        <v>-1</v>
      </c>
      <c r="F152" s="14">
        <f t="shared" si="1"/>
        <v>53</v>
      </c>
      <c r="G152" s="14">
        <f>IFERROR(__xludf.DUMMYFUNCTION("if(iferror(small(filter(Scores!B155:AX155,Scores!B155:AX155&gt;0),2),-1)&lt;&gt;F152,iferror(small(filter(Scores!B155:AX155,Scores!B155:AX155&gt;0),2),-1),-1)"),-1.0)</f>
        <v>-1</v>
      </c>
      <c r="H152" s="14">
        <f>IFERROR(__xludf.DUMMYFUNCTION("if(iferror(small(filter(Scores!B155:AX155,Scores!B155:AX155&gt;0),3),-1)&lt;&gt;iferror(small(filter(Scores!B155:AX155,Scores!B155:AX155&gt;0),2),-1),iferror(small(filter(Scores!B155:AX155,Scores!B155:AX155&gt;0),3),-1),-1)"),-1.0)</f>
        <v>-1</v>
      </c>
      <c r="I152" s="14">
        <f>IFERROR(__xludf.DUMMYFUNCTION("IFERROR(COLUMNS(filter(Scores!B155:AE155,Scores!B155:AE155)),"""")"),46.0)</f>
        <v>46</v>
      </c>
      <c r="J152" s="14">
        <f>COUNTIF(Scores!B155:AX155,B152)</f>
        <v>4</v>
      </c>
      <c r="K152" s="21">
        <f>IFERROR(__xludf.DUMMYFUNCTION("""COMPUTED_VALUE"""),144.0)</f>
        <v>144</v>
      </c>
      <c r="L152" s="36"/>
      <c r="S152" s="21">
        <v>290.0</v>
      </c>
      <c r="T152" s="14">
        <v>65.0</v>
      </c>
      <c r="U152" s="14">
        <v>2435.0</v>
      </c>
      <c r="W152" s="21">
        <v>189.0</v>
      </c>
      <c r="X152" s="14">
        <v>95.0</v>
      </c>
      <c r="Y152" s="14">
        <v>2405.0</v>
      </c>
      <c r="AA152" s="21">
        <v>112.0</v>
      </c>
      <c r="AB152" s="14">
        <v>38.0</v>
      </c>
      <c r="AC152" s="14">
        <v>91.0</v>
      </c>
    </row>
    <row r="153">
      <c r="A153" s="27">
        <f>HYPERLINK("https://arcprize.org/play?task=6455b5f5", 145)</f>
        <v>145</v>
      </c>
      <c r="B153" s="14">
        <f>IFERROR(__xludf.DUMMYFUNCTION("min(filter(Scores!B156:AX156,Scores!B156:AX156&gt;0))"),157.0)</f>
        <v>157</v>
      </c>
      <c r="C153" s="14">
        <v>2343.0</v>
      </c>
      <c r="D153" s="51" t="str">
        <f t="array" ref="D153">if(B153,if(countif(Scores!B156:AX156,B153)=1,concat("💎",XLOOKUP(B153,Scores!B156:AX156,Scores!B$1:AX$1)),concat("🥇 x",countif(Scores!B156:AX156,B153))),"")</f>
        <v>💎ox jam</v>
      </c>
      <c r="E153" s="14">
        <f>if(countif(Scores!B156:AX156,B153)=1,F153,-1)</f>
        <v>157</v>
      </c>
      <c r="F153" s="14">
        <f t="shared" si="1"/>
        <v>157</v>
      </c>
      <c r="G153" s="14">
        <f>IFERROR(__xludf.DUMMYFUNCTION("if(iferror(small(filter(Scores!B156:AX156,Scores!B156:AX156&gt;0),2),-1)&lt;&gt;F153,iferror(small(filter(Scores!B156:AX156,Scores!B156:AX156&gt;0),2),-1),-1)"),167.0)</f>
        <v>167</v>
      </c>
      <c r="H153" s="14">
        <f>IFERROR(__xludf.DUMMYFUNCTION("if(iferror(small(filter(Scores!B156:AX156,Scores!B156:AX156&gt;0),3),-1)&lt;&gt;iferror(small(filter(Scores!B156:AX156,Scores!B156:AX156&gt;0),2),-1),iferror(small(filter(Scores!B156:AX156,Scores!B156:AX156&gt;0),3),-1),-1)"),177.0)</f>
        <v>177</v>
      </c>
      <c r="I153" s="14">
        <f>IFERROR(__xludf.DUMMYFUNCTION("IFERROR(COLUMNS(filter(Scores!B156:AE156,Scores!B156:AE156)),"""")"),37.0)</f>
        <v>37</v>
      </c>
      <c r="J153" s="14">
        <f>COUNTIF(Scores!B156:AX156,B153)</f>
        <v>1</v>
      </c>
      <c r="K153" s="21">
        <f>IFERROR(__xludf.DUMMYFUNCTION("""COMPUTED_VALUE"""),145.0)</f>
        <v>145</v>
      </c>
      <c r="L153" s="36"/>
      <c r="S153" s="21">
        <v>320.0</v>
      </c>
      <c r="T153" s="14">
        <v>65.0</v>
      </c>
      <c r="U153" s="14">
        <v>2435.0</v>
      </c>
      <c r="W153" s="21">
        <v>217.0</v>
      </c>
      <c r="X153" s="14">
        <v>95.0</v>
      </c>
      <c r="Y153" s="14">
        <v>2405.0</v>
      </c>
      <c r="AA153" s="21">
        <v>184.0</v>
      </c>
      <c r="AB153" s="14">
        <v>38.0</v>
      </c>
      <c r="AC153" s="14">
        <v>91.0</v>
      </c>
    </row>
    <row r="154">
      <c r="A154" s="27">
        <f>HYPERLINK("https://arcprize.org/play?task=662c240a", 146)</f>
        <v>146</v>
      </c>
      <c r="B154" s="14">
        <f>IFERROR(__xludf.DUMMYFUNCTION("min(filter(Scores!B157:AX157,Scores!B157:AX157&gt;0))"),58.0)</f>
        <v>58</v>
      </c>
      <c r="C154" s="14">
        <v>2442.0</v>
      </c>
      <c r="D154" s="51" t="str">
        <f t="array" ref="D154">if(B154,if(countif(Scores!B157:AX157,B154)=1,concat("💎",XLOOKUP(B154,Scores!B157:AX157,Scores!B$1:AX$1)),concat("🥇 x",countif(Scores!B157:AX157,B154))),"")</f>
        <v>🥇 x13</v>
      </c>
      <c r="E154" s="14">
        <f>if(countif(Scores!B157:AX157,B154)=1,F154,-1)</f>
        <v>-1</v>
      </c>
      <c r="F154" s="14">
        <f t="shared" si="1"/>
        <v>58</v>
      </c>
      <c r="G154" s="14">
        <f>IFERROR(__xludf.DUMMYFUNCTION("if(iferror(small(filter(Scores!B157:AX157,Scores!B157:AX157&gt;0),2),-1)&lt;&gt;F154,iferror(small(filter(Scores!B157:AX157,Scores!B157:AX157&gt;0),2),-1),-1)"),-1.0)</f>
        <v>-1</v>
      </c>
      <c r="H154" s="14">
        <f>IFERROR(__xludf.DUMMYFUNCTION("if(iferror(small(filter(Scores!B157:AX157,Scores!B157:AX157&gt;0),3),-1)&lt;&gt;iferror(small(filter(Scores!B157:AX157,Scores!B157:AX157&gt;0),2),-1),iferror(small(filter(Scores!B157:AX157,Scores!B157:AX157&gt;0),3),-1),-1)"),-1.0)</f>
        <v>-1</v>
      </c>
      <c r="I154" s="14">
        <f>IFERROR(__xludf.DUMMYFUNCTION("IFERROR(COLUMNS(filter(Scores!B157:AE157,Scores!B157:AE157)),"""")"),43.0)</f>
        <v>43</v>
      </c>
      <c r="J154" s="14">
        <f>COUNTIF(Scores!B157:AX157,B154)</f>
        <v>13</v>
      </c>
      <c r="K154" s="21">
        <f>IFERROR(__xludf.DUMMYFUNCTION("""COMPUTED_VALUE"""),146.0)</f>
        <v>146</v>
      </c>
      <c r="L154" s="36"/>
      <c r="S154" s="21">
        <v>334.0</v>
      </c>
      <c r="T154" s="14">
        <v>65.0</v>
      </c>
      <c r="U154" s="14">
        <v>2435.0</v>
      </c>
      <c r="W154" s="21">
        <v>230.0</v>
      </c>
      <c r="X154" s="14">
        <v>95.0</v>
      </c>
      <c r="Y154" s="14">
        <v>2405.0</v>
      </c>
      <c r="AA154" s="21">
        <v>348.0</v>
      </c>
      <c r="AB154" s="14">
        <v>38.0</v>
      </c>
      <c r="AC154" s="14">
        <v>88.0</v>
      </c>
    </row>
    <row r="155">
      <c r="A155" s="27">
        <f>HYPERLINK("https://arcprize.org/play?task=67385a82", 147)</f>
        <v>147</v>
      </c>
      <c r="B155" s="14">
        <f>IFERROR(__xludf.DUMMYFUNCTION("min(filter(Scores!B158:AX158,Scores!B158:AX158&gt;0))"),72.0)</f>
        <v>72</v>
      </c>
      <c r="C155" s="14">
        <v>2428.0</v>
      </c>
      <c r="D155" s="51" t="str">
        <f t="array" ref="D155">if(B155,if(countif(Scores!B158:AX158,B155)=1,concat("💎",XLOOKUP(B155,Scores!B158:AX158,Scores!B$1:AX$1)),concat("🥇 x",countif(Scores!B158:AX158,B155))),"")</f>
        <v>💎ox jam</v>
      </c>
      <c r="E155" s="14">
        <f>if(countif(Scores!B158:AX158,B155)=1,F155,-1)</f>
        <v>72</v>
      </c>
      <c r="F155" s="14">
        <f t="shared" si="1"/>
        <v>72</v>
      </c>
      <c r="G155" s="14">
        <f>IFERROR(__xludf.DUMMYFUNCTION("if(iferror(small(filter(Scores!B158:AX158,Scores!B158:AX158&gt;0),2),-1)&lt;&gt;F155,iferror(small(filter(Scores!B158:AX158,Scores!B158:AX158&gt;0),2),-1),-1)"),81.0)</f>
        <v>81</v>
      </c>
      <c r="H155" s="14">
        <f>IFERROR(__xludf.DUMMYFUNCTION("if(iferror(small(filter(Scores!B158:AX158,Scores!B158:AX158&gt;0),3),-1)&lt;&gt;iferror(small(filter(Scores!B158:AX158,Scores!B158:AX158&gt;0),2),-1),iferror(small(filter(Scores!B158:AX158,Scores!B158:AX158&gt;0),3),-1),-1)"),-1.0)</f>
        <v>-1</v>
      </c>
      <c r="I155" s="14">
        <f>IFERROR(__xludf.DUMMYFUNCTION("IFERROR(COLUMNS(filter(Scores!B158:AE158,Scores!B158:AE158)),"""")"),39.0)</f>
        <v>39</v>
      </c>
      <c r="J155" s="14">
        <f>COUNTIF(Scores!B158:AX158,B155)</f>
        <v>1</v>
      </c>
      <c r="K155" s="21">
        <f>IFERROR(__xludf.DUMMYFUNCTION("""COMPUTED_VALUE"""),147.0)</f>
        <v>147</v>
      </c>
      <c r="L155" s="36"/>
      <c r="S155" s="21">
        <v>10.0</v>
      </c>
      <c r="T155" s="14">
        <v>66.0</v>
      </c>
      <c r="U155" s="14">
        <v>2434.0</v>
      </c>
      <c r="W155" s="21">
        <v>250.0</v>
      </c>
      <c r="X155" s="14">
        <v>95.0</v>
      </c>
      <c r="Y155" s="14">
        <v>2405.0</v>
      </c>
      <c r="AA155" s="21">
        <v>213.0</v>
      </c>
      <c r="AB155" s="14">
        <v>38.0</v>
      </c>
      <c r="AC155" s="14">
        <v>86.0</v>
      </c>
    </row>
    <row r="156">
      <c r="A156" s="27">
        <f>HYPERLINK("https://arcprize.org/play?task=673ef223", 148)</f>
        <v>148</v>
      </c>
      <c r="B156" s="14">
        <f>IFERROR(__xludf.DUMMYFUNCTION("min(filter(Scores!B159:AX159,Scores!B159:AX159&gt;0))"),118.0)</f>
        <v>118</v>
      </c>
      <c r="C156" s="14">
        <v>2382.0</v>
      </c>
      <c r="D156" s="51" t="str">
        <f t="array" ref="D156">if(B156,if(countif(Scores!B159:AX159,B156)=1,concat("💎",XLOOKUP(B156,Scores!B159:AX159,Scores!B$1:AX$1)),concat("🥇 x",countif(Scores!B159:AX159,B156))),"")</f>
        <v>💎Code Golf International</v>
      </c>
      <c r="E156" s="14">
        <f>if(countif(Scores!B159:AX159,B156)=1,F156,-1)</f>
        <v>118</v>
      </c>
      <c r="F156" s="14">
        <f t="shared" si="1"/>
        <v>118</v>
      </c>
      <c r="G156" s="14">
        <f>IFERROR(__xludf.DUMMYFUNCTION("if(iferror(small(filter(Scores!B159:AX159,Scores!B159:AX159&gt;0),2),-1)&lt;&gt;F156,iferror(small(filter(Scores!B159:AX159,Scores!B159:AX159&gt;0),2),-1),-1)"),124.0)</f>
        <v>124</v>
      </c>
      <c r="H156" s="14">
        <f>IFERROR(__xludf.DUMMYFUNCTION("if(iferror(small(filter(Scores!B159:AX159,Scores!B159:AX159&gt;0),3),-1)&lt;&gt;iferror(small(filter(Scores!B159:AX159,Scores!B159:AX159&gt;0),2),-1),iferror(small(filter(Scores!B159:AX159,Scores!B159:AX159&gt;0),3),-1),-1)"),130.0)</f>
        <v>130</v>
      </c>
      <c r="I156" s="14">
        <f>IFERROR(__xludf.DUMMYFUNCTION("IFERROR(COLUMNS(filter(Scores!B159:AE159,Scores!B159:AE159)),"""")"),35.0)</f>
        <v>35</v>
      </c>
      <c r="J156" s="14">
        <f>COUNTIF(Scores!B159:AX159,B156)</f>
        <v>1</v>
      </c>
      <c r="K156" s="21">
        <f>IFERROR(__xludf.DUMMYFUNCTION("""COMPUTED_VALUE"""),148.0)</f>
        <v>148</v>
      </c>
      <c r="L156" s="36"/>
      <c r="S156" s="21">
        <v>237.0</v>
      </c>
      <c r="T156" s="14">
        <v>66.0</v>
      </c>
      <c r="U156" s="14">
        <v>2434.0</v>
      </c>
      <c r="W156" s="21">
        <v>355.0</v>
      </c>
      <c r="X156" s="14">
        <v>95.0</v>
      </c>
      <c r="Y156" s="14">
        <v>2405.0</v>
      </c>
      <c r="AA156" s="21">
        <v>336.0</v>
      </c>
      <c r="AB156" s="14">
        <v>38.0</v>
      </c>
      <c r="AC156" s="14">
        <v>86.0</v>
      </c>
    </row>
    <row r="157">
      <c r="A157" s="27">
        <f>HYPERLINK("https://arcprize.org/play?task=6773b310", 149)</f>
        <v>149</v>
      </c>
      <c r="B157" s="14">
        <f>IFERROR(__xludf.DUMMYFUNCTION("min(filter(Scores!B160:AX160,Scores!B160:AX160&gt;0))"),74.0)</f>
        <v>74</v>
      </c>
      <c r="C157" s="14">
        <v>2426.0</v>
      </c>
      <c r="D157" s="51" t="str">
        <f t="array" ref="D157">if(B157,if(countif(Scores!B160:AX160,B157)=1,concat("💎",XLOOKUP(B157,Scores!B160:AX160,Scores!B$1:AX$1)),concat("🥇 x",countif(Scores!B160:AX160,B157))),"")</f>
        <v>💎jailctf merger</v>
      </c>
      <c r="E157" s="14">
        <f>if(countif(Scores!B160:AX160,B157)=1,F157,-1)</f>
        <v>74</v>
      </c>
      <c r="F157" s="14">
        <f t="shared" si="1"/>
        <v>74</v>
      </c>
      <c r="G157" s="14">
        <f>IFERROR(__xludf.DUMMYFUNCTION("if(iferror(small(filter(Scores!B160:AX160,Scores!B160:AX160&gt;0),2),-1)&lt;&gt;F157,iferror(small(filter(Scores!B160:AX160,Scores!B160:AX160&gt;0),2),-1),-1)"),75.0)</f>
        <v>75</v>
      </c>
      <c r="H157" s="14">
        <f>IFERROR(__xludf.DUMMYFUNCTION("if(iferror(small(filter(Scores!B160:AX160,Scores!B160:AX160&gt;0),3),-1)&lt;&gt;iferror(small(filter(Scores!B160:AX160,Scores!B160:AX160&gt;0),2),-1),iferror(small(filter(Scores!B160:AX160,Scores!B160:AX160&gt;0),3),-1),-1)"),-1.0)</f>
        <v>-1</v>
      </c>
      <c r="I157" s="14">
        <f>IFERROR(__xludf.DUMMYFUNCTION("IFERROR(COLUMNS(filter(Scores!B160:AE160,Scores!B160:AE160)),"""")"),40.0)</f>
        <v>40</v>
      </c>
      <c r="J157" s="14">
        <f>COUNTIF(Scores!B160:AX160,B157)</f>
        <v>1</v>
      </c>
      <c r="K157" s="21">
        <f>IFERROR(__xludf.DUMMYFUNCTION("""COMPUTED_VALUE"""),149.0)</f>
        <v>149</v>
      </c>
      <c r="L157" s="36"/>
      <c r="S157" s="21">
        <v>351.0</v>
      </c>
      <c r="T157" s="14">
        <v>66.0</v>
      </c>
      <c r="U157" s="14">
        <v>2434.0</v>
      </c>
      <c r="W157" s="21">
        <v>136.0</v>
      </c>
      <c r="X157" s="14">
        <v>94.0</v>
      </c>
      <c r="Y157" s="14">
        <v>2406.0</v>
      </c>
      <c r="AA157" s="21">
        <v>58.0</v>
      </c>
      <c r="AB157" s="14">
        <v>38.0</v>
      </c>
      <c r="AC157" s="14">
        <v>85.0</v>
      </c>
    </row>
    <row r="158">
      <c r="A158" s="27">
        <f>HYPERLINK("https://arcprize.org/play?task=67a3c6ac", 150)</f>
        <v>150</v>
      </c>
      <c r="B158" s="14">
        <f>IFERROR(__xludf.DUMMYFUNCTION("min(filter(Scores!B161:AX161,Scores!B161:AX161&gt;0))"),30.0)</f>
        <v>30</v>
      </c>
      <c r="C158" s="14">
        <v>2470.0</v>
      </c>
      <c r="D158" s="51" t="str">
        <f t="array" ref="D158">if(B158,if(countif(Scores!B161:AX161,B158)=1,concat("💎",XLOOKUP(B158,Scores!B161:AX161,Scores!B$1:AX$1)),concat("🥇 x",countif(Scores!B161:AX161,B158))),"")</f>
        <v>🥇 x44</v>
      </c>
      <c r="E158" s="14">
        <f>if(countif(Scores!B161:AX161,B158)=1,F158,-1)</f>
        <v>-1</v>
      </c>
      <c r="F158" s="14">
        <f t="shared" si="1"/>
        <v>30</v>
      </c>
      <c r="G158" s="14">
        <f>IFERROR(__xludf.DUMMYFUNCTION("if(iferror(small(filter(Scores!B161:AX161,Scores!B161:AX161&gt;0),2),-1)&lt;&gt;F158,iferror(small(filter(Scores!B161:AX161,Scores!B161:AX161&gt;0),2),-1),-1)"),-1.0)</f>
        <v>-1</v>
      </c>
      <c r="H158" s="14">
        <f>IFERROR(__xludf.DUMMYFUNCTION("if(iferror(small(filter(Scores!B161:AX161,Scores!B161:AX161&gt;0),3),-1)&lt;&gt;iferror(small(filter(Scores!B161:AX161,Scores!B161:AX161&gt;0),2),-1),iferror(small(filter(Scores!B161:AX161,Scores!B161:AX161&gt;0),3),-1),-1)"),-1.0)</f>
        <v>-1</v>
      </c>
      <c r="I158" s="14">
        <f>IFERROR(__xludf.DUMMYFUNCTION("IFERROR(COLUMNS(filter(Scores!B161:AE161,Scores!B161:AE161)),"""")"),45.0)</f>
        <v>45</v>
      </c>
      <c r="J158" s="14">
        <f>COUNTIF(Scores!B161:AX161,B158)</f>
        <v>44</v>
      </c>
      <c r="K158" s="21">
        <f>IFERROR(__xludf.DUMMYFUNCTION("""COMPUTED_VALUE"""),150.0)</f>
        <v>150</v>
      </c>
      <c r="L158" s="36"/>
      <c r="S158" s="21">
        <v>400.0</v>
      </c>
      <c r="T158" s="14">
        <v>66.0</v>
      </c>
      <c r="U158" s="14">
        <v>2434.0</v>
      </c>
      <c r="W158" s="21">
        <v>195.0</v>
      </c>
      <c r="X158" s="14">
        <v>94.0</v>
      </c>
      <c r="Y158" s="14">
        <v>2406.0</v>
      </c>
      <c r="AA158" s="21">
        <v>251.0</v>
      </c>
      <c r="AB158" s="14">
        <v>38.0</v>
      </c>
      <c r="AC158" s="14">
        <v>84.0</v>
      </c>
    </row>
    <row r="159">
      <c r="A159" s="27">
        <f>HYPERLINK("https://arcprize.org/play?task=67a423a3", 151)</f>
        <v>151</v>
      </c>
      <c r="B159" s="14">
        <f>IFERROR(__xludf.DUMMYFUNCTION("min(filter(Scores!B162:AX162,Scores!B162:AX162&gt;0))"),100.0)</f>
        <v>100</v>
      </c>
      <c r="C159" s="14">
        <v>2400.0</v>
      </c>
      <c r="D159" s="51" t="str">
        <f t="array" ref="D159">if(B159,if(countif(Scores!B162:AX162,B159)=1,concat("💎",XLOOKUP(B159,Scores!B162:AX162,Scores!B$1:AX$1)),concat("🥇 x",countif(Scores!B162:AX162,B159))),"")</f>
        <v>💎LogicLynx</v>
      </c>
      <c r="E159" s="14">
        <f>if(countif(Scores!B162:AX162,B159)=1,F159,-1)</f>
        <v>100</v>
      </c>
      <c r="F159" s="14">
        <f t="shared" si="1"/>
        <v>100</v>
      </c>
      <c r="G159" s="14">
        <f>IFERROR(__xludf.DUMMYFUNCTION("if(iferror(small(filter(Scores!B162:AX162,Scores!B162:AX162&gt;0),2),-1)&lt;&gt;F159,iferror(small(filter(Scores!B162:AX162,Scores!B162:AX162&gt;0),2),-1),-1)"),102.0)</f>
        <v>102</v>
      </c>
      <c r="H159" s="14">
        <f>IFERROR(__xludf.DUMMYFUNCTION("if(iferror(small(filter(Scores!B162:AX162,Scores!B162:AX162&gt;0),3),-1)&lt;&gt;iferror(small(filter(Scores!B162:AX162,Scores!B162:AX162&gt;0),2),-1),iferror(small(filter(Scores!B162:AX162,Scores!B162:AX162&gt;0),3),-1),-1)"),103.0)</f>
        <v>103</v>
      </c>
      <c r="I159" s="14">
        <f>IFERROR(__xludf.DUMMYFUNCTION("IFERROR(COLUMNS(filter(Scores!B162:AE162,Scores!B162:AE162)),"""")"),41.0)</f>
        <v>41</v>
      </c>
      <c r="J159" s="14">
        <f>COUNTIF(Scores!B162:AX162,B159)</f>
        <v>1</v>
      </c>
      <c r="K159" s="21">
        <f>IFERROR(__xludf.DUMMYFUNCTION("""COMPUTED_VALUE"""),151.0)</f>
        <v>151</v>
      </c>
      <c r="L159" s="36"/>
      <c r="S159" s="21">
        <v>181.0</v>
      </c>
      <c r="T159" s="14">
        <v>67.0</v>
      </c>
      <c r="U159" s="14">
        <v>2433.0</v>
      </c>
      <c r="W159" s="21">
        <v>30.0</v>
      </c>
      <c r="X159" s="14">
        <v>93.0</v>
      </c>
      <c r="Y159" s="14">
        <v>2407.0</v>
      </c>
      <c r="AA159" s="21">
        <v>187.0</v>
      </c>
      <c r="AB159" s="14">
        <v>38.0</v>
      </c>
      <c r="AC159" s="14">
        <v>83.0</v>
      </c>
    </row>
    <row r="160">
      <c r="A160" s="27">
        <f>HYPERLINK("https://arcprize.org/play?task=67e8384a", 152)</f>
        <v>152</v>
      </c>
      <c r="B160" s="14">
        <f>IFERROR(__xludf.DUMMYFUNCTION("min(filter(Scores!B163:AX163,Scores!B163:AX163&gt;0))"),39.0)</f>
        <v>39</v>
      </c>
      <c r="C160" s="14">
        <v>2461.0</v>
      </c>
      <c r="D160" s="51" t="str">
        <f t="array" ref="D160">if(B160,if(countif(Scores!B163:AX163,B160)=1,concat("💎",XLOOKUP(B160,Scores!B163:AX163,Scores!B$1:AX$1)),concat("🥇 x",countif(Scores!B163:AX163,B160))),"")</f>
        <v>💎jailctf merger</v>
      </c>
      <c r="E160" s="14">
        <f>if(countif(Scores!B163:AX163,B160)=1,F160,-1)</f>
        <v>39</v>
      </c>
      <c r="F160" s="14">
        <f t="shared" si="1"/>
        <v>39</v>
      </c>
      <c r="G160" s="14">
        <f>IFERROR(__xludf.DUMMYFUNCTION("if(iferror(small(filter(Scores!B163:AX163,Scores!B163:AX163&gt;0),2),-1)&lt;&gt;F160,iferror(small(filter(Scores!B163:AX163,Scores!B163:AX163&gt;0),2),-1),-1)"),40.0)</f>
        <v>40</v>
      </c>
      <c r="H160" s="14">
        <f>IFERROR(__xludf.DUMMYFUNCTION("if(iferror(small(filter(Scores!B163:AX163,Scores!B163:AX163&gt;0),3),-1)&lt;&gt;iferror(small(filter(Scores!B163:AX163,Scores!B163:AX163&gt;0),2),-1),iferror(small(filter(Scores!B163:AX163,Scores!B163:AX163&gt;0),3),-1),-1)"),-1.0)</f>
        <v>-1</v>
      </c>
      <c r="I160" s="14">
        <f>IFERROR(__xludf.DUMMYFUNCTION("IFERROR(COLUMNS(filter(Scores!B163:AE163,Scores!B163:AE163)),"""")"),45.0)</f>
        <v>45</v>
      </c>
      <c r="J160" s="14">
        <f>COUNTIF(Scores!B163:AX163,B160)</f>
        <v>1</v>
      </c>
      <c r="K160" s="21">
        <f>IFERROR(__xludf.DUMMYFUNCTION("""COMPUTED_VALUE"""),152.0)</f>
        <v>152</v>
      </c>
      <c r="L160" s="36"/>
      <c r="S160" s="21">
        <v>248.0</v>
      </c>
      <c r="T160" s="14">
        <v>67.0</v>
      </c>
      <c r="U160" s="14">
        <v>2433.0</v>
      </c>
      <c r="W160" s="21">
        <v>97.0</v>
      </c>
      <c r="X160" s="14">
        <v>93.0</v>
      </c>
      <c r="Y160" s="14">
        <v>2407.0</v>
      </c>
      <c r="AA160" s="21">
        <v>357.0</v>
      </c>
      <c r="AB160" s="14">
        <v>38.0</v>
      </c>
      <c r="AC160" s="14">
        <v>81.0</v>
      </c>
    </row>
    <row r="161">
      <c r="A161" s="27">
        <f>HYPERLINK("https://arcprize.org/play?task=681b3aeb", 153)</f>
        <v>153</v>
      </c>
      <c r="B161" s="14">
        <f>IFERROR(__xludf.DUMMYFUNCTION("min(filter(Scores!B164:AX164,Scores!B164:AX164&gt;0))"),118.0)</f>
        <v>118</v>
      </c>
      <c r="C161" s="14">
        <v>2382.0</v>
      </c>
      <c r="D161" s="51" t="str">
        <f t="array" ref="D161">if(B161,if(countif(Scores!B164:AX164,B161)=1,concat("💎",XLOOKUP(B161,Scores!B164:AX164,Scores!B$1:AX$1)),concat("🥇 x",countif(Scores!B164:AX164,B161))),"")</f>
        <v>💎Code Golf International</v>
      </c>
      <c r="E161" s="14">
        <f>if(countif(Scores!B164:AX164,B161)=1,F161,-1)</f>
        <v>118</v>
      </c>
      <c r="F161" s="14">
        <f t="shared" si="1"/>
        <v>118</v>
      </c>
      <c r="G161" s="14">
        <f>IFERROR(__xludf.DUMMYFUNCTION("if(iferror(small(filter(Scores!B164:AX164,Scores!B164:AX164&gt;0),2),-1)&lt;&gt;F161,iferror(small(filter(Scores!B164:AX164,Scores!B164:AX164&gt;0),2),-1),-1)"),119.0)</f>
        <v>119</v>
      </c>
      <c r="H161" s="14">
        <f>IFERROR(__xludf.DUMMYFUNCTION("if(iferror(small(filter(Scores!B164:AX164,Scores!B164:AX164&gt;0),3),-1)&lt;&gt;iferror(small(filter(Scores!B164:AX164,Scores!B164:AX164&gt;0),2),-1),iferror(small(filter(Scores!B164:AX164,Scores!B164:AX164&gt;0),3),-1),-1)"),128.0)</f>
        <v>128</v>
      </c>
      <c r="I161" s="14">
        <f>IFERROR(__xludf.DUMMYFUNCTION("IFERROR(COLUMNS(filter(Scores!B164:AE164,Scores!B164:AE164)),"""")"),34.0)</f>
        <v>34</v>
      </c>
      <c r="J161" s="14">
        <f>COUNTIF(Scores!B164:AX164,B161)</f>
        <v>1</v>
      </c>
      <c r="K161" s="21">
        <f>IFERROR(__xludf.DUMMYFUNCTION("""COMPUTED_VALUE"""),153.0)</f>
        <v>153</v>
      </c>
      <c r="L161" s="36"/>
      <c r="S161" s="21">
        <v>327.0</v>
      </c>
      <c r="T161" s="14">
        <v>67.0</v>
      </c>
      <c r="U161" s="14">
        <v>2433.0</v>
      </c>
      <c r="W161" s="21">
        <v>99.0</v>
      </c>
      <c r="X161" s="14">
        <v>93.0</v>
      </c>
      <c r="Y161" s="14">
        <v>2407.0</v>
      </c>
      <c r="AA161" s="21">
        <v>161.0</v>
      </c>
      <c r="AB161" s="14">
        <v>38.0</v>
      </c>
      <c r="AC161" s="14">
        <v>79.0</v>
      </c>
    </row>
    <row r="162">
      <c r="A162" s="27">
        <f>HYPERLINK("https://arcprize.org/play?task=6855a6e4", 154)</f>
        <v>154</v>
      </c>
      <c r="B162" s="14">
        <f>IFERROR(__xludf.DUMMYFUNCTION("min(filter(Scores!B165:AX165,Scores!B165:AX165&gt;0))"),96.0)</f>
        <v>96</v>
      </c>
      <c r="C162" s="14">
        <v>2404.0</v>
      </c>
      <c r="D162" s="51" t="str">
        <f t="array" ref="D162">if(B162,if(countif(Scores!B165:AX165,B162)=1,concat("💎",XLOOKUP(B162,Scores!B165:AX165,Scores!B$1:AX$1)),concat("🥇 x",countif(Scores!B165:AX165,B162))),"")</f>
        <v>💎Ravi Annaswamy</v>
      </c>
      <c r="E162" s="14">
        <f>if(countif(Scores!B165:AX165,B162)=1,F162,-1)</f>
        <v>96</v>
      </c>
      <c r="F162" s="14">
        <f t="shared" si="1"/>
        <v>96</v>
      </c>
      <c r="G162" s="14">
        <f>IFERROR(__xludf.DUMMYFUNCTION("if(iferror(small(filter(Scores!B165:AX165,Scores!B165:AX165&gt;0),2),-1)&lt;&gt;F162,iferror(small(filter(Scores!B165:AX165,Scores!B165:AX165&gt;0),2),-1),-1)"),98.0)</f>
        <v>98</v>
      </c>
      <c r="H162" s="14">
        <f>IFERROR(__xludf.DUMMYFUNCTION("if(iferror(small(filter(Scores!B165:AX165,Scores!B165:AX165&gt;0),3),-1)&lt;&gt;iferror(small(filter(Scores!B165:AX165,Scores!B165:AX165&gt;0),2),-1),iferror(small(filter(Scores!B165:AX165,Scores!B165:AX165&gt;0),3),-1),-1)"),-1.0)</f>
        <v>-1</v>
      </c>
      <c r="I162" s="14">
        <f>IFERROR(__xludf.DUMMYFUNCTION("IFERROR(COLUMNS(filter(Scores!B165:AE165,Scores!B165:AE165)),"""")"),35.0)</f>
        <v>35</v>
      </c>
      <c r="J162" s="14">
        <f>COUNTIF(Scores!B165:AX165,B162)</f>
        <v>1</v>
      </c>
      <c r="K162" s="21">
        <f>IFERROR(__xludf.DUMMYFUNCTION("""COMPUTED_VALUE"""),154.0)</f>
        <v>154</v>
      </c>
      <c r="L162" s="36"/>
      <c r="S162" s="21">
        <v>362.0</v>
      </c>
      <c r="T162" s="14">
        <v>67.0</v>
      </c>
      <c r="U162" s="14">
        <v>2433.0</v>
      </c>
      <c r="W162" s="21">
        <v>204.0</v>
      </c>
      <c r="X162" s="14">
        <v>93.0</v>
      </c>
      <c r="Y162" s="14">
        <v>2407.0</v>
      </c>
      <c r="AA162" s="21">
        <v>74.0</v>
      </c>
      <c r="AB162" s="14">
        <v>38.0</v>
      </c>
      <c r="AC162" s="14">
        <v>77.0</v>
      </c>
    </row>
    <row r="163">
      <c r="A163" s="27">
        <f>HYPERLINK("https://arcprize.org/play?task=68b16354", 155)</f>
        <v>155</v>
      </c>
      <c r="B163" s="14">
        <f>IFERROR(__xludf.DUMMYFUNCTION("min(filter(Scores!B166:AX166,Scores!B166:AX166&gt;0))"),18.0)</f>
        <v>18</v>
      </c>
      <c r="C163" s="14">
        <v>2482.0</v>
      </c>
      <c r="D163" s="51" t="str">
        <f t="array" ref="D163">if(B163,if(countif(Scores!B166:AX166,B163)=1,concat("💎",XLOOKUP(B163,Scores!B166:AX166,Scores!B$1:AX$1)),concat("🥇 x",countif(Scores!B166:AX166,B163))),"")</f>
        <v>🥇 x44</v>
      </c>
      <c r="E163" s="14">
        <f>if(countif(Scores!B166:AX166,B163)=1,F163,-1)</f>
        <v>-1</v>
      </c>
      <c r="F163" s="14">
        <f t="shared" si="1"/>
        <v>18</v>
      </c>
      <c r="G163" s="14">
        <f>IFERROR(__xludf.DUMMYFUNCTION("if(iferror(small(filter(Scores!B166:AX166,Scores!B166:AX166&gt;0),2),-1)&lt;&gt;F163,iferror(small(filter(Scores!B166:AX166,Scores!B166:AX166&gt;0),2),-1),-1)"),-1.0)</f>
        <v>-1</v>
      </c>
      <c r="H163" s="14">
        <f>IFERROR(__xludf.DUMMYFUNCTION("if(iferror(small(filter(Scores!B166:AX166,Scores!B166:AX166&gt;0),3),-1)&lt;&gt;iferror(small(filter(Scores!B166:AX166,Scores!B166:AX166&gt;0),2),-1),iferror(small(filter(Scores!B166:AX166,Scores!B166:AX166&gt;0),3),-1),-1)"),-1.0)</f>
        <v>-1</v>
      </c>
      <c r="I163" s="14">
        <f>IFERROR(__xludf.DUMMYFUNCTION("IFERROR(COLUMNS(filter(Scores!B166:AE166,Scores!B166:AE166)),"""")"),45.0)</f>
        <v>45</v>
      </c>
      <c r="J163" s="14">
        <f>COUNTIF(Scores!B166:AX166,B163)</f>
        <v>44</v>
      </c>
      <c r="K163" s="21">
        <f>IFERROR(__xludf.DUMMYFUNCTION("""COMPUTED_VALUE"""),155.0)</f>
        <v>155</v>
      </c>
      <c r="L163" s="36"/>
      <c r="S163" s="21">
        <v>257.0</v>
      </c>
      <c r="T163" s="14">
        <v>68.0</v>
      </c>
      <c r="U163" s="14">
        <v>2432.0</v>
      </c>
      <c r="W163" s="21">
        <v>212.0</v>
      </c>
      <c r="X163" s="14">
        <v>93.0</v>
      </c>
      <c r="Y163" s="14">
        <v>2407.0</v>
      </c>
      <c r="AA163" s="21">
        <v>199.0</v>
      </c>
      <c r="AB163" s="14">
        <v>38.0</v>
      </c>
      <c r="AC163" s="14">
        <v>77.0</v>
      </c>
    </row>
    <row r="164">
      <c r="A164" s="27">
        <f>HYPERLINK("https://arcprize.org/play?task=694f12f3", 156)</f>
        <v>156</v>
      </c>
      <c r="B164" s="14">
        <f>IFERROR(__xludf.DUMMYFUNCTION("min(filter(Scores!B167:AX167,Scores!B167:AX167&gt;0))"),118.0)</f>
        <v>118</v>
      </c>
      <c r="C164" s="14">
        <v>2382.0</v>
      </c>
      <c r="D164" s="51" t="str">
        <f t="array" ref="D164">if(B164,if(countif(Scores!B167:AX167,B164)=1,concat("💎",XLOOKUP(B164,Scores!B167:AX167,Scores!B$1:AX$1)),concat("🥇 x",countif(Scores!B167:AX167,B164))),"")</f>
        <v>💎Code Golf International</v>
      </c>
      <c r="E164" s="14">
        <f>if(countif(Scores!B167:AX167,B164)=1,F164,-1)</f>
        <v>118</v>
      </c>
      <c r="F164" s="14">
        <f t="shared" si="1"/>
        <v>118</v>
      </c>
      <c r="G164" s="14">
        <f>IFERROR(__xludf.DUMMYFUNCTION("if(iferror(small(filter(Scores!B167:AX167,Scores!B167:AX167&gt;0),2),-1)&lt;&gt;F164,iferror(small(filter(Scores!B167:AX167,Scores!B167:AX167&gt;0),2),-1),-1)"),128.0)</f>
        <v>128</v>
      </c>
      <c r="H164" s="14">
        <f>IFERROR(__xludf.DUMMYFUNCTION("if(iferror(small(filter(Scores!B167:AX167,Scores!B167:AX167&gt;0),3),-1)&lt;&gt;iferror(small(filter(Scores!B167:AX167,Scores!B167:AX167&gt;0),2),-1),iferror(small(filter(Scores!B167:AX167,Scores!B167:AX167&gt;0),3),-1),-1)"),142.0)</f>
        <v>142</v>
      </c>
      <c r="I164" s="14">
        <f>IFERROR(__xludf.DUMMYFUNCTION("IFERROR(COLUMNS(filter(Scores!B167:AE167,Scores!B167:AE167)),"""")"),35.0)</f>
        <v>35</v>
      </c>
      <c r="J164" s="14">
        <f>COUNTIF(Scores!B167:AX167,B164)</f>
        <v>1</v>
      </c>
      <c r="K164" s="21">
        <f>IFERROR(__xludf.DUMMYFUNCTION("""COMPUTED_VALUE"""),156.0)</f>
        <v>156</v>
      </c>
      <c r="L164" s="36"/>
      <c r="S164" s="21">
        <v>95.0</v>
      </c>
      <c r="T164" s="14">
        <v>70.0</v>
      </c>
      <c r="U164" s="14">
        <v>2430.0</v>
      </c>
      <c r="W164" s="21">
        <v>222.0</v>
      </c>
      <c r="X164" s="14">
        <v>93.0</v>
      </c>
      <c r="Y164" s="14">
        <v>2407.0</v>
      </c>
      <c r="AA164" s="21">
        <v>344.0</v>
      </c>
      <c r="AB164" s="14">
        <v>38.0</v>
      </c>
      <c r="AC164" s="14">
        <v>74.0</v>
      </c>
    </row>
    <row r="165">
      <c r="A165" s="27">
        <f>HYPERLINK("https://arcprize.org/play?task=6a1e5592", 157)</f>
        <v>157</v>
      </c>
      <c r="B165" s="14">
        <f>IFERROR(__xludf.DUMMYFUNCTION("min(filter(Scores!B168:AX168,Scores!B168:AX168&gt;0))"),237.0)</f>
        <v>237</v>
      </c>
      <c r="C165" s="14">
        <v>2263.0</v>
      </c>
      <c r="D165" s="51" t="str">
        <f t="array" ref="D165">if(B165,if(countif(Scores!B168:AX168,B165)=1,concat("💎",XLOOKUP(B165,Scores!B168:AX168,Scores!B$1:AX$1)),concat("🥇 x",countif(Scores!B168:AX168,B165))),"")</f>
        <v>💎garrymoss</v>
      </c>
      <c r="E165" s="14">
        <f>if(countif(Scores!B168:AX168,B165)=1,F165,-1)</f>
        <v>237</v>
      </c>
      <c r="F165" s="14">
        <f t="shared" si="1"/>
        <v>237</v>
      </c>
      <c r="G165" s="14">
        <f>IFERROR(__xludf.DUMMYFUNCTION("if(iferror(small(filter(Scores!B168:AX168,Scores!B168:AX168&gt;0),2),-1)&lt;&gt;F165,iferror(small(filter(Scores!B168:AX168,Scores!B168:AX168&gt;0),2),-1),-1)"),238.0)</f>
        <v>238</v>
      </c>
      <c r="H165" s="14">
        <f>IFERROR(__xludf.DUMMYFUNCTION("if(iferror(small(filter(Scores!B168:AX168,Scores!B168:AX168&gt;0),3),-1)&lt;&gt;iferror(small(filter(Scores!B168:AX168,Scores!B168:AX168&gt;0),2),-1),iferror(small(filter(Scores!B168:AX168,Scores!B168:AX168&gt;0),3),-1),-1)"),239.0)</f>
        <v>239</v>
      </c>
      <c r="I165" s="14">
        <f>IFERROR(__xludf.DUMMYFUNCTION("IFERROR(COLUMNS(filter(Scores!B168:AE168,Scores!B168:AE168)),"""")"),38.0)</f>
        <v>38</v>
      </c>
      <c r="J165" s="14">
        <f>COUNTIF(Scores!B168:AX168,B165)</f>
        <v>1</v>
      </c>
      <c r="K165" s="21">
        <f>IFERROR(__xludf.DUMMYFUNCTION("""COMPUTED_VALUE"""),157.0)</f>
        <v>157</v>
      </c>
      <c r="L165" s="36"/>
      <c r="S165" s="21">
        <v>122.0</v>
      </c>
      <c r="T165" s="14">
        <v>70.0</v>
      </c>
      <c r="U165" s="14">
        <v>2430.0</v>
      </c>
      <c r="W165" s="21">
        <v>256.0</v>
      </c>
      <c r="X165" s="14">
        <v>93.0</v>
      </c>
      <c r="Y165" s="14">
        <v>2407.0</v>
      </c>
      <c r="AA165" s="21">
        <v>283.0</v>
      </c>
      <c r="AB165" s="14">
        <v>38.0</v>
      </c>
      <c r="AC165" s="14">
        <v>72.0</v>
      </c>
    </row>
    <row r="166">
      <c r="A166" s="27">
        <f>HYPERLINK("https://arcprize.org/play?task=6aa20dc0", 158)</f>
        <v>158</v>
      </c>
      <c r="B166" s="14">
        <f>IFERROR(__xludf.DUMMYFUNCTION("min(filter(Scores!B169:AX169,Scores!B169:AX169&gt;0))"),260.0)</f>
        <v>260</v>
      </c>
      <c r="C166" s="14">
        <v>2240.0</v>
      </c>
      <c r="D166" s="51" t="str">
        <f t="array" ref="D166">if(B166,if(countif(Scores!B169:AX169,B166)=1,concat("💎",XLOOKUP(B166,Scores!B169:AX169,Scores!B$1:AX$1)),concat("🥇 x",countif(Scores!B169:AX169,B166))),"")</f>
        <v>💎ox jam</v>
      </c>
      <c r="E166" s="14">
        <f>if(countif(Scores!B169:AX169,B166)=1,F166,-1)</f>
        <v>260</v>
      </c>
      <c r="F166" s="14">
        <f t="shared" si="1"/>
        <v>260</v>
      </c>
      <c r="G166" s="14">
        <f>IFERROR(__xludf.DUMMYFUNCTION("if(iferror(small(filter(Scores!B169:AX169,Scores!B169:AX169&gt;0),2),-1)&lt;&gt;F166,iferror(small(filter(Scores!B169:AX169,Scores!B169:AX169&gt;0),2),-1),-1)"),261.0)</f>
        <v>261</v>
      </c>
      <c r="H166" s="14">
        <f>IFERROR(__xludf.DUMMYFUNCTION("if(iferror(small(filter(Scores!B169:AX169,Scores!B169:AX169&gt;0),3),-1)&lt;&gt;iferror(small(filter(Scores!B169:AX169,Scores!B169:AX169&gt;0),2),-1),iferror(small(filter(Scores!B169:AX169,Scores!B169:AX169&gt;0),3),-1),-1)"),263.0)</f>
        <v>263</v>
      </c>
      <c r="I166" s="14">
        <f>IFERROR(__xludf.DUMMYFUNCTION("IFERROR(COLUMNS(filter(Scores!B169:AE169,Scores!B169:AE169)),"""")"),35.0)</f>
        <v>35</v>
      </c>
      <c r="J166" s="14">
        <f>COUNTIF(Scores!B169:AX169,B166)</f>
        <v>1</v>
      </c>
      <c r="K166" s="21">
        <f>IFERROR(__xludf.DUMMYFUNCTION("""COMPUTED_VALUE"""),158.0)</f>
        <v>158</v>
      </c>
      <c r="L166" s="36"/>
      <c r="S166" s="21">
        <v>167.0</v>
      </c>
      <c r="T166" s="14">
        <v>70.0</v>
      </c>
      <c r="U166" s="14">
        <v>2430.0</v>
      </c>
      <c r="W166" s="21">
        <v>48.0</v>
      </c>
      <c r="X166" s="14">
        <v>92.0</v>
      </c>
      <c r="Y166" s="14">
        <v>2408.0</v>
      </c>
      <c r="AA166" s="21">
        <v>362.0</v>
      </c>
      <c r="AB166" s="14">
        <v>38.0</v>
      </c>
      <c r="AC166" s="14">
        <v>67.0</v>
      </c>
    </row>
    <row r="167">
      <c r="A167" s="27">
        <f>HYPERLINK("https://arcprize.org/play?task=6b9890af", 159)</f>
        <v>159</v>
      </c>
      <c r="B167" s="14">
        <f>IFERROR(__xludf.DUMMYFUNCTION("min(filter(Scores!B170:AX170,Scores!B170:AX170&gt;0))"),103.0)</f>
        <v>103</v>
      </c>
      <c r="C167" s="14">
        <v>2397.0</v>
      </c>
      <c r="D167" s="51" t="str">
        <f t="array" ref="D167">if(B167,if(countif(Scores!B170:AX170,B167)=1,concat("💎",XLOOKUP(B167,Scores!B170:AX170,Scores!B$1:AX$1)),concat("🥇 x",countif(Scores!B170:AX170,B167))),"")</f>
        <v>💎Code Golf International</v>
      </c>
      <c r="E167" s="14">
        <f>if(countif(Scores!B170:AX170,B167)=1,F167,-1)</f>
        <v>103</v>
      </c>
      <c r="F167" s="14">
        <f t="shared" si="1"/>
        <v>103</v>
      </c>
      <c r="G167" s="14">
        <f>IFERROR(__xludf.DUMMYFUNCTION("if(iferror(small(filter(Scores!B170:AX170,Scores!B170:AX170&gt;0),2),-1)&lt;&gt;F167,iferror(small(filter(Scores!B170:AX170,Scores!B170:AX170&gt;0),2),-1),-1)"),105.0)</f>
        <v>105</v>
      </c>
      <c r="H167" s="14">
        <f>IFERROR(__xludf.DUMMYFUNCTION("if(iferror(small(filter(Scores!B170:AX170,Scores!B170:AX170&gt;0),3),-1)&lt;&gt;iferror(small(filter(Scores!B170:AX170,Scores!B170:AX170&gt;0),2),-1),iferror(small(filter(Scores!B170:AX170,Scores!B170:AX170&gt;0),3),-1),-1)"),106.0)</f>
        <v>106</v>
      </c>
      <c r="I167" s="14">
        <f>IFERROR(__xludf.DUMMYFUNCTION("IFERROR(COLUMNS(filter(Scores!B170:AE170,Scores!B170:AE170)),"""")"),35.0)</f>
        <v>35</v>
      </c>
      <c r="J167" s="14">
        <f>COUNTIF(Scores!B170:AX170,B167)</f>
        <v>1</v>
      </c>
      <c r="K167" s="21">
        <f>IFERROR(__xludf.DUMMYFUNCTION("""COMPUTED_VALUE"""),159.0)</f>
        <v>159</v>
      </c>
      <c r="L167" s="36"/>
      <c r="S167" s="21">
        <v>294.0</v>
      </c>
      <c r="T167" s="14">
        <v>70.0</v>
      </c>
      <c r="U167" s="14">
        <v>2430.0</v>
      </c>
      <c r="W167" s="21">
        <v>141.0</v>
      </c>
      <c r="X167" s="14">
        <v>92.0</v>
      </c>
      <c r="Y167" s="14">
        <v>2408.0</v>
      </c>
      <c r="AA167" s="21">
        <v>306.0</v>
      </c>
      <c r="AB167" s="14">
        <v>38.0</v>
      </c>
      <c r="AC167" s="14">
        <v>63.0</v>
      </c>
    </row>
    <row r="168">
      <c r="A168" s="27">
        <f>HYPERLINK("https://arcprize.org/play?task=6c434453", 160)</f>
        <v>160</v>
      </c>
      <c r="B168" s="14">
        <f>IFERROR(__xludf.DUMMYFUNCTION("min(filter(Scores!B171:AX171,Scores!B171:AX171&gt;0))"),100.0)</f>
        <v>100</v>
      </c>
      <c r="C168" s="14">
        <v>2400.0</v>
      </c>
      <c r="D168" s="51" t="str">
        <f t="array" ref="D168">if(B168,if(countif(Scores!B171:AX171,B168)=1,concat("💎",XLOOKUP(B168,Scores!B171:AX171,Scores!B$1:AX$1)),concat("🥇 x",countif(Scores!B171:AX171,B168))),"")</f>
        <v>💎ox jam</v>
      </c>
      <c r="E168" s="14">
        <f>if(countif(Scores!B171:AX171,B168)=1,F168,-1)</f>
        <v>100</v>
      </c>
      <c r="F168" s="14">
        <f t="shared" si="1"/>
        <v>100</v>
      </c>
      <c r="G168" s="14">
        <f>IFERROR(__xludf.DUMMYFUNCTION("if(iferror(small(filter(Scores!B171:AX171,Scores!B171:AX171&gt;0),2),-1)&lt;&gt;F168,iferror(small(filter(Scores!B171:AX171,Scores!B171:AX171&gt;0),2),-1),-1)"),104.0)</f>
        <v>104</v>
      </c>
      <c r="H168" s="14">
        <f>IFERROR(__xludf.DUMMYFUNCTION("if(iferror(small(filter(Scores!B171:AX171,Scores!B171:AX171&gt;0),3),-1)&lt;&gt;iferror(small(filter(Scores!B171:AX171,Scores!B171:AX171&gt;0),2),-1),iferror(small(filter(Scores!B171:AX171,Scores!B171:AX171&gt;0),3),-1),-1)"),-1.0)</f>
        <v>-1</v>
      </c>
      <c r="I168" s="14">
        <f>IFERROR(__xludf.DUMMYFUNCTION("IFERROR(COLUMNS(filter(Scores!B171:AE171,Scores!B171:AE171)),"""")"),36.0)</f>
        <v>36</v>
      </c>
      <c r="J168" s="14">
        <f>COUNTIF(Scores!B171:AX171,B168)</f>
        <v>1</v>
      </c>
      <c r="K168" s="21">
        <f>IFERROR(__xludf.DUMMYFUNCTION("""COMPUTED_VALUE"""),160.0)</f>
        <v>160</v>
      </c>
      <c r="L168" s="36"/>
      <c r="S168" s="21">
        <v>310.0</v>
      </c>
      <c r="T168" s="14">
        <v>70.0</v>
      </c>
      <c r="U168" s="14">
        <v>2430.0</v>
      </c>
      <c r="W168" s="21">
        <v>247.0</v>
      </c>
      <c r="X168" s="14">
        <v>92.0</v>
      </c>
      <c r="Y168" s="14">
        <v>2408.0</v>
      </c>
      <c r="AA168" s="21">
        <v>343.0</v>
      </c>
      <c r="AB168" s="14">
        <v>38.0</v>
      </c>
      <c r="AC168" s="14">
        <v>63.0</v>
      </c>
    </row>
    <row r="169">
      <c r="A169" s="27">
        <f>HYPERLINK("https://arcprize.org/play?task=6cdd2623", 161)</f>
        <v>161</v>
      </c>
      <c r="B169" s="14">
        <f>IFERROR(__xludf.DUMMYFUNCTION("min(filter(Scores!B172:AX172,Scores!B172:AX172&gt;0))"),79.0)</f>
        <v>79</v>
      </c>
      <c r="C169" s="14">
        <v>2421.0</v>
      </c>
      <c r="D169" s="51" t="str">
        <f t="array" ref="D169">if(B169,if(countif(Scores!B172:AX172,B169)=1,concat("💎",XLOOKUP(B169,Scores!B172:AX172,Scores!B$1:AX$1)),concat("🥇 x",countif(Scores!B172:AX172,B169))),"")</f>
        <v>💎ox jam</v>
      </c>
      <c r="E169" s="14">
        <f>if(countif(Scores!B172:AX172,B169)=1,F169,-1)</f>
        <v>79</v>
      </c>
      <c r="F169" s="14">
        <f t="shared" si="1"/>
        <v>79</v>
      </c>
      <c r="G169" s="14">
        <f>IFERROR(__xludf.DUMMYFUNCTION("if(iferror(small(filter(Scores!B172:AX172,Scores!B172:AX172&gt;0),2),-1)&lt;&gt;F169,iferror(small(filter(Scores!B172:AX172,Scores!B172:AX172&gt;0),2),-1),-1)"),80.0)</f>
        <v>80</v>
      </c>
      <c r="H169" s="14">
        <f>IFERROR(__xludf.DUMMYFUNCTION("if(iferror(small(filter(Scores!B172:AX172,Scores!B172:AX172&gt;0),3),-1)&lt;&gt;iferror(small(filter(Scores!B172:AX172,Scores!B172:AX172&gt;0),2),-1),iferror(small(filter(Scores!B172:AX172,Scores!B172:AX172&gt;0),3),-1),-1)"),82.0)</f>
        <v>82</v>
      </c>
      <c r="I169" s="14">
        <f>IFERROR(__xludf.DUMMYFUNCTION("IFERROR(COLUMNS(filter(Scores!B172:AE172,Scores!B172:AE172)),"""")"),38.0)</f>
        <v>38</v>
      </c>
      <c r="J169" s="14">
        <f>COUNTIF(Scores!B172:AX172,B169)</f>
        <v>1</v>
      </c>
      <c r="K169" s="21">
        <f>IFERROR(__xludf.DUMMYFUNCTION("""COMPUTED_VALUE"""),161.0)</f>
        <v>161</v>
      </c>
      <c r="L169" s="36"/>
      <c r="S169" s="21">
        <v>33.0</v>
      </c>
      <c r="T169" s="14">
        <v>71.0</v>
      </c>
      <c r="U169" s="14">
        <v>2429.0</v>
      </c>
      <c r="W169" s="21">
        <v>304.0</v>
      </c>
      <c r="X169" s="14">
        <v>92.0</v>
      </c>
      <c r="Y169" s="14">
        <v>2408.0</v>
      </c>
      <c r="AA169" s="21">
        <v>338.0</v>
      </c>
      <c r="AB169" s="14">
        <v>38.0</v>
      </c>
      <c r="AC169" s="14">
        <v>62.0</v>
      </c>
    </row>
    <row r="170">
      <c r="A170" s="27">
        <f>HYPERLINK("https://arcprize.org/play?task=6cf79266", 162)</f>
        <v>162</v>
      </c>
      <c r="B170" s="14">
        <f>IFERROR(__xludf.DUMMYFUNCTION("min(filter(Scores!B173:AX173,Scores!B173:AX173&gt;0))"),96.0)</f>
        <v>96</v>
      </c>
      <c r="C170" s="14">
        <v>2404.0</v>
      </c>
      <c r="D170" s="51" t="str">
        <f t="array" ref="D170">if(B170,if(countif(Scores!B173:AX173,B170)=1,concat("💎",XLOOKUP(B170,Scores!B173:AX173,Scores!B$1:AX$1)),concat("🥇 x",countif(Scores!B173:AX173,B170))),"")</f>
        <v>💎Code Golf International</v>
      </c>
      <c r="E170" s="14">
        <f>if(countif(Scores!B173:AX173,B170)=1,F170,-1)</f>
        <v>96</v>
      </c>
      <c r="F170" s="14">
        <f t="shared" si="1"/>
        <v>96</v>
      </c>
      <c r="G170" s="14">
        <f>IFERROR(__xludf.DUMMYFUNCTION("if(iferror(small(filter(Scores!B173:AX173,Scores!B173:AX173&gt;0),2),-1)&lt;&gt;F170,iferror(small(filter(Scores!B173:AX173,Scores!B173:AX173&gt;0),2),-1),-1)"),97.0)</f>
        <v>97</v>
      </c>
      <c r="H170" s="14">
        <f>IFERROR(__xludf.DUMMYFUNCTION("if(iferror(small(filter(Scores!B173:AX173,Scores!B173:AX173&gt;0),3),-1)&lt;&gt;iferror(small(filter(Scores!B173:AX173,Scores!B173:AX173&gt;0),2),-1),iferror(small(filter(Scores!B173:AX173,Scores!B173:AX173&gt;0),3),-1),-1)"),-1.0)</f>
        <v>-1</v>
      </c>
      <c r="I170" s="14">
        <f>IFERROR(__xludf.DUMMYFUNCTION("IFERROR(COLUMNS(filter(Scores!B173:AE173,Scores!B173:AE173)),"""")"),41.0)</f>
        <v>41</v>
      </c>
      <c r="J170" s="14">
        <f>COUNTIF(Scores!B173:AX173,B170)</f>
        <v>1</v>
      </c>
      <c r="K170" s="21">
        <f>IFERROR(__xludf.DUMMYFUNCTION("""COMPUTED_VALUE"""),162.0)</f>
        <v>162</v>
      </c>
      <c r="L170" s="36"/>
      <c r="S170" s="21">
        <v>123.0</v>
      </c>
      <c r="T170" s="14">
        <v>71.0</v>
      </c>
      <c r="U170" s="14">
        <v>2429.0</v>
      </c>
      <c r="W170" s="21">
        <v>354.0</v>
      </c>
      <c r="X170" s="14">
        <v>92.0</v>
      </c>
      <c r="Y170" s="14">
        <v>2408.0</v>
      </c>
      <c r="AA170" s="21">
        <v>218.0</v>
      </c>
      <c r="AB170" s="14">
        <v>38.0</v>
      </c>
      <c r="AC170" s="14">
        <v>56.0</v>
      </c>
    </row>
    <row r="171">
      <c r="A171" s="27">
        <f>HYPERLINK("https://arcprize.org/play?task=6d0160f0", 163)</f>
        <v>163</v>
      </c>
      <c r="B171" s="14">
        <f>IFERROR(__xludf.DUMMYFUNCTION("min(filter(Scores!B174:AX174,Scores!B174:AX174&gt;0))"),130.0)</f>
        <v>130</v>
      </c>
      <c r="C171" s="14">
        <v>2370.0</v>
      </c>
      <c r="D171" s="51" t="str">
        <f t="array" ref="D171">if(B171,if(countif(Scores!B174:AX174,B171)=1,concat("💎",XLOOKUP(B171,Scores!B174:AX174,Scores!B$1:AX$1)),concat("🥇 x",countif(Scores!B174:AX174,B171))),"")</f>
        <v>🥇 x2</v>
      </c>
      <c r="E171" s="14">
        <f>if(countif(Scores!B174:AX174,B171)=1,F171,-1)</f>
        <v>-1</v>
      </c>
      <c r="F171" s="14">
        <f t="shared" si="1"/>
        <v>130</v>
      </c>
      <c r="G171" s="14">
        <f>IFERROR(__xludf.DUMMYFUNCTION("if(iferror(small(filter(Scores!B174:AX174,Scores!B174:AX174&gt;0),2),-1)&lt;&gt;F171,iferror(small(filter(Scores!B174:AX174,Scores!B174:AX174&gt;0),2),-1),-1)"),-1.0)</f>
        <v>-1</v>
      </c>
      <c r="H171" s="14">
        <f>IFERROR(__xludf.DUMMYFUNCTION("if(iferror(small(filter(Scores!B174:AX174,Scores!B174:AX174&gt;0),3),-1)&lt;&gt;iferror(small(filter(Scores!B174:AX174,Scores!B174:AX174&gt;0),2),-1),iferror(small(filter(Scores!B174:AX174,Scores!B174:AX174&gt;0),3),-1),-1)"),131.0)</f>
        <v>131</v>
      </c>
      <c r="I171" s="14">
        <f>IFERROR(__xludf.DUMMYFUNCTION("IFERROR(COLUMNS(filter(Scores!B174:AE174,Scores!B174:AE174)),"""")"),37.0)</f>
        <v>37</v>
      </c>
      <c r="J171" s="14">
        <f>COUNTIF(Scores!B174:AX174,B171)</f>
        <v>2</v>
      </c>
      <c r="K171" s="21">
        <f>IFERROR(__xludf.DUMMYFUNCTION("""COMPUTED_VALUE"""),163.0)</f>
        <v>163</v>
      </c>
      <c r="L171" s="36"/>
      <c r="S171" s="21">
        <v>193.0</v>
      </c>
      <c r="T171" s="14">
        <v>71.0</v>
      </c>
      <c r="U171" s="14">
        <v>2429.0</v>
      </c>
      <c r="W171" s="21">
        <v>356.0</v>
      </c>
      <c r="X171" s="14">
        <v>92.0</v>
      </c>
      <c r="Y171" s="14">
        <v>2408.0</v>
      </c>
      <c r="AA171" s="21">
        <v>59.0</v>
      </c>
      <c r="AB171" s="14">
        <v>39.0</v>
      </c>
      <c r="AC171" s="14">
        <v>151.0</v>
      </c>
    </row>
    <row r="172">
      <c r="A172" s="27">
        <f>HYPERLINK("https://arcprize.org/play?task=6d0aefbc", 164)</f>
        <v>164</v>
      </c>
      <c r="B172" s="14">
        <f>IFERROR(__xludf.DUMMYFUNCTION("min(filter(Scores!B175:AX175,Scores!B175:AX175&gt;0))"),32.0)</f>
        <v>32</v>
      </c>
      <c r="C172" s="14">
        <v>2468.0</v>
      </c>
      <c r="D172" s="51" t="str">
        <f t="array" ref="D172">if(B172,if(countif(Scores!B175:AX175,B172)=1,concat("💎",XLOOKUP(B172,Scores!B175:AX175,Scores!B$1:AX$1)),concat("🥇 x",countif(Scores!B175:AX175,B172))),"")</f>
        <v>🥇 x44</v>
      </c>
      <c r="E172" s="14">
        <f>if(countif(Scores!B175:AX175,B172)=1,F172,-1)</f>
        <v>-1</v>
      </c>
      <c r="F172" s="14">
        <f t="shared" si="1"/>
        <v>32</v>
      </c>
      <c r="G172" s="14">
        <f>IFERROR(__xludf.DUMMYFUNCTION("if(iferror(small(filter(Scores!B175:AX175,Scores!B175:AX175&gt;0),2),-1)&lt;&gt;F172,iferror(small(filter(Scores!B175:AX175,Scores!B175:AX175&gt;0),2),-1),-1)"),-1.0)</f>
        <v>-1</v>
      </c>
      <c r="H172" s="14">
        <f>IFERROR(__xludf.DUMMYFUNCTION("if(iferror(small(filter(Scores!B175:AX175,Scores!B175:AX175&gt;0),3),-1)&lt;&gt;iferror(small(filter(Scores!B175:AX175,Scores!B175:AX175&gt;0),2),-1),iferror(small(filter(Scores!B175:AX175,Scores!B175:AX175&gt;0),3),-1),-1)"),-1.0)</f>
        <v>-1</v>
      </c>
      <c r="I172" s="14">
        <f>IFERROR(__xludf.DUMMYFUNCTION("IFERROR(COLUMNS(filter(Scores!B175:AE175,Scores!B175:AE175)),"""")"),45.0)</f>
        <v>45</v>
      </c>
      <c r="J172" s="14">
        <f>COUNTIF(Scores!B175:AX175,B172)</f>
        <v>44</v>
      </c>
      <c r="K172" s="21">
        <f>IFERROR(__xludf.DUMMYFUNCTION("""COMPUTED_VALUE"""),164.0)</f>
        <v>164</v>
      </c>
      <c r="L172" s="36"/>
      <c r="S172" s="21">
        <v>272.0</v>
      </c>
      <c r="T172" s="14">
        <v>71.0</v>
      </c>
      <c r="U172" s="14">
        <v>2429.0</v>
      </c>
      <c r="W172" s="21">
        <v>22.0</v>
      </c>
      <c r="X172" s="14">
        <v>91.0</v>
      </c>
      <c r="Y172" s="14">
        <v>2409.0</v>
      </c>
      <c r="AA172" s="21">
        <v>325.0</v>
      </c>
      <c r="AB172" s="14">
        <v>39.0</v>
      </c>
      <c r="AC172" s="14">
        <v>140.0</v>
      </c>
    </row>
    <row r="173">
      <c r="A173" s="27">
        <f>HYPERLINK("https://arcprize.org/play?task=6d58a25d", 165)</f>
        <v>165</v>
      </c>
      <c r="B173" s="14">
        <f>IFERROR(__xludf.DUMMYFUNCTION("min(filter(Scores!B176:AX176,Scores!B176:AX176&gt;0))"),112.0)</f>
        <v>112</v>
      </c>
      <c r="C173" s="14">
        <v>2388.0</v>
      </c>
      <c r="D173" s="51" t="str">
        <f t="array" ref="D173">if(B173,if(countif(Scores!B176:AX176,B173)=1,concat("💎",XLOOKUP(B173,Scores!B176:AX176,Scores!B$1:AX$1)),concat("🥇 x",countif(Scores!B176:AX176,B173))),"")</f>
        <v>💎Code Golf International</v>
      </c>
      <c r="E173" s="14">
        <f>if(countif(Scores!B176:AX176,B173)=1,F173,-1)</f>
        <v>112</v>
      </c>
      <c r="F173" s="14">
        <f t="shared" si="1"/>
        <v>112</v>
      </c>
      <c r="G173" s="14">
        <f>IFERROR(__xludf.DUMMYFUNCTION("if(iferror(small(filter(Scores!B176:AX176,Scores!B176:AX176&gt;0),2),-1)&lt;&gt;F173,iferror(small(filter(Scores!B176:AX176,Scores!B176:AX176&gt;0),2),-1),-1)"),122.0)</f>
        <v>122</v>
      </c>
      <c r="H173" s="14">
        <f>IFERROR(__xludf.DUMMYFUNCTION("if(iferror(small(filter(Scores!B176:AX176,Scores!B176:AX176&gt;0),3),-1)&lt;&gt;iferror(small(filter(Scores!B176:AX176,Scores!B176:AX176&gt;0),2),-1),iferror(small(filter(Scores!B176:AX176,Scores!B176:AX176&gt;0),3),-1),-1)"),123.0)</f>
        <v>123</v>
      </c>
      <c r="I173" s="14">
        <f>IFERROR(__xludf.DUMMYFUNCTION("IFERROR(COLUMNS(filter(Scores!B176:AE176,Scores!B176:AE176)),"""")"),36.0)</f>
        <v>36</v>
      </c>
      <c r="J173" s="14">
        <f>COUNTIF(Scores!B176:AX176,B173)</f>
        <v>1</v>
      </c>
      <c r="K173" s="21">
        <f>IFERROR(__xludf.DUMMYFUNCTION("""COMPUTED_VALUE"""),165.0)</f>
        <v>165</v>
      </c>
      <c r="L173" s="36"/>
      <c r="S173" s="21">
        <v>316.0</v>
      </c>
      <c r="T173" s="14">
        <v>71.0</v>
      </c>
      <c r="U173" s="14">
        <v>2429.0</v>
      </c>
      <c r="W173" s="21">
        <v>112.0</v>
      </c>
      <c r="X173" s="14">
        <v>91.0</v>
      </c>
      <c r="Y173" s="14">
        <v>2409.0</v>
      </c>
      <c r="AA173" s="21">
        <v>368.0</v>
      </c>
      <c r="AB173" s="14">
        <v>39.0</v>
      </c>
      <c r="AC173" s="14">
        <v>129.0</v>
      </c>
    </row>
    <row r="174">
      <c r="A174" s="27">
        <f>HYPERLINK("https://arcprize.org/play?task=6d75e8bb", 166)</f>
        <v>166</v>
      </c>
      <c r="B174" s="14">
        <f>IFERROR(__xludf.DUMMYFUNCTION("min(filter(Scores!B177:AX177,Scores!B177:AX177&gt;0))"),61.0)</f>
        <v>61</v>
      </c>
      <c r="C174" s="14">
        <v>2439.0</v>
      </c>
      <c r="D174" s="51" t="str">
        <f t="array" ref="D174">if(B174,if(countif(Scores!B177:AX177,B174)=1,concat("💎",XLOOKUP(B174,Scores!B177:AX177,Scores!B$1:AX$1)),concat("🥇 x",countif(Scores!B177:AX177,B174))),"")</f>
        <v>🥇 x2</v>
      </c>
      <c r="E174" s="14">
        <f>if(countif(Scores!B177:AX177,B174)=1,F174,-1)</f>
        <v>-1</v>
      </c>
      <c r="F174" s="14">
        <f t="shared" si="1"/>
        <v>61</v>
      </c>
      <c r="G174" s="14">
        <f>IFERROR(__xludf.DUMMYFUNCTION("if(iferror(small(filter(Scores!B177:AX177,Scores!B177:AX177&gt;0),2),-1)&lt;&gt;F174,iferror(small(filter(Scores!B177:AX177,Scores!B177:AX177&gt;0),2),-1),-1)"),-1.0)</f>
        <v>-1</v>
      </c>
      <c r="H174" s="14">
        <f>IFERROR(__xludf.DUMMYFUNCTION("if(iferror(small(filter(Scores!B177:AX177,Scores!B177:AX177&gt;0),3),-1)&lt;&gt;iferror(small(filter(Scores!B177:AX177,Scores!B177:AX177&gt;0),2),-1),iferror(small(filter(Scores!B177:AX177,Scores!B177:AX177&gt;0),3),-1),-1)"),63.0)</f>
        <v>63</v>
      </c>
      <c r="I174" s="14">
        <f>IFERROR(__xludf.DUMMYFUNCTION("IFERROR(COLUMNS(filter(Scores!B177:AE177,Scores!B177:AE177)),"""")"),42.0)</f>
        <v>42</v>
      </c>
      <c r="J174" s="14">
        <f>COUNTIF(Scores!B177:AX177,B174)</f>
        <v>2</v>
      </c>
      <c r="K174" s="21">
        <f>IFERROR(__xludf.DUMMYFUNCTION("""COMPUTED_VALUE"""),166.0)</f>
        <v>166</v>
      </c>
      <c r="L174" s="36"/>
      <c r="S174" s="21">
        <v>147.0</v>
      </c>
      <c r="T174" s="14">
        <v>72.0</v>
      </c>
      <c r="U174" s="14">
        <v>2428.0</v>
      </c>
      <c r="W174" s="21">
        <v>184.0</v>
      </c>
      <c r="X174" s="14">
        <v>91.0</v>
      </c>
      <c r="Y174" s="14">
        <v>2409.0</v>
      </c>
      <c r="AA174" s="21">
        <v>20.0</v>
      </c>
      <c r="AB174" s="14">
        <v>39.0</v>
      </c>
      <c r="AC174" s="14">
        <v>126.0</v>
      </c>
    </row>
    <row r="175">
      <c r="A175" s="27">
        <f>HYPERLINK("https://arcprize.org/play?task=6e02f1e3", 167)</f>
        <v>167</v>
      </c>
      <c r="B175" s="14">
        <f>IFERROR(__xludf.DUMMYFUNCTION("min(filter(Scores!B178:AX178,Scores!B178:AX178&gt;0))"),70.0)</f>
        <v>70</v>
      </c>
      <c r="C175" s="14">
        <v>2430.0</v>
      </c>
      <c r="D175" s="51" t="str">
        <f t="array" ref="D175">if(B175,if(countif(Scores!B178:AX178,B175)=1,concat("💎",XLOOKUP(B175,Scores!B178:AX178,Scores!B$1:AX$1)),concat("🥇 x",countif(Scores!B178:AX178,B175))),"")</f>
        <v>💎ox jam</v>
      </c>
      <c r="E175" s="14">
        <f>if(countif(Scores!B178:AX178,B175)=1,F175,-1)</f>
        <v>70</v>
      </c>
      <c r="F175" s="14">
        <f t="shared" si="1"/>
        <v>70</v>
      </c>
      <c r="G175" s="14">
        <f>IFERROR(__xludf.DUMMYFUNCTION("if(iferror(small(filter(Scores!B178:AX178,Scores!B178:AX178&gt;0),2),-1)&lt;&gt;F175,iferror(small(filter(Scores!B178:AX178,Scores!B178:AX178&gt;0),2),-1),-1)"),71.0)</f>
        <v>71</v>
      </c>
      <c r="H175" s="14">
        <f>IFERROR(__xludf.DUMMYFUNCTION("if(iferror(small(filter(Scores!B178:AX178,Scores!B178:AX178&gt;0),3),-1)&lt;&gt;iferror(small(filter(Scores!B178:AX178,Scores!B178:AX178&gt;0),2),-1),iferror(small(filter(Scores!B178:AX178,Scores!B178:AX178&gt;0),3),-1),-1)"),72.0)</f>
        <v>72</v>
      </c>
      <c r="I175" s="14">
        <f>IFERROR(__xludf.DUMMYFUNCTION("IFERROR(COLUMNS(filter(Scores!B178:AE178,Scores!B178:AE178)),"""")"),41.0)</f>
        <v>41</v>
      </c>
      <c r="J175" s="14">
        <f>COUNTIF(Scores!B178:AX178,B175)</f>
        <v>1</v>
      </c>
      <c r="K175" s="21">
        <f>IFERROR(__xludf.DUMMYFUNCTION("""COMPUTED_VALUE"""),167.0)</f>
        <v>167</v>
      </c>
      <c r="L175" s="36"/>
      <c r="S175" s="21">
        <v>283.0</v>
      </c>
      <c r="T175" s="14">
        <v>72.0</v>
      </c>
      <c r="U175" s="14">
        <v>2428.0</v>
      </c>
      <c r="W175" s="21">
        <v>17.0</v>
      </c>
      <c r="X175" s="14">
        <v>90.0</v>
      </c>
      <c r="Y175" s="14">
        <v>2410.0</v>
      </c>
      <c r="AA175" s="21">
        <v>131.0</v>
      </c>
      <c r="AB175" s="14">
        <v>39.0</v>
      </c>
      <c r="AC175" s="14">
        <v>117.0</v>
      </c>
    </row>
    <row r="176">
      <c r="A176" s="27">
        <f>HYPERLINK("https://arcprize.org/play?task=6e19193c", 168)</f>
        <v>168</v>
      </c>
      <c r="B176" s="14">
        <f>IFERROR(__xludf.DUMMYFUNCTION("min(filter(Scores!B179:AX179,Scores!B179:AX179&gt;0))"),110.0)</f>
        <v>110</v>
      </c>
      <c r="C176" s="14">
        <v>2390.0</v>
      </c>
      <c r="D176" s="51" t="str">
        <f t="array" ref="D176">if(B176,if(countif(Scores!B179:AX179,B176)=1,concat("💎",XLOOKUP(B176,Scores!B179:AX179,Scores!B$1:AX$1)),concat("🥇 x",countif(Scores!B179:AX179,B176))),"")</f>
        <v>🥇 x2</v>
      </c>
      <c r="E176" s="14">
        <f>if(countif(Scores!B179:AX179,B176)=1,F176,-1)</f>
        <v>-1</v>
      </c>
      <c r="F176" s="14">
        <f t="shared" si="1"/>
        <v>110</v>
      </c>
      <c r="G176" s="14">
        <f>IFERROR(__xludf.DUMMYFUNCTION("if(iferror(small(filter(Scores!B179:AX179,Scores!B179:AX179&gt;0),2),-1)&lt;&gt;F176,iferror(small(filter(Scores!B179:AX179,Scores!B179:AX179&gt;0),2),-1),-1)"),-1.0)</f>
        <v>-1</v>
      </c>
      <c r="H176" s="14">
        <f>IFERROR(__xludf.DUMMYFUNCTION("if(iferror(small(filter(Scores!B179:AX179,Scores!B179:AX179&gt;0),3),-1)&lt;&gt;iferror(small(filter(Scores!B179:AX179,Scores!B179:AX179&gt;0),2),-1),iferror(small(filter(Scores!B179:AX179,Scores!B179:AX179&gt;0),3),-1),-1)"),111.0)</f>
        <v>111</v>
      </c>
      <c r="I176" s="14">
        <f>IFERROR(__xludf.DUMMYFUNCTION("IFERROR(COLUMNS(filter(Scores!B179:AE179,Scores!B179:AE179)),"""")"),35.0)</f>
        <v>35</v>
      </c>
      <c r="J176" s="14">
        <f>COUNTIF(Scores!B179:AX179,B176)</f>
        <v>2</v>
      </c>
      <c r="K176" s="21">
        <f>IFERROR(__xludf.DUMMYFUNCTION("""COMPUTED_VALUE"""),168.0)</f>
        <v>168</v>
      </c>
      <c r="L176" s="36"/>
      <c r="S176" s="21">
        <v>398.0</v>
      </c>
      <c r="T176" s="14">
        <v>72.0</v>
      </c>
      <c r="U176" s="14">
        <v>2428.0</v>
      </c>
      <c r="W176" s="21">
        <v>358.0</v>
      </c>
      <c r="X176" s="14">
        <v>90.0</v>
      </c>
      <c r="Y176" s="14">
        <v>2410.0</v>
      </c>
      <c r="AA176" s="21">
        <v>228.0</v>
      </c>
      <c r="AB176" s="14">
        <v>39.0</v>
      </c>
      <c r="AC176" s="14">
        <v>116.0</v>
      </c>
    </row>
    <row r="177">
      <c r="A177" s="27">
        <f>HYPERLINK("https://arcprize.org/play?task=6e82a1ae", 169)</f>
        <v>169</v>
      </c>
      <c r="B177" s="14">
        <f>IFERROR(__xludf.DUMMYFUNCTION("min(filter(Scores!B180:AX180,Scores!B180:AX180&gt;0))"),108.0)</f>
        <v>108</v>
      </c>
      <c r="C177" s="14">
        <v>2392.0</v>
      </c>
      <c r="D177" s="51" t="str">
        <f t="array" ref="D177">if(B177,if(countif(Scores!B180:AX180,B177)=1,concat("💎",XLOOKUP(B177,Scores!B180:AX180,Scores!B$1:AX$1)),concat("🥇 x",countif(Scores!B180:AX180,B177))),"")</f>
        <v>💎Code Golf International</v>
      </c>
      <c r="E177" s="14">
        <f>if(countif(Scores!B180:AX180,B177)=1,F177,-1)</f>
        <v>108</v>
      </c>
      <c r="F177" s="14">
        <f t="shared" si="1"/>
        <v>108</v>
      </c>
      <c r="G177" s="14">
        <f>IFERROR(__xludf.DUMMYFUNCTION("if(iferror(small(filter(Scores!B180:AX180,Scores!B180:AX180&gt;0),2),-1)&lt;&gt;F177,iferror(small(filter(Scores!B180:AX180,Scores!B180:AX180&gt;0),2),-1),-1)"),110.0)</f>
        <v>110</v>
      </c>
      <c r="H177" s="14">
        <f>IFERROR(__xludf.DUMMYFUNCTION("if(iferror(small(filter(Scores!B180:AX180,Scores!B180:AX180&gt;0),3),-1)&lt;&gt;iferror(small(filter(Scores!B180:AX180,Scores!B180:AX180&gt;0),2),-1),iferror(small(filter(Scores!B180:AX180,Scores!B180:AX180&gt;0),3),-1),-1)"),111.0)</f>
        <v>111</v>
      </c>
      <c r="I177" s="14">
        <f>IFERROR(__xludf.DUMMYFUNCTION("IFERROR(COLUMNS(filter(Scores!B180:AE180,Scores!B180:AE180)),"""")"),36.0)</f>
        <v>36</v>
      </c>
      <c r="J177" s="14">
        <f>COUNTIF(Scores!B180:AX180,B177)</f>
        <v>1</v>
      </c>
      <c r="K177" s="21">
        <f>IFERROR(__xludf.DUMMYFUNCTION("""COMPUTED_VALUE"""),169.0)</f>
        <v>169</v>
      </c>
      <c r="L177" s="36"/>
      <c r="S177" s="21">
        <v>4.0</v>
      </c>
      <c r="T177" s="14">
        <v>73.0</v>
      </c>
      <c r="U177" s="14">
        <v>2427.0</v>
      </c>
      <c r="W177" s="21">
        <v>174.0</v>
      </c>
      <c r="X177" s="14">
        <v>89.0</v>
      </c>
      <c r="Y177" s="14">
        <v>2411.0</v>
      </c>
      <c r="AA177" s="21">
        <v>51.0</v>
      </c>
      <c r="AB177" s="14">
        <v>39.0</v>
      </c>
      <c r="AC177" s="14">
        <v>111.0</v>
      </c>
    </row>
    <row r="178">
      <c r="A178" s="27">
        <f>HYPERLINK("https://arcprize.org/play?task=6ecd11f4", 170)</f>
        <v>170</v>
      </c>
      <c r="B178" s="14">
        <f>IFERROR(__xludf.DUMMYFUNCTION("min(filter(Scores!B181:AX181,Scores!B181:AX181&gt;0))"),163.0)</f>
        <v>163</v>
      </c>
      <c r="C178" s="14">
        <v>2337.0</v>
      </c>
      <c r="D178" s="51" t="str">
        <f t="array" ref="D178">if(B178,if(countif(Scores!B181:AX181,B178)=1,concat("💎",XLOOKUP(B178,Scores!B181:AX181,Scores!B$1:AX$1)),concat("🥇 x",countif(Scores!B181:AX181,B178))),"")</f>
        <v>💎jailctf merger</v>
      </c>
      <c r="E178" s="14">
        <f>if(countif(Scores!B181:AX181,B178)=1,F178,-1)</f>
        <v>163</v>
      </c>
      <c r="F178" s="14">
        <f t="shared" si="1"/>
        <v>163</v>
      </c>
      <c r="G178" s="14">
        <f>IFERROR(__xludf.DUMMYFUNCTION("if(iferror(small(filter(Scores!B181:AX181,Scores!B181:AX181&gt;0),2),-1)&lt;&gt;F178,iferror(small(filter(Scores!B181:AX181,Scores!B181:AX181&gt;0),2),-1),-1)"),166.0)</f>
        <v>166</v>
      </c>
      <c r="H178" s="14">
        <f>IFERROR(__xludf.DUMMYFUNCTION("if(iferror(small(filter(Scores!B181:AX181,Scores!B181:AX181&gt;0),3),-1)&lt;&gt;iferror(small(filter(Scores!B181:AX181,Scores!B181:AX181&gt;0),2),-1),iferror(small(filter(Scores!B181:AX181,Scores!B181:AX181&gt;0),3),-1),-1)"),170.0)</f>
        <v>170</v>
      </c>
      <c r="I178" s="14">
        <f>IFERROR(__xludf.DUMMYFUNCTION("IFERROR(COLUMNS(filter(Scores!B181:AE181,Scores!B181:AE181)),"""")"),34.0)</f>
        <v>34</v>
      </c>
      <c r="J178" s="14">
        <f>COUNTIF(Scores!B181:AX181,B178)</f>
        <v>1</v>
      </c>
      <c r="K178" s="21">
        <f>IFERROR(__xludf.DUMMYFUNCTION("""COMPUTED_VALUE"""),170.0)</f>
        <v>170</v>
      </c>
      <c r="L178" s="36"/>
      <c r="S178" s="21">
        <v>229.0</v>
      </c>
      <c r="T178" s="14">
        <v>73.0</v>
      </c>
      <c r="U178" s="14">
        <v>2427.0</v>
      </c>
      <c r="W178" s="21">
        <v>240.0</v>
      </c>
      <c r="X178" s="14">
        <v>89.0</v>
      </c>
      <c r="Y178" s="14">
        <v>2411.0</v>
      </c>
      <c r="AA178" s="21">
        <v>342.0</v>
      </c>
      <c r="AB178" s="14">
        <v>39.0</v>
      </c>
      <c r="AC178" s="14">
        <v>106.0</v>
      </c>
    </row>
    <row r="179">
      <c r="A179" s="27">
        <f>HYPERLINK("https://arcprize.org/play?task=6f8cd79b", 171)</f>
        <v>171</v>
      </c>
      <c r="B179" s="14">
        <f>IFERROR(__xludf.DUMMYFUNCTION("min(filter(Scores!B182:AX182,Scores!B182:AX182&gt;0))"),51.0)</f>
        <v>51</v>
      </c>
      <c r="C179" s="14">
        <v>2449.0</v>
      </c>
      <c r="D179" s="51" t="str">
        <f t="array" ref="D179">if(B179,if(countif(Scores!B182:AX182,B179)=1,concat("💎",XLOOKUP(B179,Scores!B182:AX182,Scores!B$1:AX$1)),concat("🥇 x",countif(Scores!B182:AX182,B179))),"")</f>
        <v>🥇 x9</v>
      </c>
      <c r="E179" s="14">
        <f>if(countif(Scores!B182:AX182,B179)=1,F179,-1)</f>
        <v>-1</v>
      </c>
      <c r="F179" s="14">
        <f t="shared" si="1"/>
        <v>51</v>
      </c>
      <c r="G179" s="14">
        <f>IFERROR(__xludf.DUMMYFUNCTION("if(iferror(small(filter(Scores!B182:AX182,Scores!B182:AX182&gt;0),2),-1)&lt;&gt;F179,iferror(small(filter(Scores!B182:AX182,Scores!B182:AX182&gt;0),2),-1),-1)"),-1.0)</f>
        <v>-1</v>
      </c>
      <c r="H179" s="14">
        <f>IFERROR(__xludf.DUMMYFUNCTION("if(iferror(small(filter(Scores!B182:AX182,Scores!B182:AX182&gt;0),3),-1)&lt;&gt;iferror(small(filter(Scores!B182:AX182,Scores!B182:AX182&gt;0),2),-1),iferror(small(filter(Scores!B182:AX182,Scores!B182:AX182&gt;0),3),-1),-1)"),-1.0)</f>
        <v>-1</v>
      </c>
      <c r="I179" s="14">
        <f>IFERROR(__xludf.DUMMYFUNCTION("IFERROR(COLUMNS(filter(Scores!B182:AE182,Scores!B182:AE182)),"""")"),44.0)</f>
        <v>44</v>
      </c>
      <c r="J179" s="14">
        <f>COUNTIF(Scores!B182:AX182,B179)</f>
        <v>9</v>
      </c>
      <c r="K179" s="21">
        <f>IFERROR(__xludf.DUMMYFUNCTION("""COMPUTED_VALUE"""),171.0)</f>
        <v>171</v>
      </c>
      <c r="L179" s="36"/>
      <c r="S179" s="21">
        <v>63.0</v>
      </c>
      <c r="T179" s="14">
        <v>74.0</v>
      </c>
      <c r="U179" s="14">
        <v>2426.0</v>
      </c>
      <c r="W179" s="21">
        <v>302.0</v>
      </c>
      <c r="X179" s="14">
        <v>89.0</v>
      </c>
      <c r="Y179" s="14">
        <v>2411.0</v>
      </c>
      <c r="AA179" s="21">
        <v>335.0</v>
      </c>
      <c r="AB179" s="14">
        <v>39.0</v>
      </c>
      <c r="AC179" s="14">
        <v>105.0</v>
      </c>
    </row>
    <row r="180">
      <c r="A180" s="27">
        <f>HYPERLINK("https://arcprize.org/play?task=6fa7a44f", 172)</f>
        <v>172</v>
      </c>
      <c r="B180" s="14">
        <f>IFERROR(__xludf.DUMMYFUNCTION("min(filter(Scores!B183:AX183,Scores!B183:AX183&gt;0))"),20.0)</f>
        <v>20</v>
      </c>
      <c r="C180" s="14">
        <v>2480.0</v>
      </c>
      <c r="D180" s="51" t="str">
        <f t="array" ref="D180">if(B180,if(countif(Scores!B183:AX183,B180)=1,concat("💎",XLOOKUP(B180,Scores!B183:AX183,Scores!B$1:AX$1)),concat("🥇 x",countif(Scores!B183:AX183,B180))),"")</f>
        <v>🥇 x44</v>
      </c>
      <c r="E180" s="14">
        <f>if(countif(Scores!B183:AX183,B180)=1,F180,-1)</f>
        <v>-1</v>
      </c>
      <c r="F180" s="14">
        <f t="shared" si="1"/>
        <v>20</v>
      </c>
      <c r="G180" s="14">
        <f>IFERROR(__xludf.DUMMYFUNCTION("if(iferror(small(filter(Scores!B183:AX183,Scores!B183:AX183&gt;0),2),-1)&lt;&gt;F180,iferror(small(filter(Scores!B183:AX183,Scores!B183:AX183&gt;0),2),-1),-1)"),-1.0)</f>
        <v>-1</v>
      </c>
      <c r="H180" s="14">
        <f>IFERROR(__xludf.DUMMYFUNCTION("if(iferror(small(filter(Scores!B183:AX183,Scores!B183:AX183&gt;0),3),-1)&lt;&gt;iferror(small(filter(Scores!B183:AX183,Scores!B183:AX183&gt;0),2),-1),iferror(small(filter(Scores!B183:AX183,Scores!B183:AX183&gt;0),3),-1),-1)"),-1.0)</f>
        <v>-1</v>
      </c>
      <c r="I180" s="14">
        <f>IFERROR(__xludf.DUMMYFUNCTION("IFERROR(COLUMNS(filter(Scores!B183:AE183,Scores!B183:AE183)),"""")"),45.0)</f>
        <v>45</v>
      </c>
      <c r="J180" s="14">
        <f>COUNTIF(Scores!B183:AX183,B180)</f>
        <v>44</v>
      </c>
      <c r="K180" s="21">
        <f>IFERROR(__xludf.DUMMYFUNCTION("""COMPUTED_VALUE"""),172.0)</f>
        <v>172</v>
      </c>
      <c r="L180" s="36"/>
      <c r="S180" s="21">
        <v>149.0</v>
      </c>
      <c r="T180" s="14">
        <v>74.0</v>
      </c>
      <c r="U180" s="14">
        <v>2426.0</v>
      </c>
      <c r="W180" s="21">
        <v>345.0</v>
      </c>
      <c r="X180" s="14">
        <v>89.0</v>
      </c>
      <c r="Y180" s="14">
        <v>2411.0</v>
      </c>
      <c r="AA180" s="21">
        <v>246.0</v>
      </c>
      <c r="AB180" s="14">
        <v>39.0</v>
      </c>
      <c r="AC180" s="14">
        <v>104.0</v>
      </c>
    </row>
    <row r="181">
      <c r="A181" s="27">
        <f>HYPERLINK("https://arcprize.org/play?task=72322fa7", 173)</f>
        <v>173</v>
      </c>
      <c r="B181" s="14">
        <f>IFERROR(__xludf.DUMMYFUNCTION("min(filter(Scores!B184:AX184,Scores!B184:AX184&gt;0))"),201.0)</f>
        <v>201</v>
      </c>
      <c r="C181" s="14">
        <v>2299.0</v>
      </c>
      <c r="D181" s="51" t="str">
        <f t="array" ref="D181">if(B181,if(countif(Scores!B184:AX184,B181)=1,concat("💎",XLOOKUP(B181,Scores!B184:AX184,Scores!B$1:AX$1)),concat("🥇 x",countif(Scores!B184:AX184,B181))),"")</f>
        <v>💎jailctf merger</v>
      </c>
      <c r="E181" s="14">
        <f>if(countif(Scores!B184:AX184,B181)=1,F181,-1)</f>
        <v>201</v>
      </c>
      <c r="F181" s="14">
        <f t="shared" si="1"/>
        <v>201</v>
      </c>
      <c r="G181" s="14">
        <f>IFERROR(__xludf.DUMMYFUNCTION("if(iferror(small(filter(Scores!B184:AX184,Scores!B184:AX184&gt;0),2),-1)&lt;&gt;F181,iferror(small(filter(Scores!B184:AX184,Scores!B184:AX184&gt;0),2),-1),-1)"),204.0)</f>
        <v>204</v>
      </c>
      <c r="H181" s="14">
        <f>IFERROR(__xludf.DUMMYFUNCTION("if(iferror(small(filter(Scores!B184:AX184,Scores!B184:AX184&gt;0),3),-1)&lt;&gt;iferror(small(filter(Scores!B184:AX184,Scores!B184:AX184&gt;0),2),-1),iferror(small(filter(Scores!B184:AX184,Scores!B184:AX184&gt;0),3),-1),-1)"),207.0)</f>
        <v>207</v>
      </c>
      <c r="I181" s="14">
        <f>IFERROR(__xludf.DUMMYFUNCTION("IFERROR(COLUMNS(filter(Scores!B184:AE184,Scores!B184:AE184)),"""")"),36.0)</f>
        <v>36</v>
      </c>
      <c r="J181" s="14">
        <f>COUNTIF(Scores!B184:AX184,B181)</f>
        <v>1</v>
      </c>
      <c r="K181" s="21">
        <f>IFERROR(__xludf.DUMMYFUNCTION("""COMPUTED_VALUE"""),173.0)</f>
        <v>173</v>
      </c>
      <c r="L181" s="36"/>
      <c r="S181" s="21">
        <v>175.0</v>
      </c>
      <c r="T181" s="14">
        <v>74.0</v>
      </c>
      <c r="U181" s="14">
        <v>2426.0</v>
      </c>
      <c r="W181" s="21">
        <v>350.0</v>
      </c>
      <c r="X181" s="14">
        <v>89.0</v>
      </c>
      <c r="Y181" s="14">
        <v>2411.0</v>
      </c>
      <c r="AA181" s="21">
        <v>371.0</v>
      </c>
      <c r="AB181" s="14">
        <v>39.0</v>
      </c>
      <c r="AC181" s="14">
        <v>102.0</v>
      </c>
    </row>
    <row r="182">
      <c r="A182" s="27">
        <f>HYPERLINK("https://arcprize.org/play?task=72ca375d", 174)</f>
        <v>174</v>
      </c>
      <c r="B182" s="14">
        <f>IFERROR(__xludf.DUMMYFUNCTION("min(filter(Scores!B185:AX185,Scores!B185:AX185&gt;0))"),89.0)</f>
        <v>89</v>
      </c>
      <c r="C182" s="14">
        <v>2411.0</v>
      </c>
      <c r="D182" s="51" t="str">
        <f t="array" ref="D182">if(B182,if(countif(Scores!B185:AX185,B182)=1,concat("💎",XLOOKUP(B182,Scores!B185:AX185,Scores!B$1:AX$1)),concat("🥇 x",countif(Scores!B185:AX185,B182))),"")</f>
        <v>💎jailctf merger</v>
      </c>
      <c r="E182" s="14">
        <f>if(countif(Scores!B185:AX185,B182)=1,F182,-1)</f>
        <v>89</v>
      </c>
      <c r="F182" s="14">
        <f t="shared" si="1"/>
        <v>89</v>
      </c>
      <c r="G182" s="14">
        <f>IFERROR(__xludf.DUMMYFUNCTION("if(iferror(small(filter(Scores!B185:AX185,Scores!B185:AX185&gt;0),2),-1)&lt;&gt;F182,iferror(small(filter(Scores!B185:AX185,Scores!B185:AX185&gt;0),2),-1),-1)"),91.0)</f>
        <v>91</v>
      </c>
      <c r="H182" s="14">
        <f>IFERROR(__xludf.DUMMYFUNCTION("if(iferror(small(filter(Scores!B185:AX185,Scores!B185:AX185&gt;0),3),-1)&lt;&gt;iferror(small(filter(Scores!B185:AX185,Scores!B185:AX185&gt;0),2),-1),iferror(small(filter(Scores!B185:AX185,Scores!B185:AX185&gt;0),3),-1),-1)"),96.0)</f>
        <v>96</v>
      </c>
      <c r="I182" s="14">
        <f>IFERROR(__xludf.DUMMYFUNCTION("IFERROR(COLUMNS(filter(Scores!B185:AE185,Scores!B185:AE185)),"""")"),37.0)</f>
        <v>37</v>
      </c>
      <c r="J182" s="14">
        <f>COUNTIF(Scores!B185:AX185,B182)</f>
        <v>1</v>
      </c>
      <c r="K182" s="21">
        <f>IFERROR(__xludf.DUMMYFUNCTION("""COMPUTED_VALUE"""),174.0)</f>
        <v>174</v>
      </c>
      <c r="L182" s="36"/>
      <c r="S182" s="21">
        <v>180.0</v>
      </c>
      <c r="T182" s="14">
        <v>74.0</v>
      </c>
      <c r="U182" s="14">
        <v>2426.0</v>
      </c>
      <c r="W182" s="21">
        <v>266.0</v>
      </c>
      <c r="X182" s="14">
        <v>88.0</v>
      </c>
      <c r="Y182" s="14">
        <v>2412.0</v>
      </c>
      <c r="AA182" s="21">
        <v>27.0</v>
      </c>
      <c r="AB182" s="14">
        <v>39.0</v>
      </c>
      <c r="AC182" s="14">
        <v>97.0</v>
      </c>
    </row>
    <row r="183">
      <c r="A183" s="27">
        <f>HYPERLINK("https://arcprize.org/play?task=73251a56", 175)</f>
        <v>175</v>
      </c>
      <c r="B183" s="14">
        <f>IFERROR(__xludf.DUMMYFUNCTION("min(filter(Scores!B186:AX186,Scores!B186:AX186&gt;0))"),74.0)</f>
        <v>74</v>
      </c>
      <c r="C183" s="14">
        <v>2426.0</v>
      </c>
      <c r="D183" s="51" t="str">
        <f t="array" ref="D183">if(B183,if(countif(Scores!B186:AX186,B183)=1,concat("💎",XLOOKUP(B183,Scores!B186:AX186,Scores!B$1:AX$1)),concat("🥇 x",countif(Scores!B186:AX186,B183))),"")</f>
        <v>💎Code Golf International</v>
      </c>
      <c r="E183" s="14">
        <f>if(countif(Scores!B186:AX186,B183)=1,F183,-1)</f>
        <v>74</v>
      </c>
      <c r="F183" s="14">
        <f t="shared" si="1"/>
        <v>74</v>
      </c>
      <c r="G183" s="14">
        <f>IFERROR(__xludf.DUMMYFUNCTION("if(iferror(small(filter(Scores!B186:AX186,Scores!B186:AX186&gt;0),2),-1)&lt;&gt;F183,iferror(small(filter(Scores!B186:AX186,Scores!B186:AX186&gt;0),2),-1),-1)"),75.0)</f>
        <v>75</v>
      </c>
      <c r="H183" s="14">
        <f>IFERROR(__xludf.DUMMYFUNCTION("if(iferror(small(filter(Scores!B186:AX186,Scores!B186:AX186&gt;0),3),-1)&lt;&gt;iferror(small(filter(Scores!B186:AX186,Scores!B186:AX186&gt;0),2),-1),iferror(small(filter(Scores!B186:AX186,Scores!B186:AX186&gt;0),3),-1),-1)"),-1.0)</f>
        <v>-1</v>
      </c>
      <c r="I183" s="14">
        <f>IFERROR(__xludf.DUMMYFUNCTION("IFERROR(COLUMNS(filter(Scores!B186:AE186,Scores!B186:AE186)),"""")"),35.0)</f>
        <v>35</v>
      </c>
      <c r="J183" s="14">
        <f>COUNTIF(Scores!B186:AX186,B183)</f>
        <v>1</v>
      </c>
      <c r="K183" s="21">
        <f>IFERROR(__xludf.DUMMYFUNCTION("""COMPUTED_VALUE"""),175.0)</f>
        <v>175</v>
      </c>
      <c r="L183" s="36"/>
      <c r="S183" s="21">
        <v>207.0</v>
      </c>
      <c r="T183" s="14">
        <v>74.0</v>
      </c>
      <c r="U183" s="14">
        <v>2426.0</v>
      </c>
      <c r="W183" s="21">
        <v>348.0</v>
      </c>
      <c r="X183" s="14">
        <v>88.0</v>
      </c>
      <c r="Y183" s="14">
        <v>2412.0</v>
      </c>
      <c r="AA183" s="21">
        <v>94.0</v>
      </c>
      <c r="AB183" s="14">
        <v>39.0</v>
      </c>
      <c r="AC183" s="14">
        <v>96.0</v>
      </c>
    </row>
    <row r="184">
      <c r="A184" s="27">
        <f>HYPERLINK("https://arcprize.org/play?task=7447852a", 176)</f>
        <v>176</v>
      </c>
      <c r="B184" s="14">
        <f>IFERROR(__xludf.DUMMYFUNCTION("min(filter(Scores!B187:AX187,Scores!B187:AX187&gt;0))"),61.0)</f>
        <v>61</v>
      </c>
      <c r="C184" s="14">
        <v>2439.0</v>
      </c>
      <c r="D184" s="51" t="str">
        <f t="array" ref="D184">if(B184,if(countif(Scores!B187:AX187,B184)=1,concat("💎",XLOOKUP(B184,Scores!B187:AX187,Scores!B$1:AX$1)),concat("🥇 x",countif(Scores!B187:AX187,B184))),"")</f>
        <v>💎ox jam</v>
      </c>
      <c r="E184" s="14">
        <f>if(countif(Scores!B187:AX187,B184)=1,F184,-1)</f>
        <v>61</v>
      </c>
      <c r="F184" s="14">
        <f t="shared" si="1"/>
        <v>61</v>
      </c>
      <c r="G184" s="14">
        <f>IFERROR(__xludf.DUMMYFUNCTION("if(iferror(small(filter(Scores!B187:AX187,Scores!B187:AX187&gt;0),2),-1)&lt;&gt;F184,iferror(small(filter(Scores!B187:AX187,Scores!B187:AX187&gt;0),2),-1),-1)"),64.0)</f>
        <v>64</v>
      </c>
      <c r="H184" s="14">
        <f>IFERROR(__xludf.DUMMYFUNCTION("if(iferror(small(filter(Scores!B187:AX187,Scores!B187:AX187&gt;0),3),-1)&lt;&gt;iferror(small(filter(Scores!B187:AX187,Scores!B187:AX187&gt;0),2),-1),iferror(small(filter(Scores!B187:AX187,Scores!B187:AX187&gt;0),3),-1),-1)"),-1.0)</f>
        <v>-1</v>
      </c>
      <c r="I184" s="14">
        <f>IFERROR(__xludf.DUMMYFUNCTION("IFERROR(COLUMNS(filter(Scores!B187:AE187,Scores!B187:AE187)),"""")"),41.0)</f>
        <v>41</v>
      </c>
      <c r="J184" s="14">
        <f>COUNTIF(Scores!B187:AX187,B184)</f>
        <v>1</v>
      </c>
      <c r="K184" s="21">
        <f>IFERROR(__xludf.DUMMYFUNCTION("""COMPUTED_VALUE"""),176.0)</f>
        <v>176</v>
      </c>
      <c r="L184" s="36"/>
      <c r="S184" s="21">
        <v>282.0</v>
      </c>
      <c r="T184" s="14">
        <v>74.0</v>
      </c>
      <c r="U184" s="14">
        <v>2426.0</v>
      </c>
      <c r="W184" s="21">
        <v>15.0</v>
      </c>
      <c r="X184" s="14">
        <v>87.0</v>
      </c>
      <c r="Y184" s="14">
        <v>2413.0</v>
      </c>
      <c r="AA184" s="21">
        <v>230.0</v>
      </c>
      <c r="AB184" s="14">
        <v>39.0</v>
      </c>
      <c r="AC184" s="14">
        <v>95.0</v>
      </c>
    </row>
    <row r="185">
      <c r="A185" s="27">
        <f>HYPERLINK("https://arcprize.org/play?task=7468f01a", 177)</f>
        <v>177</v>
      </c>
      <c r="B185" s="14">
        <f>IFERROR(__xludf.DUMMYFUNCTION("min(filter(Scores!B188:AX188,Scores!B188:AX188&gt;0))"),51.0)</f>
        <v>51</v>
      </c>
      <c r="C185" s="14">
        <v>2449.0</v>
      </c>
      <c r="D185" s="51" t="str">
        <f t="array" ref="D185">if(B185,if(countif(Scores!B188:AX188,B185)=1,concat("💎",XLOOKUP(B185,Scores!B188:AX188,Scores!B$1:AX$1)),concat("🥇 x",countif(Scores!B188:AX188,B185))),"")</f>
        <v>🥇 x4</v>
      </c>
      <c r="E185" s="14">
        <f>if(countif(Scores!B188:AX188,B185)=1,F185,-1)</f>
        <v>-1</v>
      </c>
      <c r="F185" s="14">
        <f t="shared" si="1"/>
        <v>51</v>
      </c>
      <c r="G185" s="14">
        <f>IFERROR(__xludf.DUMMYFUNCTION("if(iferror(small(filter(Scores!B188:AX188,Scores!B188:AX188&gt;0),2),-1)&lt;&gt;F185,iferror(small(filter(Scores!B188:AX188,Scores!B188:AX188&gt;0),2),-1),-1)"),-1.0)</f>
        <v>-1</v>
      </c>
      <c r="H185" s="14">
        <f>IFERROR(__xludf.DUMMYFUNCTION("if(iferror(small(filter(Scores!B188:AX188,Scores!B188:AX188&gt;0),3),-1)&lt;&gt;iferror(small(filter(Scores!B188:AX188,Scores!B188:AX188&gt;0),2),-1),iferror(small(filter(Scores!B188:AX188,Scores!B188:AX188&gt;0),3),-1),-1)"),-1.0)</f>
        <v>-1</v>
      </c>
      <c r="I185" s="14">
        <f>IFERROR(__xludf.DUMMYFUNCTION("IFERROR(COLUMNS(filter(Scores!B188:AE188,Scores!B188:AE188)),"""")"),45.0)</f>
        <v>45</v>
      </c>
      <c r="J185" s="14">
        <f>COUNTIF(Scores!B188:AX188,B185)</f>
        <v>4</v>
      </c>
      <c r="K185" s="21">
        <f>IFERROR(__xludf.DUMMYFUNCTION("""COMPUTED_VALUE"""),177.0)</f>
        <v>177</v>
      </c>
      <c r="L185" s="36"/>
      <c r="S185" s="21">
        <v>344.0</v>
      </c>
      <c r="T185" s="14">
        <v>74.0</v>
      </c>
      <c r="U185" s="14">
        <v>2426.0</v>
      </c>
      <c r="W185" s="21">
        <v>300.0</v>
      </c>
      <c r="X185" s="14">
        <v>87.0</v>
      </c>
      <c r="Y185" s="14">
        <v>2413.0</v>
      </c>
      <c r="AA185" s="21">
        <v>136.0</v>
      </c>
      <c r="AB185" s="14">
        <v>39.0</v>
      </c>
      <c r="AC185" s="14">
        <v>94.0</v>
      </c>
    </row>
    <row r="186">
      <c r="A186" s="27">
        <f>HYPERLINK("https://arcprize.org/play?task=746b3537", 178)</f>
        <v>178</v>
      </c>
      <c r="B186" s="14">
        <f>IFERROR(__xludf.DUMMYFUNCTION("min(filter(Scores!B189:AX189,Scores!B189:AX189&gt;0))"),47.0)</f>
        <v>47</v>
      </c>
      <c r="C186" s="14">
        <v>2453.0</v>
      </c>
      <c r="D186" s="51" t="str">
        <f t="array" ref="D186">if(B186,if(countif(Scores!B189:AX189,B186)=1,concat("💎",XLOOKUP(B186,Scores!B189:AX189,Scores!B$1:AX$1)),concat("🥇 x",countif(Scores!B189:AX189,B186))),"")</f>
        <v>🥇 x6</v>
      </c>
      <c r="E186" s="14">
        <f>if(countif(Scores!B189:AX189,B186)=1,F186,-1)</f>
        <v>-1</v>
      </c>
      <c r="F186" s="14">
        <f t="shared" si="1"/>
        <v>47</v>
      </c>
      <c r="G186" s="14">
        <f>IFERROR(__xludf.DUMMYFUNCTION("if(iferror(small(filter(Scores!B189:AX189,Scores!B189:AX189&gt;0),2),-1)&lt;&gt;F186,iferror(small(filter(Scores!B189:AX189,Scores!B189:AX189&gt;0),2),-1),-1)"),-1.0)</f>
        <v>-1</v>
      </c>
      <c r="H186" s="14">
        <f>IFERROR(__xludf.DUMMYFUNCTION("if(iferror(small(filter(Scores!B189:AX189,Scores!B189:AX189&gt;0),3),-1)&lt;&gt;iferror(small(filter(Scores!B189:AX189,Scores!B189:AX189&gt;0),2),-1),iferror(small(filter(Scores!B189:AX189,Scores!B189:AX189&gt;0),3),-1),-1)"),-1.0)</f>
        <v>-1</v>
      </c>
      <c r="I186" s="14">
        <f>IFERROR(__xludf.DUMMYFUNCTION("IFERROR(COLUMNS(filter(Scores!B189:AE189,Scores!B189:AE189)),"""")"),44.0)</f>
        <v>44</v>
      </c>
      <c r="J186" s="14">
        <f>COUNTIF(Scores!B189:AX189,B186)</f>
        <v>6</v>
      </c>
      <c r="K186" s="21">
        <f>IFERROR(__xludf.DUMMYFUNCTION("""COMPUTED_VALUE"""),178.0)</f>
        <v>178</v>
      </c>
      <c r="L186" s="36"/>
      <c r="S186" s="21">
        <v>36.0</v>
      </c>
      <c r="T186" s="14">
        <v>75.0</v>
      </c>
      <c r="U186" s="14">
        <v>2425.0</v>
      </c>
      <c r="W186" s="21">
        <v>2.0</v>
      </c>
      <c r="X186" s="14">
        <v>86.0</v>
      </c>
      <c r="Y186" s="14">
        <v>2414.0</v>
      </c>
      <c r="AA186" s="21">
        <v>30.0</v>
      </c>
      <c r="AB186" s="14">
        <v>39.0</v>
      </c>
      <c r="AC186" s="14">
        <v>93.0</v>
      </c>
    </row>
    <row r="187">
      <c r="A187" s="27">
        <f>HYPERLINK("https://arcprize.org/play?task=74dd1130", 179)</f>
        <v>179</v>
      </c>
      <c r="B187" s="14">
        <f>IFERROR(__xludf.DUMMYFUNCTION("min(filter(Scores!B190:AX190,Scores!B190:AX190&gt;0))"),21.0)</f>
        <v>21</v>
      </c>
      <c r="C187" s="14">
        <v>2479.0</v>
      </c>
      <c r="D187" s="51" t="str">
        <f t="array" ref="D187">if(B187,if(countif(Scores!B190:AX190,B187)=1,concat("💎",XLOOKUP(B187,Scores!B190:AX190,Scores!B$1:AX$1)),concat("🥇 x",countif(Scores!B190:AX190,B187))),"")</f>
        <v>🥇 x35</v>
      </c>
      <c r="E187" s="14">
        <f>if(countif(Scores!B190:AX190,B187)=1,F187,-1)</f>
        <v>-1</v>
      </c>
      <c r="F187" s="14">
        <f t="shared" si="1"/>
        <v>21</v>
      </c>
      <c r="G187" s="14">
        <f>IFERROR(__xludf.DUMMYFUNCTION("if(iferror(small(filter(Scores!B190:AX190,Scores!B190:AX190&gt;0),2),-1)&lt;&gt;F187,iferror(small(filter(Scores!B190:AX190,Scores!B190:AX190&gt;0),2),-1),-1)"),-1.0)</f>
        <v>-1</v>
      </c>
      <c r="H187" s="14">
        <f>IFERROR(__xludf.DUMMYFUNCTION("if(iferror(small(filter(Scores!B190:AX190,Scores!B190:AX190&gt;0),3),-1)&lt;&gt;iferror(small(filter(Scores!B190:AX190,Scores!B190:AX190&gt;0),2),-1),iferror(small(filter(Scores!B190:AX190,Scores!B190:AX190&gt;0),3),-1),-1)"),-1.0)</f>
        <v>-1</v>
      </c>
      <c r="I187" s="14">
        <f>IFERROR(__xludf.DUMMYFUNCTION("IFERROR(COLUMNS(filter(Scores!B190:AE190,Scores!B190:AE190)),"""")"),45.0)</f>
        <v>45</v>
      </c>
      <c r="J187" s="14">
        <f>COUNTIF(Scores!B190:AX190,B187)</f>
        <v>35</v>
      </c>
      <c r="K187" s="21">
        <f>IFERROR(__xludf.DUMMYFUNCTION("""COMPUTED_VALUE"""),179.0)</f>
        <v>179</v>
      </c>
      <c r="L187" s="36"/>
      <c r="S187" s="21">
        <v>243.0</v>
      </c>
      <c r="T187" s="14">
        <v>75.0</v>
      </c>
      <c r="U187" s="14">
        <v>2425.0</v>
      </c>
      <c r="W187" s="21">
        <v>75.0</v>
      </c>
      <c r="X187" s="14">
        <v>86.0</v>
      </c>
      <c r="Y187" s="14">
        <v>2414.0</v>
      </c>
      <c r="AA187" s="21">
        <v>356.0</v>
      </c>
      <c r="AB187" s="14">
        <v>39.0</v>
      </c>
      <c r="AC187" s="14">
        <v>92.0</v>
      </c>
    </row>
    <row r="188">
      <c r="A188" s="27">
        <f>HYPERLINK("https://arcprize.org/play?task=75b8110e", 180)</f>
        <v>180</v>
      </c>
      <c r="B188" s="14">
        <f>IFERROR(__xludf.DUMMYFUNCTION("min(filter(Scores!B191:AX191,Scores!B191:AX191&gt;0))"),74.0)</f>
        <v>74</v>
      </c>
      <c r="C188" s="14">
        <v>2426.0</v>
      </c>
      <c r="D188" s="51" t="str">
        <f t="array" ref="D188">if(B188,if(countif(Scores!B191:AX191,B188)=1,concat("💎",XLOOKUP(B188,Scores!B191:AX191,Scores!B$1:AX$1)),concat("🥇 x",countif(Scores!B191:AX191,B188))),"")</f>
        <v>💎ox jam</v>
      </c>
      <c r="E188" s="14">
        <f>if(countif(Scores!B191:AX191,B188)=1,F188,-1)</f>
        <v>74</v>
      </c>
      <c r="F188" s="14">
        <f t="shared" si="1"/>
        <v>74</v>
      </c>
      <c r="G188" s="14">
        <f>IFERROR(__xludf.DUMMYFUNCTION("if(iferror(small(filter(Scores!B191:AX191,Scores!B191:AX191&gt;0),2),-1)&lt;&gt;F188,iferror(small(filter(Scores!B191:AX191,Scores!B191:AX191&gt;0),2),-1),-1)"),79.0)</f>
        <v>79</v>
      </c>
      <c r="H188" s="14">
        <f>IFERROR(__xludf.DUMMYFUNCTION("if(iferror(small(filter(Scores!B191:AX191,Scores!B191:AX191&gt;0),3),-1)&lt;&gt;iferror(small(filter(Scores!B191:AX191,Scores!B191:AX191&gt;0),2),-1),iferror(small(filter(Scores!B191:AX191,Scores!B191:AX191&gt;0),3),-1),-1)"),-1.0)</f>
        <v>-1</v>
      </c>
      <c r="I188" s="14">
        <f>IFERROR(__xludf.DUMMYFUNCTION("IFERROR(COLUMNS(filter(Scores!B191:AE191,Scores!B191:AE191)),"""")"),41.0)</f>
        <v>41</v>
      </c>
      <c r="J188" s="14">
        <f>COUNTIF(Scores!B191:AX191,B188)</f>
        <v>1</v>
      </c>
      <c r="K188" s="21">
        <f>IFERROR(__xludf.DUMMYFUNCTION("""COMPUTED_VALUE"""),180.0)</f>
        <v>180</v>
      </c>
      <c r="L188" s="36"/>
      <c r="S188" s="21">
        <v>273.0</v>
      </c>
      <c r="T188" s="14">
        <v>75.0</v>
      </c>
      <c r="U188" s="14">
        <v>2425.0</v>
      </c>
      <c r="W188" s="21">
        <v>92.0</v>
      </c>
      <c r="X188" s="14">
        <v>86.0</v>
      </c>
      <c r="Y188" s="14">
        <v>2414.0</v>
      </c>
      <c r="AA188" s="21">
        <v>302.0</v>
      </c>
      <c r="AB188" s="14">
        <v>39.0</v>
      </c>
      <c r="AC188" s="14">
        <v>89.0</v>
      </c>
    </row>
    <row r="189">
      <c r="A189" s="27">
        <f>HYPERLINK("https://arcprize.org/play?task=760b3cac", 181)</f>
        <v>181</v>
      </c>
      <c r="B189" s="14">
        <f>IFERROR(__xludf.DUMMYFUNCTION("min(filter(Scores!B192:AX192,Scores!B192:AX192&gt;0))"),67.0)</f>
        <v>67</v>
      </c>
      <c r="C189" s="14">
        <v>2433.0</v>
      </c>
      <c r="D189" s="51" t="str">
        <f t="array" ref="D189">if(B189,if(countif(Scores!B192:AX192,B189)=1,concat("💎",XLOOKUP(B189,Scores!B192:AX192,Scores!B$1:AX$1)),concat("🥇 x",countif(Scores!B192:AX192,B189))),"")</f>
        <v>🥇 x8</v>
      </c>
      <c r="E189" s="14">
        <f>if(countif(Scores!B192:AX192,B189)=1,F189,-1)</f>
        <v>-1</v>
      </c>
      <c r="F189" s="14">
        <f t="shared" si="1"/>
        <v>67</v>
      </c>
      <c r="G189" s="14">
        <f>IFERROR(__xludf.DUMMYFUNCTION("if(iferror(small(filter(Scores!B192:AX192,Scores!B192:AX192&gt;0),2),-1)&lt;&gt;F189,iferror(small(filter(Scores!B192:AX192,Scores!B192:AX192&gt;0),2),-1),-1)"),-1.0)</f>
        <v>-1</v>
      </c>
      <c r="H189" s="14">
        <f>IFERROR(__xludf.DUMMYFUNCTION("if(iferror(small(filter(Scores!B192:AX192,Scores!B192:AX192&gt;0),3),-1)&lt;&gt;iferror(small(filter(Scores!B192:AX192,Scores!B192:AX192&gt;0),2),-1),iferror(small(filter(Scores!B192:AX192,Scores!B192:AX192&gt;0),3),-1),-1)"),-1.0)</f>
        <v>-1</v>
      </c>
      <c r="I189" s="14">
        <f>IFERROR(__xludf.DUMMYFUNCTION("IFERROR(COLUMNS(filter(Scores!B192:AE192,Scores!B192:AE192)),"""")"),44.0)</f>
        <v>44</v>
      </c>
      <c r="J189" s="14">
        <f>COUNTIF(Scores!B192:AX192,B189)</f>
        <v>8</v>
      </c>
      <c r="K189" s="21">
        <f>IFERROR(__xludf.DUMMYFUNCTION("""COMPUTED_VALUE"""),181.0)</f>
        <v>181</v>
      </c>
      <c r="L189" s="36"/>
      <c r="S189" s="21">
        <v>55.0</v>
      </c>
      <c r="T189" s="14">
        <v>77.0</v>
      </c>
      <c r="U189" s="14">
        <v>2423.0</v>
      </c>
      <c r="W189" s="21">
        <v>132.0</v>
      </c>
      <c r="X189" s="14">
        <v>86.0</v>
      </c>
      <c r="Y189" s="14">
        <v>2414.0</v>
      </c>
      <c r="AA189" s="21">
        <v>266.0</v>
      </c>
      <c r="AB189" s="14">
        <v>39.0</v>
      </c>
      <c r="AC189" s="14">
        <v>88.0</v>
      </c>
    </row>
    <row r="190">
      <c r="A190" s="27">
        <f>HYPERLINK("https://arcprize.org/play?task=776ffc46", 182)</f>
        <v>182</v>
      </c>
      <c r="B190" s="14">
        <f>IFERROR(__xludf.DUMMYFUNCTION("min(filter(Scores!B193:AX193,Scores!B193:AX193&gt;0))"),160.0)</f>
        <v>160</v>
      </c>
      <c r="C190" s="14">
        <v>2340.0</v>
      </c>
      <c r="D190" s="51" t="str">
        <f t="array" ref="D190">if(B190,if(countif(Scores!B193:AX193,B190)=1,concat("💎",XLOOKUP(B190,Scores!B193:AX193,Scores!B$1:AX$1)),concat("🥇 x",countif(Scores!B193:AX193,B190))),"")</f>
        <v>💎Code Golf International</v>
      </c>
      <c r="E190" s="14">
        <f>if(countif(Scores!B193:AX193,B190)=1,F190,-1)</f>
        <v>160</v>
      </c>
      <c r="F190" s="14">
        <f t="shared" si="1"/>
        <v>160</v>
      </c>
      <c r="G190" s="14">
        <f>IFERROR(__xludf.DUMMYFUNCTION("if(iferror(small(filter(Scores!B193:AX193,Scores!B193:AX193&gt;0),2),-1)&lt;&gt;F190,iferror(small(filter(Scores!B193:AX193,Scores!B193:AX193&gt;0),2),-1),-1)"),167.0)</f>
        <v>167</v>
      </c>
      <c r="H190" s="14">
        <f>IFERROR(__xludf.DUMMYFUNCTION("if(iferror(small(filter(Scores!B193:AX193,Scores!B193:AX193&gt;0),3),-1)&lt;&gt;iferror(small(filter(Scores!B193:AX193,Scores!B193:AX193&gt;0),2),-1),iferror(small(filter(Scores!B193:AX193,Scores!B193:AX193&gt;0),3),-1),-1)"),182.0)</f>
        <v>182</v>
      </c>
      <c r="I190" s="14">
        <f>IFERROR(__xludf.DUMMYFUNCTION("IFERROR(COLUMNS(filter(Scores!B193:AE193,Scores!B193:AE193)),"""")"),34.0)</f>
        <v>34</v>
      </c>
      <c r="J190" s="14">
        <f>COUNTIF(Scores!B193:AX193,B190)</f>
        <v>1</v>
      </c>
      <c r="K190" s="21">
        <f>IFERROR(__xludf.DUMMYFUNCTION("""COMPUTED_VALUE"""),182.0)</f>
        <v>182</v>
      </c>
      <c r="L190" s="36"/>
      <c r="S190" s="21">
        <v>74.0</v>
      </c>
      <c r="T190" s="14">
        <v>77.0</v>
      </c>
      <c r="U190" s="14">
        <v>2423.0</v>
      </c>
      <c r="W190" s="21">
        <v>213.0</v>
      </c>
      <c r="X190" s="14">
        <v>86.0</v>
      </c>
      <c r="Y190" s="14">
        <v>2414.0</v>
      </c>
      <c r="AA190" s="21">
        <v>92.0</v>
      </c>
      <c r="AB190" s="14">
        <v>39.0</v>
      </c>
      <c r="AC190" s="14">
        <v>86.0</v>
      </c>
    </row>
    <row r="191">
      <c r="A191" s="27">
        <f>HYPERLINK("https://arcprize.org/play?task=77fdfe62", 183)</f>
        <v>183</v>
      </c>
      <c r="B191" s="14">
        <f>IFERROR(__xludf.DUMMYFUNCTION("min(filter(Scores!B194:AX194,Scores!B194:AX194&gt;0))"),79.0)</f>
        <v>79</v>
      </c>
      <c r="C191" s="14">
        <v>2421.0</v>
      </c>
      <c r="D191" s="51" t="str">
        <f t="array" ref="D191">if(B191,if(countif(Scores!B194:AX194,B191)=1,concat("💎",XLOOKUP(B191,Scores!B194:AX194,Scores!B$1:AX$1)),concat("🥇 x",countif(Scores!B194:AX194,B191))),"")</f>
        <v>💎Code Golf International</v>
      </c>
      <c r="E191" s="14">
        <f>if(countif(Scores!B194:AX194,B191)=1,F191,-1)</f>
        <v>79</v>
      </c>
      <c r="F191" s="14">
        <f t="shared" si="1"/>
        <v>79</v>
      </c>
      <c r="G191" s="14">
        <f>IFERROR(__xludf.DUMMYFUNCTION("if(iferror(small(filter(Scores!B194:AX194,Scores!B194:AX194&gt;0),2),-1)&lt;&gt;F191,iferror(small(filter(Scores!B194:AX194,Scores!B194:AX194&gt;0),2),-1),-1)"),93.0)</f>
        <v>93</v>
      </c>
      <c r="H191" s="14">
        <f>IFERROR(__xludf.DUMMYFUNCTION("if(iferror(small(filter(Scores!B194:AX194,Scores!B194:AX194&gt;0),3),-1)&lt;&gt;iferror(small(filter(Scores!B194:AX194,Scores!B194:AX194&gt;0),2),-1),iferror(small(filter(Scores!B194:AX194,Scores!B194:AX194&gt;0),3),-1),-1)"),-1.0)</f>
        <v>-1</v>
      </c>
      <c r="I191" s="14">
        <f>IFERROR(__xludf.DUMMYFUNCTION("IFERROR(COLUMNS(filter(Scores!B194:AE194,Scores!B194:AE194)),"""")"),41.0)</f>
        <v>41</v>
      </c>
      <c r="J191" s="14">
        <f>COUNTIF(Scores!B194:AX194,B191)</f>
        <v>1</v>
      </c>
      <c r="K191" s="21">
        <f>IFERROR(__xludf.DUMMYFUNCTION("""COMPUTED_VALUE"""),183.0)</f>
        <v>183</v>
      </c>
      <c r="L191" s="36"/>
      <c r="S191" s="21">
        <v>109.0</v>
      </c>
      <c r="T191" s="14">
        <v>77.0</v>
      </c>
      <c r="U191" s="14">
        <v>2423.0</v>
      </c>
      <c r="W191" s="21">
        <v>221.0</v>
      </c>
      <c r="X191" s="14">
        <v>86.0</v>
      </c>
      <c r="Y191" s="14">
        <v>2414.0</v>
      </c>
      <c r="AA191" s="21">
        <v>271.0</v>
      </c>
      <c r="AB191" s="14">
        <v>39.0</v>
      </c>
      <c r="AC191" s="14">
        <v>86.0</v>
      </c>
    </row>
    <row r="192">
      <c r="A192" s="27">
        <f>HYPERLINK("https://arcprize.org/play?task=780d0b14", 184)</f>
        <v>184</v>
      </c>
      <c r="B192" s="14">
        <f>IFERROR(__xludf.DUMMYFUNCTION("min(filter(Scores!B195:AX195,Scores!B195:AX195&gt;0))"),91.0)</f>
        <v>91</v>
      </c>
      <c r="C192" s="14">
        <v>2409.0</v>
      </c>
      <c r="D192" s="51" t="str">
        <f t="array" ref="D192">if(B192,if(countif(Scores!B195:AX195,B192)=1,concat("💎",XLOOKUP(B192,Scores!B195:AX195,Scores!B$1:AX$1)),concat("🥇 x",countif(Scores!B195:AX195,B192))),"")</f>
        <v>🥇 x2</v>
      </c>
      <c r="E192" s="14">
        <f>if(countif(Scores!B195:AX195,B192)=1,F192,-1)</f>
        <v>-1</v>
      </c>
      <c r="F192" s="14">
        <f t="shared" si="1"/>
        <v>91</v>
      </c>
      <c r="G192" s="14">
        <f>IFERROR(__xludf.DUMMYFUNCTION("if(iferror(small(filter(Scores!B195:AX195,Scores!B195:AX195&gt;0),2),-1)&lt;&gt;F192,iferror(small(filter(Scores!B195:AX195,Scores!B195:AX195&gt;0),2),-1),-1)"),-1.0)</f>
        <v>-1</v>
      </c>
      <c r="H192" s="14">
        <f>IFERROR(__xludf.DUMMYFUNCTION("if(iferror(small(filter(Scores!B195:AX195,Scores!B195:AX195&gt;0),3),-1)&lt;&gt;iferror(small(filter(Scores!B195:AX195,Scores!B195:AX195&gt;0),2),-1),iferror(small(filter(Scores!B195:AX195,Scores!B195:AX195&gt;0),3),-1),-1)"),93.0)</f>
        <v>93</v>
      </c>
      <c r="I192" s="14">
        <f>IFERROR(__xludf.DUMMYFUNCTION("IFERROR(COLUMNS(filter(Scores!B195:AE195,Scores!B195:AE195)),"""")"),38.0)</f>
        <v>38</v>
      </c>
      <c r="J192" s="14">
        <f>COUNTIF(Scores!B195:AX195,B192)</f>
        <v>2</v>
      </c>
      <c r="K192" s="21">
        <f>IFERROR(__xludf.DUMMYFUNCTION("""COMPUTED_VALUE"""),184.0)</f>
        <v>184</v>
      </c>
      <c r="L192" s="36"/>
      <c r="S192" s="21">
        <v>199.0</v>
      </c>
      <c r="T192" s="14">
        <v>77.0</v>
      </c>
      <c r="U192" s="14">
        <v>2423.0</v>
      </c>
      <c r="W192" s="21">
        <v>271.0</v>
      </c>
      <c r="X192" s="14">
        <v>86.0</v>
      </c>
      <c r="Y192" s="14">
        <v>2414.0</v>
      </c>
      <c r="AA192" s="21">
        <v>121.0</v>
      </c>
      <c r="AB192" s="14">
        <v>39.0</v>
      </c>
      <c r="AC192" s="14">
        <v>85.0</v>
      </c>
    </row>
    <row r="193">
      <c r="A193" s="27">
        <f>HYPERLINK("https://arcprize.org/play?task=7837ac64", 185)</f>
        <v>185</v>
      </c>
      <c r="B193" s="14">
        <f>IFERROR(__xludf.DUMMYFUNCTION("min(filter(Scores!B196:AX196,Scores!B196:AX196&gt;0))"),107.0)</f>
        <v>107</v>
      </c>
      <c r="C193" s="14">
        <v>2393.0</v>
      </c>
      <c r="D193" s="51" t="str">
        <f t="array" ref="D193">if(B193,if(countif(Scores!B196:AX196,B193)=1,concat("💎",XLOOKUP(B193,Scores!B196:AX196,Scores!B$1:AX$1)),concat("🥇 x",countif(Scores!B196:AX196,B193))),"")</f>
        <v>💎Code Golf International</v>
      </c>
      <c r="E193" s="14">
        <f>if(countif(Scores!B196:AX196,B193)=1,F193,-1)</f>
        <v>107</v>
      </c>
      <c r="F193" s="14">
        <f t="shared" si="1"/>
        <v>107</v>
      </c>
      <c r="G193" s="14">
        <f>IFERROR(__xludf.DUMMYFUNCTION("if(iferror(small(filter(Scores!B196:AX196,Scores!B196:AX196&gt;0),2),-1)&lt;&gt;F193,iferror(small(filter(Scores!B196:AX196,Scores!B196:AX196&gt;0),2),-1),-1)"),110.0)</f>
        <v>110</v>
      </c>
      <c r="H193" s="14">
        <f>IFERROR(__xludf.DUMMYFUNCTION("if(iferror(small(filter(Scores!B196:AX196,Scores!B196:AX196&gt;0),3),-1)&lt;&gt;iferror(small(filter(Scores!B196:AX196,Scores!B196:AX196&gt;0),2),-1),iferror(small(filter(Scores!B196:AX196,Scores!B196:AX196&gt;0),3),-1),-1)"),120.0)</f>
        <v>120</v>
      </c>
      <c r="I193" s="14">
        <f>IFERROR(__xludf.DUMMYFUNCTION("IFERROR(COLUMNS(filter(Scores!B196:AE196,Scores!B196:AE196)),"""")"),34.0)</f>
        <v>34</v>
      </c>
      <c r="J193" s="14">
        <f>COUNTIF(Scores!B196:AX196,B193)</f>
        <v>1</v>
      </c>
      <c r="K193" s="21">
        <f>IFERROR(__xludf.DUMMYFUNCTION("""COMPUTED_VALUE"""),185.0)</f>
        <v>185</v>
      </c>
      <c r="L193" s="36"/>
      <c r="S193" s="21">
        <v>70.0</v>
      </c>
      <c r="T193" s="14">
        <v>78.0</v>
      </c>
      <c r="U193" s="14">
        <v>2422.0</v>
      </c>
      <c r="W193" s="21">
        <v>288.0</v>
      </c>
      <c r="X193" s="14">
        <v>86.0</v>
      </c>
      <c r="Y193" s="14">
        <v>2414.0</v>
      </c>
      <c r="AA193" s="21">
        <v>331.0</v>
      </c>
      <c r="AB193" s="14">
        <v>39.0</v>
      </c>
      <c r="AC193" s="14">
        <v>82.0</v>
      </c>
    </row>
    <row r="194">
      <c r="A194" s="27">
        <f>HYPERLINK("https://arcprize.org/play?task=794b24be", 186)</f>
        <v>186</v>
      </c>
      <c r="B194" s="14">
        <f>IFERROR(__xludf.DUMMYFUNCTION("min(filter(Scores!B197:AX197,Scores!B197:AX197&gt;0))"),60.0)</f>
        <v>60</v>
      </c>
      <c r="C194" s="14">
        <v>2440.0</v>
      </c>
      <c r="D194" s="51" t="str">
        <f t="array" ref="D194">if(B194,if(countif(Scores!B197:AX197,B194)=1,concat("💎",XLOOKUP(B194,Scores!B197:AX197,Scores!B$1:AX$1)),concat("🥇 x",countif(Scores!B197:AX197,B194))),"")</f>
        <v>🥇 x5</v>
      </c>
      <c r="E194" s="14">
        <f>if(countif(Scores!B197:AX197,B194)=1,F194,-1)</f>
        <v>-1</v>
      </c>
      <c r="F194" s="14">
        <f t="shared" si="1"/>
        <v>60</v>
      </c>
      <c r="G194" s="14">
        <f>IFERROR(__xludf.DUMMYFUNCTION("if(iferror(small(filter(Scores!B197:AX197,Scores!B197:AX197&gt;0),2),-1)&lt;&gt;F194,iferror(small(filter(Scores!B197:AX197,Scores!B197:AX197&gt;0),2),-1),-1)"),-1.0)</f>
        <v>-1</v>
      </c>
      <c r="H194" s="14">
        <f>IFERROR(__xludf.DUMMYFUNCTION("if(iferror(small(filter(Scores!B197:AX197,Scores!B197:AX197&gt;0),3),-1)&lt;&gt;iferror(small(filter(Scores!B197:AX197,Scores!B197:AX197&gt;0),2),-1),iferror(small(filter(Scores!B197:AX197,Scores!B197:AX197&gt;0),3),-1),-1)"),-1.0)</f>
        <v>-1</v>
      </c>
      <c r="I194" s="14">
        <f>IFERROR(__xludf.DUMMYFUNCTION("IFERROR(COLUMNS(filter(Scores!B197:AE197,Scores!B197:AE197)),"""")"),44.0)</f>
        <v>44</v>
      </c>
      <c r="J194" s="14">
        <f>COUNTIF(Scores!B197:AX197,B194)</f>
        <v>5</v>
      </c>
      <c r="K194" s="21">
        <f>IFERROR(__xludf.DUMMYFUNCTION("""COMPUTED_VALUE"""),186.0)</f>
        <v>186</v>
      </c>
      <c r="L194" s="36"/>
      <c r="S194" s="21">
        <v>120.0</v>
      </c>
      <c r="T194" s="14">
        <v>78.0</v>
      </c>
      <c r="U194" s="14">
        <v>2422.0</v>
      </c>
      <c r="W194" s="21">
        <v>336.0</v>
      </c>
      <c r="X194" s="14">
        <v>86.0</v>
      </c>
      <c r="Y194" s="14">
        <v>2414.0</v>
      </c>
      <c r="AA194" s="21">
        <v>352.0</v>
      </c>
      <c r="AB194" s="14">
        <v>39.0</v>
      </c>
      <c r="AC194" s="14">
        <v>82.0</v>
      </c>
    </row>
    <row r="195">
      <c r="A195" s="27">
        <f>HYPERLINK("https://arcprize.org/play?task=7b6016b9", 187)</f>
        <v>187</v>
      </c>
      <c r="B195" s="14">
        <f>IFERROR(__xludf.DUMMYFUNCTION("min(filter(Scores!B198:AX198,Scores!B198:AX198&gt;0))"),83.0)</f>
        <v>83</v>
      </c>
      <c r="C195" s="14">
        <v>2417.0</v>
      </c>
      <c r="D195" s="51" t="str">
        <f t="array" ref="D195">if(B195,if(countif(Scores!B198:AX198,B195)=1,concat("💎",XLOOKUP(B195,Scores!B198:AX198,Scores!B$1:AX$1)),concat("🥇 x",countif(Scores!B198:AX198,B195))),"")</f>
        <v>💎jailctf merger</v>
      </c>
      <c r="E195" s="14">
        <f>if(countif(Scores!B198:AX198,B195)=1,F195,-1)</f>
        <v>83</v>
      </c>
      <c r="F195" s="14">
        <f t="shared" si="1"/>
        <v>83</v>
      </c>
      <c r="G195" s="14">
        <f>IFERROR(__xludf.DUMMYFUNCTION("if(iferror(small(filter(Scores!B198:AX198,Scores!B198:AX198&gt;0),2),-1)&lt;&gt;F195,iferror(small(filter(Scores!B198:AX198,Scores!B198:AX198&gt;0),2),-1),-1)"),88.0)</f>
        <v>88</v>
      </c>
      <c r="H195" s="14">
        <f>IFERROR(__xludf.DUMMYFUNCTION("if(iferror(small(filter(Scores!B198:AX198,Scores!B198:AX198&gt;0),3),-1)&lt;&gt;iferror(small(filter(Scores!B198:AX198,Scores!B198:AX198&gt;0),2),-1),iferror(small(filter(Scores!B198:AX198,Scores!B198:AX198&gt;0),3),-1),-1)"),-1.0)</f>
        <v>-1</v>
      </c>
      <c r="I195" s="14">
        <f>IFERROR(__xludf.DUMMYFUNCTION("IFERROR(COLUMNS(filter(Scores!B198:AE198,Scores!B198:AE198)),"""")"),38.0)</f>
        <v>38</v>
      </c>
      <c r="J195" s="14">
        <f>COUNTIF(Scores!B198:AX198,B195)</f>
        <v>1</v>
      </c>
      <c r="K195" s="21">
        <f>IFERROR(__xludf.DUMMYFUNCTION("""COMPUTED_VALUE"""),187.0)</f>
        <v>187</v>
      </c>
      <c r="L195" s="36"/>
      <c r="S195" s="21">
        <v>161.0</v>
      </c>
      <c r="T195" s="14">
        <v>79.0</v>
      </c>
      <c r="U195" s="14">
        <v>2421.0</v>
      </c>
      <c r="W195" s="21">
        <v>58.0</v>
      </c>
      <c r="X195" s="14">
        <v>85.0</v>
      </c>
      <c r="Y195" s="14">
        <v>2415.0</v>
      </c>
      <c r="AA195" s="21">
        <v>139.0</v>
      </c>
      <c r="AB195" s="14">
        <v>39.0</v>
      </c>
      <c r="AC195" s="14">
        <v>81.0</v>
      </c>
    </row>
    <row r="196">
      <c r="A196" s="27">
        <f>HYPERLINK("https://arcprize.org/play?task=7b7f7511", 188)</f>
        <v>188</v>
      </c>
      <c r="B196" s="14">
        <f>IFERROR(__xludf.DUMMYFUNCTION("min(filter(Scores!B199:AX199,Scores!B199:AX199&gt;0))"),53.0)</f>
        <v>53</v>
      </c>
      <c r="C196" s="14">
        <v>2447.0</v>
      </c>
      <c r="D196" s="51" t="str">
        <f t="array" ref="D196">if(B196,if(countif(Scores!B199:AX199,B196)=1,concat("💎",XLOOKUP(B196,Scores!B199:AX199,Scores!B$1:AX$1)),concat("🥇 x",countif(Scores!B199:AX199,B196))),"")</f>
        <v>🥇 x2</v>
      </c>
      <c r="E196" s="14">
        <f>if(countif(Scores!B199:AX199,B196)=1,F196,-1)</f>
        <v>-1</v>
      </c>
      <c r="F196" s="14">
        <f t="shared" si="1"/>
        <v>53</v>
      </c>
      <c r="G196" s="14">
        <f>IFERROR(__xludf.DUMMYFUNCTION("if(iferror(small(filter(Scores!B199:AX199,Scores!B199:AX199&gt;0),2),-1)&lt;&gt;F196,iferror(small(filter(Scores!B199:AX199,Scores!B199:AX199&gt;0),2),-1),-1)"),-1.0)</f>
        <v>-1</v>
      </c>
      <c r="H196" s="14">
        <f>IFERROR(__xludf.DUMMYFUNCTION("if(iferror(small(filter(Scores!B199:AX199,Scores!B199:AX199&gt;0),3),-1)&lt;&gt;iferror(small(filter(Scores!B199:AX199,Scores!B199:AX199&gt;0),2),-1),iferror(small(filter(Scores!B199:AX199,Scores!B199:AX199&gt;0),3),-1),-1)"),55.0)</f>
        <v>55</v>
      </c>
      <c r="I196" s="14">
        <f>IFERROR(__xludf.DUMMYFUNCTION("IFERROR(COLUMNS(filter(Scores!B199:AE199,Scores!B199:AE199)),"""")"),41.0)</f>
        <v>41</v>
      </c>
      <c r="J196" s="14">
        <f>COUNTIF(Scores!B199:AX199,B196)</f>
        <v>2</v>
      </c>
      <c r="K196" s="21">
        <f>IFERROR(__xludf.DUMMYFUNCTION("""COMPUTED_VALUE"""),188.0)</f>
        <v>188</v>
      </c>
      <c r="L196" s="36"/>
      <c r="S196" s="21">
        <v>183.0</v>
      </c>
      <c r="T196" s="14">
        <v>79.0</v>
      </c>
      <c r="U196" s="14">
        <v>2421.0</v>
      </c>
      <c r="W196" s="21">
        <v>100.0</v>
      </c>
      <c r="X196" s="14">
        <v>85.0</v>
      </c>
      <c r="Y196" s="14">
        <v>2415.0</v>
      </c>
      <c r="AA196" s="21">
        <v>254.0</v>
      </c>
      <c r="AB196" s="14">
        <v>39.0</v>
      </c>
      <c r="AC196" s="14">
        <v>81.0</v>
      </c>
    </row>
    <row r="197">
      <c r="A197" s="27">
        <f>HYPERLINK("https://arcprize.org/play?task=7c008303", 189)</f>
        <v>189</v>
      </c>
      <c r="B197" s="14">
        <f>IFERROR(__xludf.DUMMYFUNCTION("min(filter(Scores!B200:AX200,Scores!B200:AX200&gt;0))"),95.0)</f>
        <v>95</v>
      </c>
      <c r="C197" s="14">
        <v>2405.0</v>
      </c>
      <c r="D197" s="51" t="str">
        <f t="array" ref="D197">if(B197,if(countif(Scores!B200:AX200,B197)=1,concat("💎",XLOOKUP(B197,Scores!B200:AX200,Scores!B$1:AX$1)),concat("🥇 x",countif(Scores!B200:AX200,B197))),"")</f>
        <v>💎Code Golf International</v>
      </c>
      <c r="E197" s="14">
        <f>if(countif(Scores!B200:AX200,B197)=1,F197,-1)</f>
        <v>95</v>
      </c>
      <c r="F197" s="14">
        <f t="shared" si="1"/>
        <v>95</v>
      </c>
      <c r="G197" s="14">
        <f>IFERROR(__xludf.DUMMYFUNCTION("if(iferror(small(filter(Scores!B200:AX200,Scores!B200:AX200&gt;0),2),-1)&lt;&gt;F197,iferror(small(filter(Scores!B200:AX200,Scores!B200:AX200&gt;0),2),-1),-1)"),111.0)</f>
        <v>111</v>
      </c>
      <c r="H197" s="14">
        <f>IFERROR(__xludf.DUMMYFUNCTION("if(iferror(small(filter(Scores!B200:AX200,Scores!B200:AX200&gt;0),3),-1)&lt;&gt;iferror(small(filter(Scores!B200:AX200,Scores!B200:AX200&gt;0),2),-1),iferror(small(filter(Scores!B200:AX200,Scores!B200:AX200&gt;0),3),-1),-1)"),-1.0)</f>
        <v>-1</v>
      </c>
      <c r="I197" s="14">
        <f>IFERROR(__xludf.DUMMYFUNCTION("IFERROR(COLUMNS(filter(Scores!B200:AE200,Scores!B200:AE200)),"""")"),36.0)</f>
        <v>36</v>
      </c>
      <c r="J197" s="14">
        <f>COUNTIF(Scores!B200:AX200,B197)</f>
        <v>1</v>
      </c>
      <c r="K197" s="21">
        <f>IFERROR(__xludf.DUMMYFUNCTION("""COMPUTED_VALUE"""),189.0)</f>
        <v>189</v>
      </c>
      <c r="L197" s="36"/>
      <c r="S197" s="21">
        <v>381.0</v>
      </c>
      <c r="T197" s="14">
        <v>79.0</v>
      </c>
      <c r="U197" s="14">
        <v>2421.0</v>
      </c>
      <c r="W197" s="21">
        <v>121.0</v>
      </c>
      <c r="X197" s="14">
        <v>85.0</v>
      </c>
      <c r="Y197" s="14">
        <v>2415.0</v>
      </c>
      <c r="AA197" s="21">
        <v>381.0</v>
      </c>
      <c r="AB197" s="14">
        <v>39.0</v>
      </c>
      <c r="AC197" s="14">
        <v>79.0</v>
      </c>
    </row>
    <row r="198">
      <c r="A198" s="27">
        <f>HYPERLINK("https://arcprize.org/play?task=7ddcd7ec", 190)</f>
        <v>190</v>
      </c>
      <c r="B198" s="14">
        <f>IFERROR(__xludf.DUMMYFUNCTION("min(filter(Scores!B201:AX201,Scores!B201:AX201&gt;0))"),103.0)</f>
        <v>103</v>
      </c>
      <c r="C198" s="14">
        <v>2397.0</v>
      </c>
      <c r="D198" s="51" t="str">
        <f t="array" ref="D198">if(B198,if(countif(Scores!B201:AX201,B198)=1,concat("💎",XLOOKUP(B198,Scores!B201:AX201,Scores!B$1:AX$1)),concat("🥇 x",countif(Scores!B201:AX201,B198))),"")</f>
        <v>💎ox jam</v>
      </c>
      <c r="E198" s="14">
        <f>if(countif(Scores!B201:AX201,B198)=1,F198,-1)</f>
        <v>103</v>
      </c>
      <c r="F198" s="14">
        <f t="shared" si="1"/>
        <v>103</v>
      </c>
      <c r="G198" s="14">
        <f>IFERROR(__xludf.DUMMYFUNCTION("if(iferror(small(filter(Scores!B201:AX201,Scores!B201:AX201&gt;0),2),-1)&lt;&gt;F198,iferror(small(filter(Scores!B201:AX201,Scores!B201:AX201&gt;0),2),-1),-1)"),104.0)</f>
        <v>104</v>
      </c>
      <c r="H198" s="14">
        <f>IFERROR(__xludf.DUMMYFUNCTION("if(iferror(small(filter(Scores!B201:AX201,Scores!B201:AX201&gt;0),3),-1)&lt;&gt;iferror(small(filter(Scores!B201:AX201,Scores!B201:AX201&gt;0),2),-1),iferror(small(filter(Scores!B201:AX201,Scores!B201:AX201&gt;0),3),-1),-1)"),105.0)</f>
        <v>105</v>
      </c>
      <c r="I198" s="14">
        <f>IFERROR(__xludf.DUMMYFUNCTION("IFERROR(COLUMNS(filter(Scores!B201:AE201,Scores!B201:AE201)),"""")"),38.0)</f>
        <v>38</v>
      </c>
      <c r="J198" s="14">
        <f>COUNTIF(Scores!B201:AX201,B198)</f>
        <v>1</v>
      </c>
      <c r="K198" s="21">
        <f>IFERROR(__xludf.DUMMYFUNCTION("""COMPUTED_VALUE"""),190.0)</f>
        <v>190</v>
      </c>
      <c r="L198" s="36"/>
      <c r="S198" s="21">
        <v>49.0</v>
      </c>
      <c r="T198" s="14">
        <v>81.0</v>
      </c>
      <c r="U198" s="14">
        <v>2419.0</v>
      </c>
      <c r="W198" s="21">
        <v>394.0</v>
      </c>
      <c r="X198" s="14">
        <v>85.0</v>
      </c>
      <c r="Y198" s="14">
        <v>2415.0</v>
      </c>
      <c r="AA198" s="21">
        <v>120.0</v>
      </c>
      <c r="AB198" s="14">
        <v>39.0</v>
      </c>
      <c r="AC198" s="14">
        <v>78.0</v>
      </c>
    </row>
    <row r="199">
      <c r="A199" s="27">
        <f>HYPERLINK("https://arcprize.org/play?task=7df24a62", 191)</f>
        <v>191</v>
      </c>
      <c r="B199" s="14">
        <f>IFERROR(__xludf.DUMMYFUNCTION("min(filter(Scores!B202:AX202,Scores!B202:AX202&gt;0))"),221.0)</f>
        <v>221</v>
      </c>
      <c r="C199" s="14">
        <v>2279.0</v>
      </c>
      <c r="D199" s="51" t="str">
        <f t="array" ref="D199">if(B199,if(countif(Scores!B202:AX202,B199)=1,concat("💎",XLOOKUP(B199,Scores!B202:AX202,Scores!B$1:AX$1)),concat("🥇 x",countif(Scores!B202:AX202,B199))),"")</f>
        <v>💎Code Golf International</v>
      </c>
      <c r="E199" s="14">
        <f>if(countif(Scores!B202:AX202,B199)=1,F199,-1)</f>
        <v>221</v>
      </c>
      <c r="F199" s="14">
        <f t="shared" si="1"/>
        <v>221</v>
      </c>
      <c r="G199" s="14">
        <f>IFERROR(__xludf.DUMMYFUNCTION("if(iferror(small(filter(Scores!B202:AX202,Scores!B202:AX202&gt;0),2),-1)&lt;&gt;F199,iferror(small(filter(Scores!B202:AX202,Scores!B202:AX202&gt;0),2),-1),-1)"),227.0)</f>
        <v>227</v>
      </c>
      <c r="H199" s="14">
        <f>IFERROR(__xludf.DUMMYFUNCTION("if(iferror(small(filter(Scores!B202:AX202,Scores!B202:AX202&gt;0),3),-1)&lt;&gt;iferror(small(filter(Scores!B202:AX202,Scores!B202:AX202&gt;0),2),-1),iferror(small(filter(Scores!B202:AX202,Scores!B202:AX202&gt;0),3),-1),-1)"),228.0)</f>
        <v>228</v>
      </c>
      <c r="I199" s="14">
        <f>IFERROR(__xludf.DUMMYFUNCTION("IFERROR(COLUMNS(filter(Scores!B202:AE202,Scores!B202:AE202)),"""")"),34.0)</f>
        <v>34</v>
      </c>
      <c r="J199" s="14">
        <f>COUNTIF(Scores!B202:AX202,B199)</f>
        <v>1</v>
      </c>
      <c r="K199" s="21">
        <f>IFERROR(__xludf.DUMMYFUNCTION("""COMPUTED_VALUE"""),191.0)</f>
        <v>191</v>
      </c>
      <c r="L199" s="36"/>
      <c r="S199" s="21">
        <v>81.0</v>
      </c>
      <c r="T199" s="14">
        <v>81.0</v>
      </c>
      <c r="U199" s="14">
        <v>2419.0</v>
      </c>
      <c r="W199" s="21">
        <v>8.0</v>
      </c>
      <c r="X199" s="14">
        <v>84.0</v>
      </c>
      <c r="Y199" s="14">
        <v>2416.0</v>
      </c>
      <c r="AA199" s="21">
        <v>109.0</v>
      </c>
      <c r="AB199" s="14">
        <v>39.0</v>
      </c>
      <c r="AC199" s="14">
        <v>77.0</v>
      </c>
    </row>
    <row r="200">
      <c r="A200" s="27">
        <f>HYPERLINK("https://arcprize.org/play?task=7e0986d6", 192)</f>
        <v>192</v>
      </c>
      <c r="B200" s="14">
        <f>IFERROR(__xludf.DUMMYFUNCTION("min(filter(Scores!B203:AX203,Scores!B203:AX203&gt;0))"),99.0)</f>
        <v>99</v>
      </c>
      <c r="C200" s="14">
        <v>2401.0</v>
      </c>
      <c r="D200" s="51" t="str">
        <f t="array" ref="D200">if(B200,if(countif(Scores!B203:AX203,B200)=1,concat("💎",XLOOKUP(B200,Scores!B203:AX203,Scores!B$1:AX$1)),concat("🥇 x",countif(Scores!B203:AX203,B200))),"")</f>
        <v>💎jailctf merger</v>
      </c>
      <c r="E200" s="14">
        <f>if(countif(Scores!B203:AX203,B200)=1,F200,-1)</f>
        <v>99</v>
      </c>
      <c r="F200" s="14">
        <f t="shared" si="1"/>
        <v>99</v>
      </c>
      <c r="G200" s="14">
        <f>IFERROR(__xludf.DUMMYFUNCTION("if(iferror(small(filter(Scores!B203:AX203,Scores!B203:AX203&gt;0),2),-1)&lt;&gt;F200,iferror(small(filter(Scores!B203:AX203,Scores!B203:AX203&gt;0),2),-1),-1)"),109.0)</f>
        <v>109</v>
      </c>
      <c r="H200" s="14">
        <f>IFERROR(__xludf.DUMMYFUNCTION("if(iferror(small(filter(Scores!B203:AX203,Scores!B203:AX203&gt;0),3),-1)&lt;&gt;iferror(small(filter(Scores!B203:AX203,Scores!B203:AX203&gt;0),2),-1),iferror(small(filter(Scores!B203:AX203,Scores!B203:AX203&gt;0),3),-1),-1)"),111.0)</f>
        <v>111</v>
      </c>
      <c r="I200" s="14">
        <f>IFERROR(__xludf.DUMMYFUNCTION("IFERROR(COLUMNS(filter(Scores!B203:AE203,Scores!B203:AE203)),"""")"),35.0)</f>
        <v>35</v>
      </c>
      <c r="J200" s="14">
        <f>COUNTIF(Scores!B203:AX203,B200)</f>
        <v>1</v>
      </c>
      <c r="K200" s="21">
        <f>IFERROR(__xludf.DUMMYFUNCTION("""COMPUTED_VALUE"""),192.0)</f>
        <v>192</v>
      </c>
      <c r="L200" s="36"/>
      <c r="S200" s="21">
        <v>139.0</v>
      </c>
      <c r="T200" s="14">
        <v>81.0</v>
      </c>
      <c r="U200" s="14">
        <v>2419.0</v>
      </c>
      <c r="W200" s="21">
        <v>104.0</v>
      </c>
      <c r="X200" s="14">
        <v>84.0</v>
      </c>
      <c r="Y200" s="14">
        <v>2416.0</v>
      </c>
      <c r="AA200" s="21">
        <v>147.0</v>
      </c>
      <c r="AB200" s="14">
        <v>39.0</v>
      </c>
      <c r="AC200" s="14">
        <v>72.0</v>
      </c>
    </row>
    <row r="201">
      <c r="A201" s="27">
        <f>HYPERLINK("https://arcprize.org/play?task=7f4411dc", 193)</f>
        <v>193</v>
      </c>
      <c r="B201" s="14">
        <f>IFERROR(__xludf.DUMMYFUNCTION("min(filter(Scores!B204:AX204,Scores!B204:AX204&gt;0))"),71.0)</f>
        <v>71</v>
      </c>
      <c r="C201" s="14">
        <v>2429.0</v>
      </c>
      <c r="D201" s="51" t="str">
        <f t="array" ref="D201">if(B201,if(countif(Scores!B204:AX204,B201)=1,concat("💎",XLOOKUP(B201,Scores!B204:AX204,Scores!B$1:AX$1)),concat("🥇 x",countif(Scores!B204:AX204,B201))),"")</f>
        <v>💎ox jam</v>
      </c>
      <c r="E201" s="14">
        <f>if(countif(Scores!B204:AX204,B201)=1,F201,-1)</f>
        <v>71</v>
      </c>
      <c r="F201" s="14">
        <f t="shared" si="1"/>
        <v>71</v>
      </c>
      <c r="G201" s="14">
        <f>IFERROR(__xludf.DUMMYFUNCTION("if(iferror(small(filter(Scores!B204:AX204,Scores!B204:AX204&gt;0),2),-1)&lt;&gt;F201,iferror(small(filter(Scores!B204:AX204,Scores!B204:AX204&gt;0),2),-1),-1)"),77.0)</f>
        <v>77</v>
      </c>
      <c r="H201" s="14">
        <f>IFERROR(__xludf.DUMMYFUNCTION("if(iferror(small(filter(Scores!B204:AX204,Scores!B204:AX204&gt;0),3),-1)&lt;&gt;iferror(small(filter(Scores!B204:AX204,Scores!B204:AX204&gt;0),2),-1),iferror(small(filter(Scores!B204:AX204,Scores!B204:AX204&gt;0),3),-1),-1)"),81.0)</f>
        <v>81</v>
      </c>
      <c r="I201" s="14">
        <f>IFERROR(__xludf.DUMMYFUNCTION("IFERROR(COLUMNS(filter(Scores!B204:AE204,Scores!B204:AE204)),"""")"),39.0)</f>
        <v>39</v>
      </c>
      <c r="J201" s="14">
        <f>COUNTIF(Scores!B204:AX204,B201)</f>
        <v>1</v>
      </c>
      <c r="K201" s="21">
        <f>IFERROR(__xludf.DUMMYFUNCTION("""COMPUTED_VALUE"""),193.0)</f>
        <v>193</v>
      </c>
      <c r="L201" s="36"/>
      <c r="S201" s="21">
        <v>254.0</v>
      </c>
      <c r="T201" s="14">
        <v>81.0</v>
      </c>
      <c r="U201" s="14">
        <v>2419.0</v>
      </c>
      <c r="W201" s="21">
        <v>200.0</v>
      </c>
      <c r="X201" s="14">
        <v>84.0</v>
      </c>
      <c r="Y201" s="14">
        <v>2416.0</v>
      </c>
      <c r="AA201" s="21">
        <v>123.0</v>
      </c>
      <c r="AB201" s="14">
        <v>39.0</v>
      </c>
      <c r="AC201" s="14">
        <v>71.0</v>
      </c>
    </row>
    <row r="202">
      <c r="A202" s="27">
        <f>HYPERLINK("https://arcprize.org/play?task=7fe24cdd", 194)</f>
        <v>194</v>
      </c>
      <c r="B202" s="14">
        <f>IFERROR(__xludf.DUMMYFUNCTION("min(filter(Scores!B205:AX205,Scores!B205:AX205&gt;0))"),55.0)</f>
        <v>55</v>
      </c>
      <c r="C202" s="14">
        <v>2445.0</v>
      </c>
      <c r="D202" s="51" t="str">
        <f t="array" ref="D202">if(B202,if(countif(Scores!B205:AX205,B202)=1,concat("💎",XLOOKUP(B202,Scores!B205:AX205,Scores!B$1:AX$1)),concat("🥇 x",countif(Scores!B205:AX205,B202))),"")</f>
        <v>💎ox jam</v>
      </c>
      <c r="E202" s="14">
        <f>if(countif(Scores!B205:AX205,B202)=1,F202,-1)</f>
        <v>55</v>
      </c>
      <c r="F202" s="14">
        <f t="shared" si="1"/>
        <v>55</v>
      </c>
      <c r="G202" s="14">
        <f>IFERROR(__xludf.DUMMYFUNCTION("if(iferror(small(filter(Scores!B205:AX205,Scores!B205:AX205&gt;0),2),-1)&lt;&gt;F202,iferror(small(filter(Scores!B205:AX205,Scores!B205:AX205&gt;0),2),-1),-1)"),59.0)</f>
        <v>59</v>
      </c>
      <c r="H202" s="14">
        <f>IFERROR(__xludf.DUMMYFUNCTION("if(iferror(small(filter(Scores!B205:AX205,Scores!B205:AX205&gt;0),3),-1)&lt;&gt;iferror(small(filter(Scores!B205:AX205,Scores!B205:AX205&gt;0),2),-1),iferror(small(filter(Scores!B205:AX205,Scores!B205:AX205&gt;0),3),-1),-1)"),-1.0)</f>
        <v>-1</v>
      </c>
      <c r="I202" s="14">
        <f>IFERROR(__xludf.DUMMYFUNCTION("IFERROR(COLUMNS(filter(Scores!B205:AE205,Scores!B205:AE205)),"""")"),41.0)</f>
        <v>41</v>
      </c>
      <c r="J202" s="14">
        <f>COUNTIF(Scores!B205:AX205,B202)</f>
        <v>1</v>
      </c>
      <c r="K202" s="21">
        <f>IFERROR(__xludf.DUMMYFUNCTION("""COMPUTED_VALUE"""),194.0)</f>
        <v>194</v>
      </c>
      <c r="L202" s="36"/>
      <c r="S202" s="21">
        <v>357.0</v>
      </c>
      <c r="T202" s="14">
        <v>81.0</v>
      </c>
      <c r="U202" s="14">
        <v>2419.0</v>
      </c>
      <c r="W202" s="21">
        <v>251.0</v>
      </c>
      <c r="X202" s="14">
        <v>84.0</v>
      </c>
      <c r="Y202" s="14">
        <v>2416.0</v>
      </c>
      <c r="AA202" s="21">
        <v>193.0</v>
      </c>
      <c r="AB202" s="14">
        <v>39.0</v>
      </c>
      <c r="AC202" s="14">
        <v>71.0</v>
      </c>
    </row>
    <row r="203">
      <c r="A203" s="27">
        <f>HYPERLINK("https://arcprize.org/play?task=80af3007", 195)</f>
        <v>195</v>
      </c>
      <c r="B203" s="14">
        <f>IFERROR(__xludf.DUMMYFUNCTION("min(filter(Scores!B206:AX206,Scores!B206:AX206&gt;0))"),94.0)</f>
        <v>94</v>
      </c>
      <c r="C203" s="14">
        <v>2406.0</v>
      </c>
      <c r="D203" s="51" t="str">
        <f t="array" ref="D203">if(B203,if(countif(Scores!B206:AX206,B203)=1,concat("💎",XLOOKUP(B203,Scores!B206:AX206,Scores!B$1:AX$1)),concat("🥇 x",countif(Scores!B206:AX206,B203))),"")</f>
        <v>💎ox jam</v>
      </c>
      <c r="E203" s="14">
        <f>if(countif(Scores!B206:AX206,B203)=1,F203,-1)</f>
        <v>94</v>
      </c>
      <c r="F203" s="14">
        <f t="shared" si="1"/>
        <v>94</v>
      </c>
      <c r="G203" s="14">
        <f>IFERROR(__xludf.DUMMYFUNCTION("if(iferror(small(filter(Scores!B206:AX206,Scores!B206:AX206&gt;0),2),-1)&lt;&gt;F203,iferror(small(filter(Scores!B206:AX206,Scores!B206:AX206&gt;0),2),-1),-1)"),102.0)</f>
        <v>102</v>
      </c>
      <c r="H203" s="14">
        <f>IFERROR(__xludf.DUMMYFUNCTION("if(iferror(small(filter(Scores!B206:AX206,Scores!B206:AX206&gt;0),3),-1)&lt;&gt;iferror(small(filter(Scores!B206:AX206,Scores!B206:AX206&gt;0),2),-1),iferror(small(filter(Scores!B206:AX206,Scores!B206:AX206&gt;0),3),-1),-1)"),103.0)</f>
        <v>103</v>
      </c>
      <c r="I203" s="14">
        <f>IFERROR(__xludf.DUMMYFUNCTION("IFERROR(COLUMNS(filter(Scores!B206:AE206,Scores!B206:AE206)),"""")"),35.0)</f>
        <v>35</v>
      </c>
      <c r="J203" s="14">
        <f>COUNTIF(Scores!B206:AX206,B203)</f>
        <v>1</v>
      </c>
      <c r="K203" s="21">
        <f>IFERROR(__xludf.DUMMYFUNCTION("""COMPUTED_VALUE"""),195.0)</f>
        <v>195</v>
      </c>
      <c r="L203" s="36"/>
      <c r="S203" s="21">
        <v>35.0</v>
      </c>
      <c r="T203" s="14">
        <v>82.0</v>
      </c>
      <c r="U203" s="14">
        <v>2418.0</v>
      </c>
      <c r="W203" s="21">
        <v>50.0</v>
      </c>
      <c r="X203" s="14">
        <v>83.0</v>
      </c>
      <c r="Y203" s="14">
        <v>2417.0</v>
      </c>
      <c r="AA203" s="21">
        <v>310.0</v>
      </c>
      <c r="AB203" s="14">
        <v>39.0</v>
      </c>
      <c r="AC203" s="14">
        <v>70.0</v>
      </c>
    </row>
    <row r="204">
      <c r="A204" s="27">
        <f>HYPERLINK("https://arcprize.org/play?task=810b9b61", 196)</f>
        <v>196</v>
      </c>
      <c r="B204" s="14">
        <f>IFERROR(__xludf.DUMMYFUNCTION("min(filter(Scores!B207:AX207,Scores!B207:AX207&gt;0))"),105.0)</f>
        <v>105</v>
      </c>
      <c r="C204" s="14">
        <v>2395.0</v>
      </c>
      <c r="D204" s="51" t="str">
        <f t="array" ref="D204">if(B204,if(countif(Scores!B207:AX207,B204)=1,concat("💎",XLOOKUP(B204,Scores!B207:AX207,Scores!B$1:AX$1)),concat("🥇 x",countif(Scores!B207:AX207,B204))),"")</f>
        <v>💎jailctf merger</v>
      </c>
      <c r="E204" s="14">
        <f>if(countif(Scores!B207:AX207,B204)=1,F204,-1)</f>
        <v>105</v>
      </c>
      <c r="F204" s="14">
        <f t="shared" si="1"/>
        <v>105</v>
      </c>
      <c r="G204" s="14">
        <f>IFERROR(__xludf.DUMMYFUNCTION("if(iferror(small(filter(Scores!B207:AX207,Scores!B207:AX207&gt;0),2),-1)&lt;&gt;F204,iferror(small(filter(Scores!B207:AX207,Scores!B207:AX207&gt;0),2),-1),-1)"),106.0)</f>
        <v>106</v>
      </c>
      <c r="H204" s="14">
        <f>IFERROR(__xludf.DUMMYFUNCTION("if(iferror(small(filter(Scores!B207:AX207,Scores!B207:AX207&gt;0),3),-1)&lt;&gt;iferror(small(filter(Scores!B207:AX207,Scores!B207:AX207&gt;0),2),-1),iferror(small(filter(Scores!B207:AX207,Scores!B207:AX207&gt;0),3),-1),-1)"),110.0)</f>
        <v>110</v>
      </c>
      <c r="I204" s="14">
        <f>IFERROR(__xludf.DUMMYFUNCTION("IFERROR(COLUMNS(filter(Scores!B207:AE207,Scores!B207:AE207)),"""")"),38.0)</f>
        <v>38</v>
      </c>
      <c r="J204" s="14">
        <f>COUNTIF(Scores!B207:AX207,B204)</f>
        <v>1</v>
      </c>
      <c r="K204" s="21">
        <f>IFERROR(__xludf.DUMMYFUNCTION("""COMPUTED_VALUE"""),196.0)</f>
        <v>196</v>
      </c>
      <c r="L204" s="36"/>
      <c r="S204" s="21">
        <v>65.0</v>
      </c>
      <c r="T204" s="14">
        <v>82.0</v>
      </c>
      <c r="U204" s="14">
        <v>2418.0</v>
      </c>
      <c r="W204" s="21">
        <v>110.0</v>
      </c>
      <c r="X204" s="14">
        <v>83.0</v>
      </c>
      <c r="Y204" s="14">
        <v>2417.0</v>
      </c>
      <c r="AA204" s="21">
        <v>257.0</v>
      </c>
      <c r="AB204" s="14">
        <v>39.0</v>
      </c>
      <c r="AC204" s="14">
        <v>68.0</v>
      </c>
    </row>
    <row r="205">
      <c r="A205" s="27">
        <f>HYPERLINK("https://arcprize.org/play?task=82819916", 197)</f>
        <v>197</v>
      </c>
      <c r="B205" s="14">
        <f>IFERROR(__xludf.DUMMYFUNCTION("min(filter(Scores!B208:AX208,Scores!B208:AX208&gt;0))"),51.0)</f>
        <v>51</v>
      </c>
      <c r="C205" s="14">
        <v>2449.0</v>
      </c>
      <c r="D205" s="51" t="str">
        <f t="array" ref="D205">if(B205,if(countif(Scores!B208:AX208,B205)=1,concat("💎",XLOOKUP(B205,Scores!B208:AX208,Scores!B$1:AX$1)),concat("🥇 x",countif(Scores!B208:AX208,B205))),"")</f>
        <v>🥇 x2</v>
      </c>
      <c r="E205" s="14">
        <f>if(countif(Scores!B208:AX208,B205)=1,F205,-1)</f>
        <v>-1</v>
      </c>
      <c r="F205" s="14">
        <f t="shared" si="1"/>
        <v>51</v>
      </c>
      <c r="G205" s="14">
        <f>IFERROR(__xludf.DUMMYFUNCTION("if(iferror(small(filter(Scores!B208:AX208,Scores!B208:AX208&gt;0),2),-1)&lt;&gt;F205,iferror(small(filter(Scores!B208:AX208,Scores!B208:AX208&gt;0),2),-1),-1)"),-1.0)</f>
        <v>-1</v>
      </c>
      <c r="H205" s="14">
        <f>IFERROR(__xludf.DUMMYFUNCTION("if(iferror(small(filter(Scores!B208:AX208,Scores!B208:AX208&gt;0),3),-1)&lt;&gt;iferror(small(filter(Scores!B208:AX208,Scores!B208:AX208&gt;0),2),-1),iferror(small(filter(Scores!B208:AX208,Scores!B208:AX208&gt;0),3),-1),-1)"),53.0)</f>
        <v>53</v>
      </c>
      <c r="I205" s="14">
        <f>IFERROR(__xludf.DUMMYFUNCTION("IFERROR(COLUMNS(filter(Scores!B208:AE208,Scores!B208:AE208)),"""")"),43.0)</f>
        <v>43</v>
      </c>
      <c r="J205" s="14">
        <f>COUNTIF(Scores!B208:AX208,B205)</f>
        <v>2</v>
      </c>
      <c r="K205" s="21">
        <f>IFERROR(__xludf.DUMMYFUNCTION("""COMPUTED_VALUE"""),197.0)</f>
        <v>197</v>
      </c>
      <c r="L205" s="36"/>
      <c r="S205" s="21">
        <v>220.0</v>
      </c>
      <c r="T205" s="14">
        <v>82.0</v>
      </c>
      <c r="U205" s="14">
        <v>2418.0</v>
      </c>
      <c r="W205" s="21">
        <v>187.0</v>
      </c>
      <c r="X205" s="14">
        <v>83.0</v>
      </c>
      <c r="Y205" s="14">
        <v>2417.0</v>
      </c>
      <c r="AA205" s="21">
        <v>237.0</v>
      </c>
      <c r="AB205" s="14">
        <v>39.0</v>
      </c>
      <c r="AC205" s="14">
        <v>66.0</v>
      </c>
    </row>
    <row r="206">
      <c r="A206" s="27">
        <f>HYPERLINK("https://arcprize.org/play?task=83302e8f", 198)</f>
        <v>198</v>
      </c>
      <c r="B206" s="14">
        <f>IFERROR(__xludf.DUMMYFUNCTION("min(filter(Scores!B209:AX209,Scores!B209:AX209&gt;0))"),107.0)</f>
        <v>107</v>
      </c>
      <c r="C206" s="14">
        <v>2393.0</v>
      </c>
      <c r="D206" s="51" t="str">
        <f t="array" ref="D206">if(B206,if(countif(Scores!B209:AX209,B206)=1,concat("💎",XLOOKUP(B206,Scores!B209:AX209,Scores!B$1:AX$1)),concat("🥇 x",countif(Scores!B209:AX209,B206))),"")</f>
        <v>💎Code Golf International</v>
      </c>
      <c r="E206" s="14">
        <f>if(countif(Scores!B209:AX209,B206)=1,F206,-1)</f>
        <v>107</v>
      </c>
      <c r="F206" s="14">
        <f t="shared" si="1"/>
        <v>107</v>
      </c>
      <c r="G206" s="14">
        <f>IFERROR(__xludf.DUMMYFUNCTION("if(iferror(small(filter(Scores!B209:AX209,Scores!B209:AX209&gt;0),2),-1)&lt;&gt;F206,iferror(small(filter(Scores!B209:AX209,Scores!B209:AX209&gt;0),2),-1),-1)"),110.0)</f>
        <v>110</v>
      </c>
      <c r="H206" s="14">
        <f>IFERROR(__xludf.DUMMYFUNCTION("if(iferror(small(filter(Scores!B209:AX209,Scores!B209:AX209&gt;0),3),-1)&lt;&gt;iferror(small(filter(Scores!B209:AX209,Scores!B209:AX209&gt;0),2),-1),iferror(small(filter(Scores!B209:AX209,Scores!B209:AX209&gt;0),3),-1),-1)"),-1.0)</f>
        <v>-1</v>
      </c>
      <c r="I206" s="14">
        <f>IFERROR(__xludf.DUMMYFUNCTION("IFERROR(COLUMNS(filter(Scores!B209:AE209,Scores!B209:AE209)),"""")"),35.0)</f>
        <v>35</v>
      </c>
      <c r="J206" s="14">
        <f>COUNTIF(Scores!B209:AX209,B206)</f>
        <v>1</v>
      </c>
      <c r="K206" s="21">
        <f>IFERROR(__xludf.DUMMYFUNCTION("""COMPUTED_VALUE"""),198.0)</f>
        <v>198</v>
      </c>
      <c r="L206" s="36"/>
      <c r="S206" s="21">
        <v>314.0</v>
      </c>
      <c r="T206" s="14">
        <v>82.0</v>
      </c>
      <c r="U206" s="14">
        <v>2418.0</v>
      </c>
      <c r="W206" s="21">
        <v>259.0</v>
      </c>
      <c r="X206" s="14">
        <v>83.0</v>
      </c>
      <c r="Y206" s="14">
        <v>2417.0</v>
      </c>
      <c r="AA206" s="21">
        <v>203.0</v>
      </c>
      <c r="AB206" s="14">
        <v>39.0</v>
      </c>
      <c r="AC206" s="14">
        <v>64.0</v>
      </c>
    </row>
    <row r="207">
      <c r="A207" s="27">
        <f>HYPERLINK("https://arcprize.org/play?task=834ec97d", 199)</f>
        <v>199</v>
      </c>
      <c r="B207" s="14">
        <f>IFERROR(__xludf.DUMMYFUNCTION("min(filter(Scores!B210:AX210,Scores!B210:AX210&gt;0))"),77.0)</f>
        <v>77</v>
      </c>
      <c r="C207" s="14">
        <v>2423.0</v>
      </c>
      <c r="D207" s="51" t="str">
        <f t="array" ref="D207">if(B207,if(countif(Scores!B210:AX210,B207)=1,concat("💎",XLOOKUP(B207,Scores!B210:AX210,Scores!B$1:AX$1)),concat("🥇 x",countif(Scores!B210:AX210,B207))),"")</f>
        <v>🥇 x3</v>
      </c>
      <c r="E207" s="14">
        <f>if(countif(Scores!B210:AX210,B207)=1,F207,-1)</f>
        <v>-1</v>
      </c>
      <c r="F207" s="14">
        <f t="shared" si="1"/>
        <v>77</v>
      </c>
      <c r="G207" s="14">
        <f>IFERROR(__xludf.DUMMYFUNCTION("if(iferror(small(filter(Scores!B210:AX210,Scores!B210:AX210&gt;0),2),-1)&lt;&gt;F207,iferror(small(filter(Scores!B210:AX210,Scores!B210:AX210&gt;0),2),-1),-1)"),-1.0)</f>
        <v>-1</v>
      </c>
      <c r="H207" s="14">
        <f>IFERROR(__xludf.DUMMYFUNCTION("if(iferror(small(filter(Scores!B210:AX210,Scores!B210:AX210&gt;0),3),-1)&lt;&gt;iferror(small(filter(Scores!B210:AX210,Scores!B210:AX210&gt;0),2),-1),iferror(small(filter(Scores!B210:AX210,Scores!B210:AX210&gt;0),3),-1),-1)"),-1.0)</f>
        <v>-1</v>
      </c>
      <c r="I207" s="14">
        <f>IFERROR(__xludf.DUMMYFUNCTION("IFERROR(COLUMNS(filter(Scores!B210:AE210,Scores!B210:AE210)),"""")"),38.0)</f>
        <v>38</v>
      </c>
      <c r="J207" s="14">
        <f>COUNTIF(Scores!B210:AX210,B207)</f>
        <v>3</v>
      </c>
      <c r="K207" s="21">
        <f>IFERROR(__xludf.DUMMYFUNCTION("""COMPUTED_VALUE"""),199.0)</f>
        <v>199</v>
      </c>
      <c r="L207" s="36"/>
      <c r="S207" s="21">
        <v>331.0</v>
      </c>
      <c r="T207" s="14">
        <v>82.0</v>
      </c>
      <c r="U207" s="14">
        <v>2418.0</v>
      </c>
      <c r="W207" s="21">
        <v>333.0</v>
      </c>
      <c r="X207" s="14">
        <v>83.0</v>
      </c>
      <c r="Y207" s="14">
        <v>2417.0</v>
      </c>
      <c r="AA207" s="21">
        <v>244.0</v>
      </c>
      <c r="AB207" s="14">
        <v>39.0</v>
      </c>
      <c r="AC207" s="14">
        <v>61.0</v>
      </c>
    </row>
    <row r="208">
      <c r="A208" s="27">
        <f>HYPERLINK("https://arcprize.org/play?task=8403a5d5", 200)</f>
        <v>200</v>
      </c>
      <c r="B208" s="14">
        <f>IFERROR(__xludf.DUMMYFUNCTION("min(filter(Scores!B211:AX211,Scores!B211:AX211&gt;0))"),84.0)</f>
        <v>84</v>
      </c>
      <c r="C208" s="14">
        <v>2416.0</v>
      </c>
      <c r="D208" s="51" t="str">
        <f t="array" ref="D208">if(B208,if(countif(Scores!B211:AX211,B208)=1,concat("💎",XLOOKUP(B208,Scores!B211:AX211,Scores!B$1:AX$1)),concat("🥇 x",countif(Scores!B211:AX211,B208))),"")</f>
        <v>🥇 x3</v>
      </c>
      <c r="E208" s="14">
        <f>if(countif(Scores!B211:AX211,B208)=1,F208,-1)</f>
        <v>-1</v>
      </c>
      <c r="F208" s="14">
        <f t="shared" si="1"/>
        <v>84</v>
      </c>
      <c r="G208" s="14">
        <f>IFERROR(__xludf.DUMMYFUNCTION("if(iferror(small(filter(Scores!B211:AX211,Scores!B211:AX211&gt;0),2),-1)&lt;&gt;F208,iferror(small(filter(Scores!B211:AX211,Scores!B211:AX211&gt;0),2),-1),-1)"),-1.0)</f>
        <v>-1</v>
      </c>
      <c r="H208" s="14">
        <f>IFERROR(__xludf.DUMMYFUNCTION("if(iferror(small(filter(Scores!B211:AX211,Scores!B211:AX211&gt;0),3),-1)&lt;&gt;iferror(small(filter(Scores!B211:AX211,Scores!B211:AX211&gt;0),2),-1),iferror(small(filter(Scores!B211:AX211,Scores!B211:AX211&gt;0),3),-1),-1)"),-1.0)</f>
        <v>-1</v>
      </c>
      <c r="I208" s="14">
        <f>IFERROR(__xludf.DUMMYFUNCTION("IFERROR(COLUMNS(filter(Scores!B211:AE211,Scores!B211:AE211)),"""")"),40.0)</f>
        <v>40</v>
      </c>
      <c r="J208" s="14">
        <f>COUNTIF(Scores!B211:AX211,B208)</f>
        <v>3</v>
      </c>
      <c r="K208" s="21">
        <f>IFERROR(__xludf.DUMMYFUNCTION("""COMPUTED_VALUE"""),200.0)</f>
        <v>200</v>
      </c>
      <c r="L208" s="36"/>
      <c r="S208" s="21">
        <v>352.0</v>
      </c>
      <c r="T208" s="14">
        <v>82.0</v>
      </c>
      <c r="U208" s="14">
        <v>2418.0</v>
      </c>
      <c r="W208" s="21">
        <v>353.0</v>
      </c>
      <c r="X208" s="14">
        <v>83.0</v>
      </c>
      <c r="Y208" s="14">
        <v>2417.0</v>
      </c>
      <c r="AA208" s="21">
        <v>377.0</v>
      </c>
      <c r="AB208" s="14">
        <v>39.0</v>
      </c>
      <c r="AC208" s="14">
        <v>55.0</v>
      </c>
    </row>
    <row r="209">
      <c r="A209" s="27">
        <f>HYPERLINK("https://arcprize.org/play?task=846bdb03", 201)</f>
        <v>201</v>
      </c>
      <c r="B209" s="14">
        <f>IFERROR(__xludf.DUMMYFUNCTION("min(filter(Scores!B212:AX212,Scores!B212:AX212&gt;0))"),187.0)</f>
        <v>187</v>
      </c>
      <c r="C209" s="14">
        <v>2313.0</v>
      </c>
      <c r="D209" s="51" t="str">
        <f t="array" ref="D209">if(B209,if(countif(Scores!B212:AX212,B209)=1,concat("💎",XLOOKUP(B209,Scores!B212:AX212,Scores!B$1:AX$1)),concat("🥇 x",countif(Scores!B212:AX212,B209))),"")</f>
        <v>💎Code Golf International</v>
      </c>
      <c r="E209" s="14">
        <f>if(countif(Scores!B212:AX212,B209)=1,F209,-1)</f>
        <v>187</v>
      </c>
      <c r="F209" s="14">
        <f t="shared" si="1"/>
        <v>187</v>
      </c>
      <c r="G209" s="14">
        <f>IFERROR(__xludf.DUMMYFUNCTION("if(iferror(small(filter(Scores!B212:AX212,Scores!B212:AX212&gt;0),2),-1)&lt;&gt;F209,iferror(small(filter(Scores!B212:AX212,Scores!B212:AX212&gt;0),2),-1),-1)"),188.0)</f>
        <v>188</v>
      </c>
      <c r="H209" s="14">
        <f>IFERROR(__xludf.DUMMYFUNCTION("if(iferror(small(filter(Scores!B212:AX212,Scores!B212:AX212&gt;0),3),-1)&lt;&gt;iferror(small(filter(Scores!B212:AX212,Scores!B212:AX212&gt;0),2),-1),iferror(small(filter(Scores!B212:AX212,Scores!B212:AX212&gt;0),3),-1),-1)"),198.0)</f>
        <v>198</v>
      </c>
      <c r="I209" s="14">
        <f>IFERROR(__xludf.DUMMYFUNCTION("IFERROR(COLUMNS(filter(Scores!B212:AE212,Scores!B212:AE212)),"""")"),36.0)</f>
        <v>36</v>
      </c>
      <c r="J209" s="14">
        <f>COUNTIF(Scores!B212:AX212,B209)</f>
        <v>1</v>
      </c>
      <c r="K209" s="21">
        <f>IFERROR(__xludf.DUMMYFUNCTION("""COMPUTED_VALUE"""),201.0)</f>
        <v>201</v>
      </c>
      <c r="L209" s="36"/>
      <c r="S209" s="21">
        <v>50.0</v>
      </c>
      <c r="T209" s="14">
        <v>83.0</v>
      </c>
      <c r="U209" s="14">
        <v>2417.0</v>
      </c>
      <c r="W209" s="21">
        <v>35.0</v>
      </c>
      <c r="X209" s="14">
        <v>82.0</v>
      </c>
      <c r="Y209" s="14">
        <v>2418.0</v>
      </c>
      <c r="AA209" s="21">
        <v>346.0</v>
      </c>
      <c r="AB209" s="14">
        <v>39.0</v>
      </c>
      <c r="AC209" s="14">
        <v>52.0</v>
      </c>
    </row>
    <row r="210">
      <c r="A210" s="27">
        <f>HYPERLINK("https://arcprize.org/play?task=855e0971", 202)</f>
        <v>202</v>
      </c>
      <c r="B210" s="14">
        <f>IFERROR(__xludf.DUMMYFUNCTION("min(filter(Scores!B213:AX213,Scores!B213:AX213&gt;0))"),98.0)</f>
        <v>98</v>
      </c>
      <c r="C210" s="14">
        <v>2402.0</v>
      </c>
      <c r="D210" s="51" t="str">
        <f t="array" ref="D210">if(B210,if(countif(Scores!B213:AX213,B210)=1,concat("💎",XLOOKUP(B210,Scores!B213:AX213,Scores!B$1:AX$1)),concat("🥇 x",countif(Scores!B213:AX213,B210))),"")</f>
        <v>💎jailctf merger</v>
      </c>
      <c r="E210" s="14">
        <f>if(countif(Scores!B213:AX213,B210)=1,F210,-1)</f>
        <v>98</v>
      </c>
      <c r="F210" s="14">
        <f t="shared" si="1"/>
        <v>98</v>
      </c>
      <c r="G210" s="14">
        <f>IFERROR(__xludf.DUMMYFUNCTION("if(iferror(small(filter(Scores!B213:AX213,Scores!B213:AX213&gt;0),2),-1)&lt;&gt;F210,iferror(small(filter(Scores!B213:AX213,Scores!B213:AX213&gt;0),2),-1),-1)"),102.0)</f>
        <v>102</v>
      </c>
      <c r="H210" s="14">
        <f>IFERROR(__xludf.DUMMYFUNCTION("if(iferror(small(filter(Scores!B213:AX213,Scores!B213:AX213&gt;0),3),-1)&lt;&gt;iferror(small(filter(Scores!B213:AX213,Scores!B213:AX213&gt;0),2),-1),iferror(small(filter(Scores!B213:AX213,Scores!B213:AX213&gt;0),3),-1),-1)"),103.0)</f>
        <v>103</v>
      </c>
      <c r="I210" s="14">
        <f>IFERROR(__xludf.DUMMYFUNCTION("IFERROR(COLUMNS(filter(Scores!B213:AE213,Scores!B213:AE213)),"""")"),36.0)</f>
        <v>36</v>
      </c>
      <c r="J210" s="14">
        <f>COUNTIF(Scores!B213:AX213,B210)</f>
        <v>1</v>
      </c>
      <c r="K210" s="21">
        <f>IFERROR(__xludf.DUMMYFUNCTION("""COMPUTED_VALUE"""),202.0)</f>
        <v>202</v>
      </c>
      <c r="L210" s="36"/>
      <c r="S210" s="21">
        <v>110.0</v>
      </c>
      <c r="T210" s="14">
        <v>83.0</v>
      </c>
      <c r="U210" s="14">
        <v>2417.0</v>
      </c>
      <c r="W210" s="21">
        <v>65.0</v>
      </c>
      <c r="X210" s="14">
        <v>82.0</v>
      </c>
      <c r="Y210" s="14">
        <v>2418.0</v>
      </c>
      <c r="AA210" s="21">
        <v>107.0</v>
      </c>
      <c r="AB210" s="14">
        <v>40.0</v>
      </c>
      <c r="AC210" s="14">
        <v>132.0</v>
      </c>
    </row>
    <row r="211">
      <c r="A211" s="27">
        <f>HYPERLINK("https://arcprize.org/play?task=85c4e7cd", 203)</f>
        <v>203</v>
      </c>
      <c r="B211" s="14">
        <f>IFERROR(__xludf.DUMMYFUNCTION("min(filter(Scores!B214:AX214,Scores!B214:AX214&gt;0))"),64.0)</f>
        <v>64</v>
      </c>
      <c r="C211" s="14">
        <v>2436.0</v>
      </c>
      <c r="D211" s="51" t="str">
        <f t="array" ref="D211">if(B211,if(countif(Scores!B214:AX214,B211)=1,concat("💎",XLOOKUP(B211,Scores!B214:AX214,Scores!B$1:AX$1)),concat("🥇 x",countif(Scores!B214:AX214,B211))),"")</f>
        <v>🥇 x8</v>
      </c>
      <c r="E211" s="14">
        <f>if(countif(Scores!B214:AX214,B211)=1,F211,-1)</f>
        <v>-1</v>
      </c>
      <c r="F211" s="14">
        <f t="shared" si="1"/>
        <v>64</v>
      </c>
      <c r="G211" s="14">
        <f>IFERROR(__xludf.DUMMYFUNCTION("if(iferror(small(filter(Scores!B214:AX214,Scores!B214:AX214&gt;0),2),-1)&lt;&gt;F211,iferror(small(filter(Scores!B214:AX214,Scores!B214:AX214&gt;0),2),-1),-1)"),-1.0)</f>
        <v>-1</v>
      </c>
      <c r="H211" s="14">
        <f>IFERROR(__xludf.DUMMYFUNCTION("if(iferror(small(filter(Scores!B214:AX214,Scores!B214:AX214&gt;0),3),-1)&lt;&gt;iferror(small(filter(Scores!B214:AX214,Scores!B214:AX214&gt;0),2),-1),iferror(small(filter(Scores!B214:AX214,Scores!B214:AX214&gt;0),3),-1),-1)"),-1.0)</f>
        <v>-1</v>
      </c>
      <c r="I211" s="14">
        <f>IFERROR(__xludf.DUMMYFUNCTION("IFERROR(COLUMNS(filter(Scores!B214:AE214,Scores!B214:AE214)),"""")"),39.0)</f>
        <v>39</v>
      </c>
      <c r="J211" s="14">
        <f>COUNTIF(Scores!B214:AX214,B211)</f>
        <v>8</v>
      </c>
      <c r="K211" s="21">
        <f>IFERROR(__xludf.DUMMYFUNCTION("""COMPUTED_VALUE"""),203.0)</f>
        <v>203</v>
      </c>
      <c r="L211" s="36"/>
      <c r="S211" s="21">
        <v>187.0</v>
      </c>
      <c r="T211" s="14">
        <v>83.0</v>
      </c>
      <c r="U211" s="14">
        <v>2417.0</v>
      </c>
      <c r="W211" s="21">
        <v>220.0</v>
      </c>
      <c r="X211" s="14">
        <v>82.0</v>
      </c>
      <c r="Y211" s="14">
        <v>2418.0</v>
      </c>
      <c r="AA211" s="21">
        <v>12.0</v>
      </c>
      <c r="AB211" s="14">
        <v>40.0</v>
      </c>
      <c r="AC211" s="14">
        <v>122.0</v>
      </c>
    </row>
    <row r="212">
      <c r="A212" s="27">
        <f>HYPERLINK("https://arcprize.org/play?task=868de0fa", 204)</f>
        <v>204</v>
      </c>
      <c r="B212" s="14">
        <f>IFERROR(__xludf.DUMMYFUNCTION("min(filter(Scores!B215:AX215,Scores!B215:AX215&gt;0))"),93.0)</f>
        <v>93</v>
      </c>
      <c r="C212" s="14">
        <v>2407.0</v>
      </c>
      <c r="D212" s="51" t="str">
        <f t="array" ref="D212">if(B212,if(countif(Scores!B215:AX215,B212)=1,concat("💎",XLOOKUP(B212,Scores!B215:AX215,Scores!B$1:AX$1)),concat("🥇 x",countif(Scores!B215:AX215,B212))),"")</f>
        <v>🥇 x3</v>
      </c>
      <c r="E212" s="14">
        <f>if(countif(Scores!B215:AX215,B212)=1,F212,-1)</f>
        <v>-1</v>
      </c>
      <c r="F212" s="14">
        <f t="shared" si="1"/>
        <v>93</v>
      </c>
      <c r="G212" s="14">
        <f>IFERROR(__xludf.DUMMYFUNCTION("if(iferror(small(filter(Scores!B215:AX215,Scores!B215:AX215&gt;0),2),-1)&lt;&gt;F212,iferror(small(filter(Scores!B215:AX215,Scores!B215:AX215&gt;0),2),-1),-1)"),-1.0)</f>
        <v>-1</v>
      </c>
      <c r="H212" s="14">
        <f>IFERROR(__xludf.DUMMYFUNCTION("if(iferror(small(filter(Scores!B215:AX215,Scores!B215:AX215&gt;0),3),-1)&lt;&gt;iferror(small(filter(Scores!B215:AX215,Scores!B215:AX215&gt;0),2),-1),iferror(small(filter(Scores!B215:AX215,Scores!B215:AX215&gt;0),3),-1),-1)"),-1.0)</f>
        <v>-1</v>
      </c>
      <c r="I212" s="14">
        <f>IFERROR(__xludf.DUMMYFUNCTION("IFERROR(COLUMNS(filter(Scores!B215:AE215,Scores!B215:AE215)),"""")"),37.0)</f>
        <v>37</v>
      </c>
      <c r="J212" s="14">
        <f>COUNTIF(Scores!B215:AX215,B212)</f>
        <v>3</v>
      </c>
      <c r="K212" s="21">
        <f>IFERROR(__xludf.DUMMYFUNCTION("""COMPUTED_VALUE"""),204.0)</f>
        <v>204</v>
      </c>
      <c r="L212" s="36"/>
      <c r="S212" s="21">
        <v>259.0</v>
      </c>
      <c r="T212" s="14">
        <v>83.0</v>
      </c>
      <c r="U212" s="14">
        <v>2417.0</v>
      </c>
      <c r="W212" s="21">
        <v>314.0</v>
      </c>
      <c r="X212" s="14">
        <v>82.0</v>
      </c>
      <c r="Y212" s="14">
        <v>2418.0</v>
      </c>
      <c r="AA212" s="21">
        <v>68.0</v>
      </c>
      <c r="AB212" s="14">
        <v>40.0</v>
      </c>
      <c r="AC212" s="14">
        <v>99.0</v>
      </c>
    </row>
    <row r="213">
      <c r="A213" s="27">
        <f>HYPERLINK("https://arcprize.org/play?task=8731374e", 205)</f>
        <v>205</v>
      </c>
      <c r="B213" s="14">
        <f>IFERROR(__xludf.DUMMYFUNCTION("min(filter(Scores!B216:AX216,Scores!B216:AX216&gt;0))"),134.0)</f>
        <v>134</v>
      </c>
      <c r="C213" s="14">
        <v>2366.0</v>
      </c>
      <c r="D213" s="51" t="str">
        <f t="array" ref="D213">if(B213,if(countif(Scores!B216:AX216,B213)=1,concat("💎",XLOOKUP(B213,Scores!B216:AX216,Scores!B$1:AX$1)),concat("🥇 x",countif(Scores!B216:AX216,B213))),"")</f>
        <v>💎jailctf merger</v>
      </c>
      <c r="E213" s="14">
        <f>if(countif(Scores!B216:AX216,B213)=1,F213,-1)</f>
        <v>134</v>
      </c>
      <c r="F213" s="14">
        <f t="shared" si="1"/>
        <v>134</v>
      </c>
      <c r="G213" s="14">
        <f>IFERROR(__xludf.DUMMYFUNCTION("if(iferror(small(filter(Scores!B216:AX216,Scores!B216:AX216&gt;0),2),-1)&lt;&gt;F213,iferror(small(filter(Scores!B216:AX216,Scores!B216:AX216&gt;0),2),-1),-1)"),136.0)</f>
        <v>136</v>
      </c>
      <c r="H213" s="14">
        <f>IFERROR(__xludf.DUMMYFUNCTION("if(iferror(small(filter(Scores!B216:AX216,Scores!B216:AX216&gt;0),3),-1)&lt;&gt;iferror(small(filter(Scores!B216:AX216,Scores!B216:AX216&gt;0),2),-1),iferror(small(filter(Scores!B216:AX216,Scores!B216:AX216&gt;0),3),-1),-1)"),144.0)</f>
        <v>144</v>
      </c>
      <c r="I213" s="14">
        <f>IFERROR(__xludf.DUMMYFUNCTION("IFERROR(COLUMNS(filter(Scores!B216:AE216,Scores!B216:AE216)),"""")"),33.0)</f>
        <v>33</v>
      </c>
      <c r="J213" s="14">
        <f>COUNTIF(Scores!B216:AX216,B213)</f>
        <v>1</v>
      </c>
      <c r="K213" s="21">
        <f>IFERROR(__xludf.DUMMYFUNCTION("""COMPUTED_VALUE"""),205.0)</f>
        <v>205</v>
      </c>
      <c r="L213" s="36"/>
      <c r="S213" s="21">
        <v>333.0</v>
      </c>
      <c r="T213" s="14">
        <v>83.0</v>
      </c>
      <c r="U213" s="14">
        <v>2417.0</v>
      </c>
      <c r="W213" s="21">
        <v>331.0</v>
      </c>
      <c r="X213" s="14">
        <v>82.0</v>
      </c>
      <c r="Y213" s="14">
        <v>2418.0</v>
      </c>
      <c r="AA213" s="21">
        <v>239.0</v>
      </c>
      <c r="AB213" s="14">
        <v>40.0</v>
      </c>
      <c r="AC213" s="14">
        <v>99.0</v>
      </c>
    </row>
    <row r="214">
      <c r="A214" s="27">
        <f>HYPERLINK("https://arcprize.org/play?task=88a10436", 206)</f>
        <v>206</v>
      </c>
      <c r="B214" s="14">
        <f>IFERROR(__xludf.DUMMYFUNCTION("min(filter(Scores!B217:AX217,Scores!B217:AX217&gt;0))"),139.0)</f>
        <v>139</v>
      </c>
      <c r="C214" s="14">
        <v>2361.0</v>
      </c>
      <c r="D214" s="51" t="str">
        <f t="array" ref="D214">if(B214,if(countif(Scores!B217:AX217,B214)=1,concat("💎",XLOOKUP(B214,Scores!B217:AX217,Scores!B$1:AX$1)),concat("🥇 x",countif(Scores!B217:AX217,B214))),"")</f>
        <v>💎FuunAgent</v>
      </c>
      <c r="E214" s="14">
        <f>if(countif(Scores!B217:AX217,B214)=1,F214,-1)</f>
        <v>139</v>
      </c>
      <c r="F214" s="14">
        <f t="shared" si="1"/>
        <v>139</v>
      </c>
      <c r="G214" s="14">
        <f>IFERROR(__xludf.DUMMYFUNCTION("if(iferror(small(filter(Scores!B217:AX217,Scores!B217:AX217&gt;0),2),-1)&lt;&gt;F214,iferror(small(filter(Scores!B217:AX217,Scores!B217:AX217&gt;0),2),-1),-1)"),140.0)</f>
        <v>140</v>
      </c>
      <c r="H214" s="14">
        <f>IFERROR(__xludf.DUMMYFUNCTION("if(iferror(small(filter(Scores!B217:AX217,Scores!B217:AX217&gt;0),3),-1)&lt;&gt;iferror(small(filter(Scores!B217:AX217,Scores!B217:AX217&gt;0),2),-1),iferror(small(filter(Scores!B217:AX217,Scores!B217:AX217&gt;0),3),-1),-1)"),-1.0)</f>
        <v>-1</v>
      </c>
      <c r="I214" s="14">
        <f>IFERROR(__xludf.DUMMYFUNCTION("IFERROR(COLUMNS(filter(Scores!B217:AE217,Scores!B217:AE217)),"""")"),37.0)</f>
        <v>37</v>
      </c>
      <c r="J214" s="14">
        <f>COUNTIF(Scores!B217:AX217,B214)</f>
        <v>1</v>
      </c>
      <c r="K214" s="21">
        <f>IFERROR(__xludf.DUMMYFUNCTION("""COMPUTED_VALUE"""),206.0)</f>
        <v>206</v>
      </c>
      <c r="L214" s="36"/>
      <c r="S214" s="21">
        <v>353.0</v>
      </c>
      <c r="T214" s="14">
        <v>83.0</v>
      </c>
      <c r="U214" s="14">
        <v>2417.0</v>
      </c>
      <c r="W214" s="21">
        <v>352.0</v>
      </c>
      <c r="X214" s="14">
        <v>82.0</v>
      </c>
      <c r="Y214" s="14">
        <v>2418.0</v>
      </c>
      <c r="AA214" s="21">
        <v>88.0</v>
      </c>
      <c r="AB214" s="14">
        <v>40.0</v>
      </c>
      <c r="AC214" s="14">
        <v>95.0</v>
      </c>
    </row>
    <row r="215">
      <c r="A215" s="27">
        <f>HYPERLINK("https://arcprize.org/play?task=88a62173", 207)</f>
        <v>207</v>
      </c>
      <c r="B215" s="14">
        <f>IFERROR(__xludf.DUMMYFUNCTION("min(filter(Scores!B218:AX218,Scores!B218:AX218&gt;0))"),74.0)</f>
        <v>74</v>
      </c>
      <c r="C215" s="14">
        <v>2426.0</v>
      </c>
      <c r="D215" s="51" t="str">
        <f t="array" ref="D215">if(B215,if(countif(Scores!B218:AX218,B215)=1,concat("💎",XLOOKUP(B215,Scores!B218:AX218,Scores!B$1:AX$1)),concat("🥇 x",countif(Scores!B218:AX218,B215))),"")</f>
        <v>🥇 x2</v>
      </c>
      <c r="E215" s="14">
        <f>if(countif(Scores!B218:AX218,B215)=1,F215,-1)</f>
        <v>-1</v>
      </c>
      <c r="F215" s="14">
        <f t="shared" si="1"/>
        <v>74</v>
      </c>
      <c r="G215" s="14">
        <f>IFERROR(__xludf.DUMMYFUNCTION("if(iferror(small(filter(Scores!B218:AX218,Scores!B218:AX218&gt;0),2),-1)&lt;&gt;F215,iferror(small(filter(Scores!B218:AX218,Scores!B218:AX218&gt;0),2),-1),-1)"),-1.0)</f>
        <v>-1</v>
      </c>
      <c r="H215" s="14">
        <f>IFERROR(__xludf.DUMMYFUNCTION("if(iferror(small(filter(Scores!B218:AX218,Scores!B218:AX218&gt;0),3),-1)&lt;&gt;iferror(small(filter(Scores!B218:AX218,Scores!B218:AX218&gt;0),2),-1),iferror(small(filter(Scores!B218:AX218,Scores!B218:AX218&gt;0),3),-1),-1)"),78.0)</f>
        <v>78</v>
      </c>
      <c r="I215" s="14">
        <f>IFERROR(__xludf.DUMMYFUNCTION("IFERROR(COLUMNS(filter(Scores!B218:AE218,Scores!B218:AE218)),"""")"),40.0)</f>
        <v>40</v>
      </c>
      <c r="J215" s="14">
        <f>COUNTIF(Scores!B218:AX218,B215)</f>
        <v>2</v>
      </c>
      <c r="K215" s="21">
        <f>IFERROR(__xludf.DUMMYFUNCTION("""COMPUTED_VALUE"""),207.0)</f>
        <v>207</v>
      </c>
      <c r="L215" s="36"/>
      <c r="S215" s="21">
        <v>8.0</v>
      </c>
      <c r="T215" s="14">
        <v>84.0</v>
      </c>
      <c r="U215" s="14">
        <v>2416.0</v>
      </c>
      <c r="W215" s="21">
        <v>49.0</v>
      </c>
      <c r="X215" s="14">
        <v>81.0</v>
      </c>
      <c r="Y215" s="14">
        <v>2419.0</v>
      </c>
      <c r="AA215" s="21">
        <v>217.0</v>
      </c>
      <c r="AB215" s="14">
        <v>40.0</v>
      </c>
      <c r="AC215" s="14">
        <v>95.0</v>
      </c>
    </row>
    <row r="216">
      <c r="A216" s="27">
        <f>HYPERLINK("https://arcprize.org/play?task=890034e9", 208)</f>
        <v>208</v>
      </c>
      <c r="B216" s="14">
        <f>IFERROR(__xludf.DUMMYFUNCTION("min(filter(Scores!B219:AX219,Scores!B219:AX219&gt;0))"),163.0)</f>
        <v>163</v>
      </c>
      <c r="C216" s="14">
        <v>2337.0</v>
      </c>
      <c r="D216" s="51" t="str">
        <f t="array" ref="D216">if(B216,if(countif(Scores!B219:AX219,B216)=1,concat("💎",XLOOKUP(B216,Scores!B219:AX219,Scores!B$1:AX$1)),concat("🥇 x",countif(Scores!B219:AX219,B216))),"")</f>
        <v>💎Code Golf International</v>
      </c>
      <c r="E216" s="14">
        <f>if(countif(Scores!B219:AX219,B216)=1,F216,-1)</f>
        <v>163</v>
      </c>
      <c r="F216" s="14">
        <f t="shared" si="1"/>
        <v>163</v>
      </c>
      <c r="G216" s="14">
        <f>IFERROR(__xludf.DUMMYFUNCTION("if(iferror(small(filter(Scores!B219:AX219,Scores!B219:AX219&gt;0),2),-1)&lt;&gt;F216,iferror(small(filter(Scores!B219:AX219,Scores!B219:AX219&gt;0),2),-1),-1)"),189.0)</f>
        <v>189</v>
      </c>
      <c r="H216" s="14">
        <f>IFERROR(__xludf.DUMMYFUNCTION("if(iferror(small(filter(Scores!B219:AX219,Scores!B219:AX219&gt;0),3),-1)&lt;&gt;iferror(small(filter(Scores!B219:AX219,Scores!B219:AX219&gt;0),2),-1),iferror(small(filter(Scores!B219:AX219,Scores!B219:AX219&gt;0),3),-1),-1)"),211.0)</f>
        <v>211</v>
      </c>
      <c r="I216" s="14">
        <f>IFERROR(__xludf.DUMMYFUNCTION("IFERROR(COLUMNS(filter(Scores!B219:AE219,Scores!B219:AE219)),"""")"),34.0)</f>
        <v>34</v>
      </c>
      <c r="J216" s="14">
        <f>COUNTIF(Scores!B219:AX219,B216)</f>
        <v>1</v>
      </c>
      <c r="K216" s="21">
        <f>IFERROR(__xludf.DUMMYFUNCTION("""COMPUTED_VALUE"""),208.0)</f>
        <v>208</v>
      </c>
      <c r="L216" s="36"/>
      <c r="S216" s="21">
        <v>104.0</v>
      </c>
      <c r="T216" s="14">
        <v>84.0</v>
      </c>
      <c r="U216" s="14">
        <v>2416.0</v>
      </c>
      <c r="W216" s="21">
        <v>81.0</v>
      </c>
      <c r="X216" s="14">
        <v>81.0</v>
      </c>
      <c r="Y216" s="14">
        <v>2419.0</v>
      </c>
      <c r="AA216" s="21">
        <v>97.0</v>
      </c>
      <c r="AB216" s="14">
        <v>40.0</v>
      </c>
      <c r="AC216" s="14">
        <v>93.0</v>
      </c>
    </row>
    <row r="217">
      <c r="A217" s="27">
        <f>HYPERLINK("https://arcprize.org/play?task=8a004b2b", 209)</f>
        <v>209</v>
      </c>
      <c r="B217" s="14">
        <f>IFERROR(__xludf.DUMMYFUNCTION("min(filter(Scores!B220:AX220,Scores!B220:AX220&gt;0))"),247.0)</f>
        <v>247</v>
      </c>
      <c r="C217" s="14">
        <v>2253.0</v>
      </c>
      <c r="D217" s="51" t="str">
        <f t="array" ref="D217">if(B217,if(countif(Scores!B220:AX220,B217)=1,concat("💎",XLOOKUP(B217,Scores!B220:AX220,Scores!B$1:AX$1)),concat("🥇 x",countif(Scores!B220:AX220,B217))),"")</f>
        <v>💎ox jam</v>
      </c>
      <c r="E217" s="14">
        <f>if(countif(Scores!B220:AX220,B217)=1,F217,-1)</f>
        <v>247</v>
      </c>
      <c r="F217" s="14">
        <f t="shared" si="1"/>
        <v>247</v>
      </c>
      <c r="G217" s="14">
        <f>IFERROR(__xludf.DUMMYFUNCTION("if(iferror(small(filter(Scores!B220:AX220,Scores!B220:AX220&gt;0),2),-1)&lt;&gt;F217,iferror(small(filter(Scores!B220:AX220,Scores!B220:AX220&gt;0),2),-1),-1)"),250.0)</f>
        <v>250</v>
      </c>
      <c r="H217" s="14">
        <f>IFERROR(__xludf.DUMMYFUNCTION("if(iferror(small(filter(Scores!B220:AX220,Scores!B220:AX220&gt;0),3),-1)&lt;&gt;iferror(small(filter(Scores!B220:AX220,Scores!B220:AX220&gt;0),2),-1),iferror(small(filter(Scores!B220:AX220,Scores!B220:AX220&gt;0),3),-1),-1)"),268.0)</f>
        <v>268</v>
      </c>
      <c r="I217" s="14">
        <f>IFERROR(__xludf.DUMMYFUNCTION("IFERROR(COLUMNS(filter(Scores!B220:AE220,Scores!B220:AE220)),"""")"),34.0)</f>
        <v>34</v>
      </c>
      <c r="J217" s="14">
        <f>COUNTIF(Scores!B220:AX220,B217)</f>
        <v>1</v>
      </c>
      <c r="K217" s="21">
        <f>IFERROR(__xludf.DUMMYFUNCTION("""COMPUTED_VALUE"""),209.0)</f>
        <v>209</v>
      </c>
      <c r="L217" s="36"/>
      <c r="S217" s="21">
        <v>200.0</v>
      </c>
      <c r="T217" s="14">
        <v>84.0</v>
      </c>
      <c r="U217" s="14">
        <v>2416.0</v>
      </c>
      <c r="W217" s="21">
        <v>139.0</v>
      </c>
      <c r="X217" s="14">
        <v>81.0</v>
      </c>
      <c r="Y217" s="14">
        <v>2419.0</v>
      </c>
      <c r="AA217" s="21">
        <v>256.0</v>
      </c>
      <c r="AB217" s="14">
        <v>40.0</v>
      </c>
      <c r="AC217" s="14">
        <v>93.0</v>
      </c>
    </row>
    <row r="218">
      <c r="A218" s="27">
        <f>HYPERLINK("https://arcprize.org/play?task=8be77c9e", 210)</f>
        <v>210</v>
      </c>
      <c r="B218" s="14">
        <f>IFERROR(__xludf.DUMMYFUNCTION("min(filter(Scores!B221:AX221,Scores!B221:AX221&gt;0))"),20.0)</f>
        <v>20</v>
      </c>
      <c r="C218" s="14">
        <v>2480.0</v>
      </c>
      <c r="D218" s="51" t="str">
        <f t="array" ref="D218">if(B218,if(countif(Scores!B221:AX221,B218)=1,concat("💎",XLOOKUP(B218,Scores!B221:AX221,Scores!B$1:AX$1)),concat("🥇 x",countif(Scores!B221:AX221,B218))),"")</f>
        <v>🥇 x44</v>
      </c>
      <c r="E218" s="14">
        <f>if(countif(Scores!B221:AX221,B218)=1,F218,-1)</f>
        <v>-1</v>
      </c>
      <c r="F218" s="14">
        <f t="shared" si="1"/>
        <v>20</v>
      </c>
      <c r="G218" s="14">
        <f>IFERROR(__xludf.DUMMYFUNCTION("if(iferror(small(filter(Scores!B221:AX221,Scores!B221:AX221&gt;0),2),-1)&lt;&gt;F218,iferror(small(filter(Scores!B221:AX221,Scores!B221:AX221&gt;0),2),-1),-1)"),-1.0)</f>
        <v>-1</v>
      </c>
      <c r="H218" s="14">
        <f>IFERROR(__xludf.DUMMYFUNCTION("if(iferror(small(filter(Scores!B221:AX221,Scores!B221:AX221&gt;0),3),-1)&lt;&gt;iferror(small(filter(Scores!B221:AX221,Scores!B221:AX221&gt;0),2),-1),iferror(small(filter(Scores!B221:AX221,Scores!B221:AX221&gt;0),3),-1),-1)"),-1.0)</f>
        <v>-1</v>
      </c>
      <c r="I218" s="14">
        <f>IFERROR(__xludf.DUMMYFUNCTION("IFERROR(COLUMNS(filter(Scores!B221:AE221,Scores!B221:AE221)),"""")"),45.0)</f>
        <v>45</v>
      </c>
      <c r="J218" s="14">
        <f>COUNTIF(Scores!B221:AX221,B218)</f>
        <v>44</v>
      </c>
      <c r="K218" s="21">
        <f>IFERROR(__xludf.DUMMYFUNCTION("""COMPUTED_VALUE"""),210.0)</f>
        <v>210</v>
      </c>
      <c r="L218" s="36"/>
      <c r="S218" s="21">
        <v>251.0</v>
      </c>
      <c r="T218" s="14">
        <v>84.0</v>
      </c>
      <c r="U218" s="14">
        <v>2416.0</v>
      </c>
      <c r="W218" s="21">
        <v>254.0</v>
      </c>
      <c r="X218" s="14">
        <v>81.0</v>
      </c>
      <c r="Y218" s="14">
        <v>2419.0</v>
      </c>
      <c r="AA218" s="21">
        <v>354.0</v>
      </c>
      <c r="AB218" s="14">
        <v>40.0</v>
      </c>
      <c r="AC218" s="14">
        <v>92.0</v>
      </c>
    </row>
    <row r="219">
      <c r="A219" s="27">
        <f>HYPERLINK("https://arcprize.org/play?task=8d5021e8", 211)</f>
        <v>211</v>
      </c>
      <c r="B219" s="14">
        <f>IFERROR(__xludf.DUMMYFUNCTION("min(filter(Scores!B222:AX222,Scores!B222:AX222&gt;0))"),48.0)</f>
        <v>48</v>
      </c>
      <c r="C219" s="14">
        <v>2452.0</v>
      </c>
      <c r="D219" s="51" t="str">
        <f t="array" ref="D219">if(B219,if(countif(Scores!B222:AX222,B219)=1,concat("💎",XLOOKUP(B219,Scores!B222:AX222,Scores!B$1:AX$1)),concat("🥇 x",countif(Scores!B222:AX222,B219))),"")</f>
        <v>🥇 x14</v>
      </c>
      <c r="E219" s="14">
        <f>if(countif(Scores!B222:AX222,B219)=1,F219,-1)</f>
        <v>-1</v>
      </c>
      <c r="F219" s="14">
        <f t="shared" si="1"/>
        <v>48</v>
      </c>
      <c r="G219" s="14">
        <f>IFERROR(__xludf.DUMMYFUNCTION("if(iferror(small(filter(Scores!B222:AX222,Scores!B222:AX222&gt;0),2),-1)&lt;&gt;F219,iferror(small(filter(Scores!B222:AX222,Scores!B222:AX222&gt;0),2),-1),-1)"),-1.0)</f>
        <v>-1</v>
      </c>
      <c r="H219" s="14">
        <f>IFERROR(__xludf.DUMMYFUNCTION("if(iferror(small(filter(Scores!B222:AX222,Scores!B222:AX222&gt;0),3),-1)&lt;&gt;iferror(small(filter(Scores!B222:AX222,Scores!B222:AX222&gt;0),2),-1),iferror(small(filter(Scores!B222:AX222,Scores!B222:AX222&gt;0),3),-1),-1)"),-1.0)</f>
        <v>-1</v>
      </c>
      <c r="I219" s="14">
        <f>IFERROR(__xludf.DUMMYFUNCTION("IFERROR(COLUMNS(filter(Scores!B222:AE222,Scores!B222:AE222)),"""")"),43.0)</f>
        <v>43</v>
      </c>
      <c r="J219" s="14">
        <f>COUNTIF(Scores!B222:AX222,B219)</f>
        <v>14</v>
      </c>
      <c r="K219" s="21">
        <f>IFERROR(__xludf.DUMMYFUNCTION("""COMPUTED_VALUE"""),211.0)</f>
        <v>211</v>
      </c>
      <c r="L219" s="36"/>
      <c r="S219" s="21">
        <v>58.0</v>
      </c>
      <c r="T219" s="14">
        <v>85.0</v>
      </c>
      <c r="U219" s="14">
        <v>2415.0</v>
      </c>
      <c r="W219" s="21">
        <v>357.0</v>
      </c>
      <c r="X219" s="14">
        <v>81.0</v>
      </c>
      <c r="Y219" s="14">
        <v>2419.0</v>
      </c>
      <c r="AA219" s="21">
        <v>17.0</v>
      </c>
      <c r="AB219" s="14">
        <v>40.0</v>
      </c>
      <c r="AC219" s="14">
        <v>90.0</v>
      </c>
    </row>
    <row r="220">
      <c r="A220" s="27">
        <f>HYPERLINK("https://arcprize.org/play?task=8d510a79", 212)</f>
        <v>212</v>
      </c>
      <c r="B220" s="14">
        <f>IFERROR(__xludf.DUMMYFUNCTION("min(filter(Scores!B223:AX223,Scores!B223:AX223&gt;0))"),93.0)</f>
        <v>93</v>
      </c>
      <c r="C220" s="14">
        <v>2407.0</v>
      </c>
      <c r="D220" s="51" t="str">
        <f t="array" ref="D220">if(B220,if(countif(Scores!B223:AX223,B220)=1,concat("💎",XLOOKUP(B220,Scores!B223:AX223,Scores!B$1:AX$1)),concat("🥇 x",countif(Scores!B223:AX223,B220))),"")</f>
        <v>💎ox jam</v>
      </c>
      <c r="E220" s="14">
        <f>if(countif(Scores!B223:AX223,B220)=1,F220,-1)</f>
        <v>93</v>
      </c>
      <c r="F220" s="14">
        <f t="shared" si="1"/>
        <v>93</v>
      </c>
      <c r="G220" s="14">
        <f>IFERROR(__xludf.DUMMYFUNCTION("if(iferror(small(filter(Scores!B223:AX223,Scores!B223:AX223&gt;0),2),-1)&lt;&gt;F220,iferror(small(filter(Scores!B223:AX223,Scores!B223:AX223&gt;0),2),-1),-1)"),99.0)</f>
        <v>99</v>
      </c>
      <c r="H220" s="14">
        <f>IFERROR(__xludf.DUMMYFUNCTION("if(iferror(small(filter(Scores!B223:AX223,Scores!B223:AX223&gt;0),3),-1)&lt;&gt;iferror(small(filter(Scores!B223:AX223,Scores!B223:AX223&gt;0),2),-1),iferror(small(filter(Scores!B223:AX223,Scores!B223:AX223&gt;0),3),-1),-1)"),101.0)</f>
        <v>101</v>
      </c>
      <c r="I220" s="14">
        <f>IFERROR(__xludf.DUMMYFUNCTION("IFERROR(COLUMNS(filter(Scores!B223:AE223,Scores!B223:AE223)),"""")"),36.0)</f>
        <v>36</v>
      </c>
      <c r="J220" s="14">
        <f>COUNTIF(Scores!B223:AX223,B220)</f>
        <v>1</v>
      </c>
      <c r="K220" s="21">
        <f>IFERROR(__xludf.DUMMYFUNCTION("""COMPUTED_VALUE"""),212.0)</f>
        <v>212</v>
      </c>
      <c r="L220" s="36"/>
      <c r="S220" s="21">
        <v>100.0</v>
      </c>
      <c r="T220" s="14">
        <v>85.0</v>
      </c>
      <c r="U220" s="14">
        <v>2415.0</v>
      </c>
      <c r="W220" s="21">
        <v>161.0</v>
      </c>
      <c r="X220" s="14">
        <v>79.0</v>
      </c>
      <c r="Y220" s="14">
        <v>2421.0</v>
      </c>
      <c r="AA220" s="21">
        <v>345.0</v>
      </c>
      <c r="AB220" s="14">
        <v>40.0</v>
      </c>
      <c r="AC220" s="14">
        <v>89.0</v>
      </c>
    </row>
    <row r="221">
      <c r="A221" s="27">
        <f>HYPERLINK("https://arcprize.org/play?task=8e1813be", 213)</f>
        <v>213</v>
      </c>
      <c r="B221" s="14">
        <f>IFERROR(__xludf.DUMMYFUNCTION("min(filter(Scores!B224:AX224,Scores!B224:AX224&gt;0))"),86.0)</f>
        <v>86</v>
      </c>
      <c r="C221" s="14">
        <v>2414.0</v>
      </c>
      <c r="D221" s="51" t="str">
        <f t="array" ref="D221">if(B221,if(countif(Scores!B224:AX224,B221)=1,concat("💎",XLOOKUP(B221,Scores!B224:AX224,Scores!B$1:AX$1)),concat("🥇 x",countif(Scores!B224:AX224,B221))),"")</f>
        <v>💎Code Golf International</v>
      </c>
      <c r="E221" s="14">
        <f>if(countif(Scores!B224:AX224,B221)=1,F221,-1)</f>
        <v>86</v>
      </c>
      <c r="F221" s="14">
        <f t="shared" si="1"/>
        <v>86</v>
      </c>
      <c r="G221" s="14">
        <f>IFERROR(__xludf.DUMMYFUNCTION("if(iferror(small(filter(Scores!B224:AX224,Scores!B224:AX224&gt;0),2),-1)&lt;&gt;F221,iferror(small(filter(Scores!B224:AX224,Scores!B224:AX224&gt;0),2),-1),-1)"),87.0)</f>
        <v>87</v>
      </c>
      <c r="H221" s="14">
        <f>IFERROR(__xludf.DUMMYFUNCTION("if(iferror(small(filter(Scores!B224:AX224,Scores!B224:AX224&gt;0),3),-1)&lt;&gt;iferror(small(filter(Scores!B224:AX224,Scores!B224:AX224&gt;0),2),-1),iferror(small(filter(Scores!B224:AX224,Scores!B224:AX224&gt;0),3),-1),-1)"),-1.0)</f>
        <v>-1</v>
      </c>
      <c r="I221" s="14">
        <f>IFERROR(__xludf.DUMMYFUNCTION("IFERROR(COLUMNS(filter(Scores!B224:AE224,Scores!B224:AE224)),"""")"),38.0)</f>
        <v>38</v>
      </c>
      <c r="J221" s="14">
        <f>COUNTIF(Scores!B224:AX224,B221)</f>
        <v>1</v>
      </c>
      <c r="K221" s="21">
        <f>IFERROR(__xludf.DUMMYFUNCTION("""COMPUTED_VALUE"""),213.0)</f>
        <v>213</v>
      </c>
      <c r="L221" s="36"/>
      <c r="S221" s="21">
        <v>121.0</v>
      </c>
      <c r="T221" s="14">
        <v>85.0</v>
      </c>
      <c r="U221" s="14">
        <v>2415.0</v>
      </c>
      <c r="W221" s="21">
        <v>183.0</v>
      </c>
      <c r="X221" s="14">
        <v>79.0</v>
      </c>
      <c r="Y221" s="14">
        <v>2421.0</v>
      </c>
      <c r="AA221" s="21">
        <v>350.0</v>
      </c>
      <c r="AB221" s="14">
        <v>40.0</v>
      </c>
      <c r="AC221" s="14">
        <v>89.0</v>
      </c>
    </row>
    <row r="222">
      <c r="A222" s="27">
        <f>HYPERLINK("https://arcprize.org/play?task=8e5a5113", 214)</f>
        <v>214</v>
      </c>
      <c r="B222" s="14">
        <f>IFERROR(__xludf.DUMMYFUNCTION("min(filter(Scores!B225:AX225,Scores!B225:AX225&gt;0))"),61.0)</f>
        <v>61</v>
      </c>
      <c r="C222" s="14">
        <v>2439.0</v>
      </c>
      <c r="D222" s="51" t="str">
        <f t="array" ref="D222">if(B222,if(countif(Scores!B225:AX225,B222)=1,concat("💎",XLOOKUP(B222,Scores!B225:AX225,Scores!B$1:AX$1)),concat("🥇 x",countif(Scores!B225:AX225,B222))),"")</f>
        <v>💎import itertools</v>
      </c>
      <c r="E222" s="14">
        <f>if(countif(Scores!B225:AX225,B222)=1,F222,-1)</f>
        <v>61</v>
      </c>
      <c r="F222" s="14">
        <f t="shared" si="1"/>
        <v>61</v>
      </c>
      <c r="G222" s="14">
        <f>IFERROR(__xludf.DUMMYFUNCTION("if(iferror(small(filter(Scores!B225:AX225,Scores!B225:AX225&gt;0),2),-1)&lt;&gt;F222,iferror(small(filter(Scores!B225:AX225,Scores!B225:AX225&gt;0),2),-1),-1)"),62.0)</f>
        <v>62</v>
      </c>
      <c r="H222" s="14">
        <f>IFERROR(__xludf.DUMMYFUNCTION("if(iferror(small(filter(Scores!B225:AX225,Scores!B225:AX225&gt;0),3),-1)&lt;&gt;iferror(small(filter(Scores!B225:AX225,Scores!B225:AX225&gt;0),2),-1),iferror(small(filter(Scores!B225:AX225,Scores!B225:AX225&gt;0),3),-1),-1)"),-1.0)</f>
        <v>-1</v>
      </c>
      <c r="I222" s="14">
        <f>IFERROR(__xludf.DUMMYFUNCTION("IFERROR(COLUMNS(filter(Scores!B225:AE225,Scores!B225:AE225)),"""")"),40.0)</f>
        <v>40</v>
      </c>
      <c r="J222" s="14">
        <f>COUNTIF(Scores!B225:AX225,B222)</f>
        <v>1</v>
      </c>
      <c r="K222" s="21">
        <f>IFERROR(__xludf.DUMMYFUNCTION("""COMPUTED_VALUE"""),214.0)</f>
        <v>214</v>
      </c>
      <c r="L222" s="36"/>
      <c r="S222" s="21">
        <v>394.0</v>
      </c>
      <c r="T222" s="14">
        <v>85.0</v>
      </c>
      <c r="U222" s="14">
        <v>2415.0</v>
      </c>
      <c r="W222" s="21">
        <v>381.0</v>
      </c>
      <c r="X222" s="14">
        <v>79.0</v>
      </c>
      <c r="Y222" s="14">
        <v>2421.0</v>
      </c>
      <c r="AA222" s="21">
        <v>75.0</v>
      </c>
      <c r="AB222" s="14">
        <v>40.0</v>
      </c>
      <c r="AC222" s="14">
        <v>86.0</v>
      </c>
    </row>
    <row r="223">
      <c r="A223" s="27">
        <f>HYPERLINK("https://arcprize.org/play?task=8eb1be9a", 215)</f>
        <v>215</v>
      </c>
      <c r="B223" s="14">
        <f>IFERROR(__xludf.DUMMYFUNCTION("min(filter(Scores!B226:AX226,Scores!B226:AX226&gt;0))"),42.0)</f>
        <v>42</v>
      </c>
      <c r="C223" s="14">
        <v>2458.0</v>
      </c>
      <c r="D223" s="51" t="str">
        <f t="array" ref="D223">if(B223,if(countif(Scores!B226:AX226,B223)=1,concat("💎",XLOOKUP(B223,Scores!B226:AX226,Scores!B$1:AX$1)),concat("🥇 x",countif(Scores!B226:AX226,B223))),"")</f>
        <v>🥇 x3</v>
      </c>
      <c r="E223" s="14">
        <f>if(countif(Scores!B226:AX226,B223)=1,F223,-1)</f>
        <v>-1</v>
      </c>
      <c r="F223" s="14">
        <f t="shared" si="1"/>
        <v>42</v>
      </c>
      <c r="G223" s="14">
        <f>IFERROR(__xludf.DUMMYFUNCTION("if(iferror(small(filter(Scores!B226:AX226,Scores!B226:AX226&gt;0),2),-1)&lt;&gt;F223,iferror(small(filter(Scores!B226:AX226,Scores!B226:AX226&gt;0),2),-1),-1)"),-1.0)</f>
        <v>-1</v>
      </c>
      <c r="H223" s="14">
        <f>IFERROR(__xludf.DUMMYFUNCTION("if(iferror(small(filter(Scores!B226:AX226,Scores!B226:AX226&gt;0),3),-1)&lt;&gt;iferror(small(filter(Scores!B226:AX226,Scores!B226:AX226&gt;0),2),-1),iferror(small(filter(Scores!B226:AX226,Scores!B226:AX226&gt;0),3),-1),-1)"),-1.0)</f>
        <v>-1</v>
      </c>
      <c r="I223" s="14">
        <f>IFERROR(__xludf.DUMMYFUNCTION("IFERROR(COLUMNS(filter(Scores!B226:AE226,Scores!B226:AE226)),"""")"),43.0)</f>
        <v>43</v>
      </c>
      <c r="J223" s="14">
        <f>COUNTIF(Scores!B226:AX226,B223)</f>
        <v>3</v>
      </c>
      <c r="K223" s="21">
        <f>IFERROR(__xludf.DUMMYFUNCTION("""COMPUTED_VALUE"""),215.0)</f>
        <v>215</v>
      </c>
      <c r="L223" s="36"/>
      <c r="S223" s="21">
        <v>2.0</v>
      </c>
      <c r="T223" s="14">
        <v>86.0</v>
      </c>
      <c r="U223" s="14">
        <v>2414.0</v>
      </c>
      <c r="W223" s="21">
        <v>70.0</v>
      </c>
      <c r="X223" s="14">
        <v>78.0</v>
      </c>
      <c r="Y223" s="14">
        <v>2422.0</v>
      </c>
      <c r="AA223" s="21">
        <v>8.0</v>
      </c>
      <c r="AB223" s="14">
        <v>40.0</v>
      </c>
      <c r="AC223" s="14">
        <v>84.0</v>
      </c>
    </row>
    <row r="224">
      <c r="A224" s="27">
        <f>HYPERLINK("https://arcprize.org/play?task=8efcae92", 216)</f>
        <v>216</v>
      </c>
      <c r="B224" s="14">
        <f>IFERROR(__xludf.DUMMYFUNCTION("min(filter(Scores!B227:AX227,Scores!B227:AX227&gt;0))"),111.0)</f>
        <v>111</v>
      </c>
      <c r="C224" s="14">
        <v>2389.0</v>
      </c>
      <c r="D224" s="51" t="str">
        <f t="array" ref="D224">if(B224,if(countif(Scores!B227:AX227,B224)=1,concat("💎",XLOOKUP(B224,Scores!B227:AX227,Scores!B$1:AX$1)),concat("🥇 x",countif(Scores!B227:AX227,B224))),"")</f>
        <v>💎jailctf merger</v>
      </c>
      <c r="E224" s="14">
        <f>if(countif(Scores!B227:AX227,B224)=1,F224,-1)</f>
        <v>111</v>
      </c>
      <c r="F224" s="14">
        <f t="shared" si="1"/>
        <v>111</v>
      </c>
      <c r="G224" s="14">
        <f>IFERROR(__xludf.DUMMYFUNCTION("if(iferror(small(filter(Scores!B227:AX227,Scores!B227:AX227&gt;0),2),-1)&lt;&gt;F224,iferror(small(filter(Scores!B227:AX227,Scores!B227:AX227&gt;0),2),-1),-1)"),113.0)</f>
        <v>113</v>
      </c>
      <c r="H224" s="14">
        <f>IFERROR(__xludf.DUMMYFUNCTION("if(iferror(small(filter(Scores!B227:AX227,Scores!B227:AX227&gt;0),3),-1)&lt;&gt;iferror(small(filter(Scores!B227:AX227,Scores!B227:AX227&gt;0),2),-1),iferror(small(filter(Scores!B227:AX227,Scores!B227:AX227&gt;0),3),-1),-1)"),-1.0)</f>
        <v>-1</v>
      </c>
      <c r="I224" s="14">
        <f>IFERROR(__xludf.DUMMYFUNCTION("IFERROR(COLUMNS(filter(Scores!B227:AE227,Scores!B227:AE227)),"""")"),35.0)</f>
        <v>35</v>
      </c>
      <c r="J224" s="14">
        <f>COUNTIF(Scores!B227:AX227,B224)</f>
        <v>1</v>
      </c>
      <c r="K224" s="21">
        <f>IFERROR(__xludf.DUMMYFUNCTION("""COMPUTED_VALUE"""),216.0)</f>
        <v>216</v>
      </c>
      <c r="L224" s="36"/>
      <c r="S224" s="21">
        <v>75.0</v>
      </c>
      <c r="T224" s="14">
        <v>86.0</v>
      </c>
      <c r="U224" s="14">
        <v>2414.0</v>
      </c>
      <c r="W224" s="21">
        <v>120.0</v>
      </c>
      <c r="X224" s="14">
        <v>78.0</v>
      </c>
      <c r="Y224" s="14">
        <v>2422.0</v>
      </c>
      <c r="AA224" s="21">
        <v>104.0</v>
      </c>
      <c r="AB224" s="14">
        <v>40.0</v>
      </c>
      <c r="AC224" s="14">
        <v>84.0</v>
      </c>
    </row>
    <row r="225">
      <c r="A225" s="27">
        <f>HYPERLINK("https://arcprize.org/play?task=8f2ea7aa", 217)</f>
        <v>217</v>
      </c>
      <c r="B225" s="14">
        <f>IFERROR(__xludf.DUMMYFUNCTION("min(filter(Scores!B228:AX228,Scores!B228:AX228&gt;0))"),95.0)</f>
        <v>95</v>
      </c>
      <c r="C225" s="14">
        <v>2405.0</v>
      </c>
      <c r="D225" s="51" t="str">
        <f t="array" ref="D225">if(B225,if(countif(Scores!B228:AX228,B225)=1,concat("💎",XLOOKUP(B225,Scores!B228:AX228,Scores!B$1:AX$1)),concat("🥇 x",countif(Scores!B228:AX228,B225))),"")</f>
        <v>🥇 x3</v>
      </c>
      <c r="E225" s="14">
        <f>if(countif(Scores!B228:AX228,B225)=1,F225,-1)</f>
        <v>-1</v>
      </c>
      <c r="F225" s="14">
        <f t="shared" si="1"/>
        <v>95</v>
      </c>
      <c r="G225" s="14">
        <f>IFERROR(__xludf.DUMMYFUNCTION("if(iferror(small(filter(Scores!B228:AX228,Scores!B228:AX228&gt;0),2),-1)&lt;&gt;F225,iferror(small(filter(Scores!B228:AX228,Scores!B228:AX228&gt;0),2),-1),-1)"),-1.0)</f>
        <v>-1</v>
      </c>
      <c r="H225" s="14">
        <f>IFERROR(__xludf.DUMMYFUNCTION("if(iferror(small(filter(Scores!B228:AX228,Scores!B228:AX228&gt;0),3),-1)&lt;&gt;iferror(small(filter(Scores!B228:AX228,Scores!B228:AX228&gt;0),2),-1),iferror(small(filter(Scores!B228:AX228,Scores!B228:AX228&gt;0),3),-1),-1)"),-1.0)</f>
        <v>-1</v>
      </c>
      <c r="I225" s="14">
        <f>IFERROR(__xludf.DUMMYFUNCTION("IFERROR(COLUMNS(filter(Scores!B228:AE228,Scores!B228:AE228)),"""")"),40.0)</f>
        <v>40</v>
      </c>
      <c r="J225" s="14">
        <f>COUNTIF(Scores!B228:AX228,B225)</f>
        <v>3</v>
      </c>
      <c r="K225" s="21">
        <f>IFERROR(__xludf.DUMMYFUNCTION("""COMPUTED_VALUE"""),217.0)</f>
        <v>217</v>
      </c>
      <c r="L225" s="36"/>
      <c r="S225" s="21">
        <v>92.0</v>
      </c>
      <c r="T225" s="14">
        <v>86.0</v>
      </c>
      <c r="U225" s="14">
        <v>2414.0</v>
      </c>
      <c r="W225" s="21">
        <v>55.0</v>
      </c>
      <c r="X225" s="14">
        <v>77.0</v>
      </c>
      <c r="Y225" s="14">
        <v>2423.0</v>
      </c>
      <c r="AA225" s="21">
        <v>200.0</v>
      </c>
      <c r="AB225" s="14">
        <v>40.0</v>
      </c>
      <c r="AC225" s="14">
        <v>84.0</v>
      </c>
    </row>
    <row r="226">
      <c r="A226" s="27">
        <f>HYPERLINK("https://arcprize.org/play?task=90c28cc7", 218)</f>
        <v>218</v>
      </c>
      <c r="B226" s="14">
        <f>IFERROR(__xludf.DUMMYFUNCTION("min(filter(Scores!B229:AX229,Scores!B229:AX229&gt;0))"),56.0)</f>
        <v>56</v>
      </c>
      <c r="C226" s="14">
        <v>2444.0</v>
      </c>
      <c r="D226" s="51" t="str">
        <f t="array" ref="D226">if(B226,if(countif(Scores!B229:AX229,B226)=1,concat("💎",XLOOKUP(B226,Scores!B229:AX229,Scores!B$1:AX$1)),concat("🥇 x",countif(Scores!B229:AX229,B226))),"")</f>
        <v>🥇 x3</v>
      </c>
      <c r="E226" s="14">
        <f>if(countif(Scores!B229:AX229,B226)=1,F226,-1)</f>
        <v>-1</v>
      </c>
      <c r="F226" s="14">
        <f t="shared" si="1"/>
        <v>56</v>
      </c>
      <c r="G226" s="14">
        <f>IFERROR(__xludf.DUMMYFUNCTION("if(iferror(small(filter(Scores!B229:AX229,Scores!B229:AX229&gt;0),2),-1)&lt;&gt;F226,iferror(small(filter(Scores!B229:AX229,Scores!B229:AX229&gt;0),2),-1),-1)"),-1.0)</f>
        <v>-1</v>
      </c>
      <c r="H226" s="14">
        <f>IFERROR(__xludf.DUMMYFUNCTION("if(iferror(small(filter(Scores!B229:AX229,Scores!B229:AX229&gt;0),3),-1)&lt;&gt;iferror(small(filter(Scores!B229:AX229,Scores!B229:AX229&gt;0),2),-1),iferror(small(filter(Scores!B229:AX229,Scores!B229:AX229&gt;0),3),-1),-1)"),-1.0)</f>
        <v>-1</v>
      </c>
      <c r="I226" s="14">
        <f>IFERROR(__xludf.DUMMYFUNCTION("IFERROR(COLUMNS(filter(Scores!B229:AE229,Scores!B229:AE229)),"""")"),38.0)</f>
        <v>38</v>
      </c>
      <c r="J226" s="14">
        <f>COUNTIF(Scores!B229:AX229,B226)</f>
        <v>3</v>
      </c>
      <c r="K226" s="21">
        <f>IFERROR(__xludf.DUMMYFUNCTION("""COMPUTED_VALUE"""),218.0)</f>
        <v>218</v>
      </c>
      <c r="L226" s="36"/>
      <c r="S226" s="21">
        <v>132.0</v>
      </c>
      <c r="T226" s="14">
        <v>86.0</v>
      </c>
      <c r="U226" s="14">
        <v>2414.0</v>
      </c>
      <c r="W226" s="21">
        <v>74.0</v>
      </c>
      <c r="X226" s="14">
        <v>77.0</v>
      </c>
      <c r="Y226" s="14">
        <v>2423.0</v>
      </c>
      <c r="AA226" s="21">
        <v>50.0</v>
      </c>
      <c r="AB226" s="14">
        <v>40.0</v>
      </c>
      <c r="AC226" s="14">
        <v>83.0</v>
      </c>
    </row>
    <row r="227">
      <c r="A227" s="27">
        <f>HYPERLINK("https://arcprize.org/play?task=90f3ed37", 219)</f>
        <v>219</v>
      </c>
      <c r="B227" s="14">
        <f>IFERROR(__xludf.DUMMYFUNCTION("min(filter(Scores!B230:AX230,Scores!B230:AX230&gt;0))"),241.0)</f>
        <v>241</v>
      </c>
      <c r="C227" s="14">
        <v>2259.0</v>
      </c>
      <c r="D227" s="51" t="str">
        <f t="array" ref="D227">if(B227,if(countif(Scores!B230:AX230,B227)=1,concat("💎",XLOOKUP(B227,Scores!B230:AX230,Scores!B$1:AX$1)),concat("🥇 x",countif(Scores!B230:AX230,B227))),"")</f>
        <v>🥇 x2</v>
      </c>
      <c r="E227" s="14">
        <f>if(countif(Scores!B230:AX230,B227)=1,F227,-1)</f>
        <v>-1</v>
      </c>
      <c r="F227" s="14">
        <f t="shared" si="1"/>
        <v>241</v>
      </c>
      <c r="G227" s="14">
        <f>IFERROR(__xludf.DUMMYFUNCTION("if(iferror(small(filter(Scores!B230:AX230,Scores!B230:AX230&gt;0),2),-1)&lt;&gt;F227,iferror(small(filter(Scores!B230:AX230,Scores!B230:AX230&gt;0),2),-1),-1)"),-1.0)</f>
        <v>-1</v>
      </c>
      <c r="H227" s="14">
        <f>IFERROR(__xludf.DUMMYFUNCTION("if(iferror(small(filter(Scores!B230:AX230,Scores!B230:AX230&gt;0),3),-1)&lt;&gt;iferror(small(filter(Scores!B230:AX230,Scores!B230:AX230&gt;0),2),-1),iferror(small(filter(Scores!B230:AX230,Scores!B230:AX230&gt;0),3),-1),-1)"),242.0)</f>
        <v>242</v>
      </c>
      <c r="I227" s="14">
        <f>IFERROR(__xludf.DUMMYFUNCTION("IFERROR(COLUMNS(filter(Scores!B230:AE230,Scores!B230:AE230)),"""")"),33.0)</f>
        <v>33</v>
      </c>
      <c r="J227" s="14">
        <f>COUNTIF(Scores!B230:AX230,B227)</f>
        <v>2</v>
      </c>
      <c r="K227" s="21">
        <f>IFERROR(__xludf.DUMMYFUNCTION("""COMPUTED_VALUE"""),219.0)</f>
        <v>219</v>
      </c>
      <c r="L227" s="36"/>
      <c r="S227" s="21">
        <v>213.0</v>
      </c>
      <c r="T227" s="14">
        <v>86.0</v>
      </c>
      <c r="U227" s="14">
        <v>2414.0</v>
      </c>
      <c r="W227" s="21">
        <v>109.0</v>
      </c>
      <c r="X227" s="14">
        <v>77.0</v>
      </c>
      <c r="Y227" s="14">
        <v>2423.0</v>
      </c>
      <c r="AA227" s="21">
        <v>259.0</v>
      </c>
      <c r="AB227" s="14">
        <v>40.0</v>
      </c>
      <c r="AC227" s="14">
        <v>83.0</v>
      </c>
    </row>
    <row r="228">
      <c r="A228" s="27">
        <f>HYPERLINK("https://arcprize.org/play?task=913fb3ed", 220)</f>
        <v>220</v>
      </c>
      <c r="B228" s="14">
        <f>IFERROR(__xludf.DUMMYFUNCTION("min(filter(Scores!B231:AX231,Scores!B231:AX231&gt;0))"),82.0)</f>
        <v>82</v>
      </c>
      <c r="C228" s="14">
        <v>2418.0</v>
      </c>
      <c r="D228" s="51" t="str">
        <f t="array" ref="D228">if(B228,if(countif(Scores!B231:AX231,B228)=1,concat("💎",XLOOKUP(B228,Scores!B231:AX231,Scores!B$1:AX$1)),concat("🥇 x",countif(Scores!B231:AX231,B228))),"")</f>
        <v>💎jailctf merger</v>
      </c>
      <c r="E228" s="14">
        <f>if(countif(Scores!B231:AX231,B228)=1,F228,-1)</f>
        <v>82</v>
      </c>
      <c r="F228" s="14">
        <f t="shared" si="1"/>
        <v>82</v>
      </c>
      <c r="G228" s="14">
        <f>IFERROR(__xludf.DUMMYFUNCTION("if(iferror(small(filter(Scores!B231:AX231,Scores!B231:AX231&gt;0),2),-1)&lt;&gt;F228,iferror(small(filter(Scores!B231:AX231,Scores!B231:AX231&gt;0),2),-1),-1)"),87.0)</f>
        <v>87</v>
      </c>
      <c r="H228" s="14">
        <f>IFERROR(__xludf.DUMMYFUNCTION("if(iferror(small(filter(Scores!B231:AX231,Scores!B231:AX231&gt;0),3),-1)&lt;&gt;iferror(small(filter(Scores!B231:AX231,Scores!B231:AX231&gt;0),2),-1),iferror(small(filter(Scores!B231:AX231,Scores!B231:AX231&gt;0),3),-1),-1)"),88.0)</f>
        <v>88</v>
      </c>
      <c r="I228" s="14">
        <f>IFERROR(__xludf.DUMMYFUNCTION("IFERROR(COLUMNS(filter(Scores!B231:AE231,Scores!B231:AE231)),"""")"),40.0)</f>
        <v>40</v>
      </c>
      <c r="J228" s="14">
        <f>COUNTIF(Scores!B231:AX231,B228)</f>
        <v>1</v>
      </c>
      <c r="K228" s="21">
        <f>IFERROR(__xludf.DUMMYFUNCTION("""COMPUTED_VALUE"""),220.0)</f>
        <v>220</v>
      </c>
      <c r="L228" s="36"/>
      <c r="S228" s="21">
        <v>221.0</v>
      </c>
      <c r="T228" s="14">
        <v>86.0</v>
      </c>
      <c r="U228" s="14">
        <v>2414.0</v>
      </c>
      <c r="W228" s="21">
        <v>199.0</v>
      </c>
      <c r="X228" s="14">
        <v>77.0</v>
      </c>
      <c r="Y228" s="14">
        <v>2423.0</v>
      </c>
      <c r="AA228" s="21">
        <v>35.0</v>
      </c>
      <c r="AB228" s="14">
        <v>40.0</v>
      </c>
      <c r="AC228" s="14">
        <v>82.0</v>
      </c>
    </row>
    <row r="229">
      <c r="A229" s="27">
        <f>HYPERLINK("https://arcprize.org/play?task=91413438", 221)</f>
        <v>221</v>
      </c>
      <c r="B229" s="14">
        <f>IFERROR(__xludf.DUMMYFUNCTION("min(filter(Scores!B232:AX232,Scores!B232:AX232&gt;0))"),86.0)</f>
        <v>86</v>
      </c>
      <c r="C229" s="14">
        <v>2414.0</v>
      </c>
      <c r="D229" s="51" t="str">
        <f t="array" ref="D229">if(B229,if(countif(Scores!B232:AX232,B229)=1,concat("💎",XLOOKUP(B229,Scores!B232:AX232,Scores!B$1:AX$1)),concat("🥇 x",countif(Scores!B232:AX232,B229))),"")</f>
        <v>🥇 x2</v>
      </c>
      <c r="E229" s="14">
        <f>if(countif(Scores!B232:AX232,B229)=1,F229,-1)</f>
        <v>-1</v>
      </c>
      <c r="F229" s="14">
        <f t="shared" si="1"/>
        <v>86</v>
      </c>
      <c r="G229" s="14">
        <f>IFERROR(__xludf.DUMMYFUNCTION("if(iferror(small(filter(Scores!B232:AX232,Scores!B232:AX232&gt;0),2),-1)&lt;&gt;F229,iferror(small(filter(Scores!B232:AX232,Scores!B232:AX232&gt;0),2),-1),-1)"),-1.0)</f>
        <v>-1</v>
      </c>
      <c r="H229" s="14">
        <f>IFERROR(__xludf.DUMMYFUNCTION("if(iferror(small(filter(Scores!B232:AX232,Scores!B232:AX232&gt;0),3),-1)&lt;&gt;iferror(small(filter(Scores!B232:AX232,Scores!B232:AX232&gt;0),2),-1),iferror(small(filter(Scores!B232:AX232,Scores!B232:AX232&gt;0),3),-1),-1)"),87.0)</f>
        <v>87</v>
      </c>
      <c r="I229" s="14">
        <f>IFERROR(__xludf.DUMMYFUNCTION("IFERROR(COLUMNS(filter(Scores!B232:AE232,Scores!B232:AE232)),"""")"),36.0)</f>
        <v>36</v>
      </c>
      <c r="J229" s="14">
        <f>COUNTIF(Scores!B232:AX232,B229)</f>
        <v>2</v>
      </c>
      <c r="K229" s="21">
        <f>IFERROR(__xludf.DUMMYFUNCTION("""COMPUTED_VALUE"""),221.0)</f>
        <v>221</v>
      </c>
      <c r="L229" s="36"/>
      <c r="S229" s="21">
        <v>271.0</v>
      </c>
      <c r="T229" s="14">
        <v>86.0</v>
      </c>
      <c r="U229" s="14">
        <v>2414.0</v>
      </c>
      <c r="W229" s="21">
        <v>36.0</v>
      </c>
      <c r="X229" s="14">
        <v>75.0</v>
      </c>
      <c r="Y229" s="14">
        <v>2425.0</v>
      </c>
      <c r="AA229" s="21">
        <v>220.0</v>
      </c>
      <c r="AB229" s="14">
        <v>40.0</v>
      </c>
      <c r="AC229" s="14">
        <v>82.0</v>
      </c>
    </row>
    <row r="230">
      <c r="A230" s="27">
        <f>HYPERLINK("https://arcprize.org/play?task=91714a58", 222)</f>
        <v>222</v>
      </c>
      <c r="B230" s="14">
        <f>IFERROR(__xludf.DUMMYFUNCTION("min(filter(Scores!B233:AX233,Scores!B233:AX233&gt;0))"),93.0)</f>
        <v>93</v>
      </c>
      <c r="C230" s="14">
        <v>2407.0</v>
      </c>
      <c r="D230" s="51" t="str">
        <f t="array" ref="D230">if(B230,if(countif(Scores!B233:AX233,B230)=1,concat("💎",XLOOKUP(B230,Scores!B233:AX233,Scores!B$1:AX$1)),concat("🥇 x",countif(Scores!B233:AX233,B230))),"")</f>
        <v>💎ox jam</v>
      </c>
      <c r="E230" s="14">
        <f>if(countif(Scores!B233:AX233,B230)=1,F230,-1)</f>
        <v>93</v>
      </c>
      <c r="F230" s="14">
        <f t="shared" si="1"/>
        <v>93</v>
      </c>
      <c r="G230" s="14">
        <f>IFERROR(__xludf.DUMMYFUNCTION("if(iferror(small(filter(Scores!B233:AX233,Scores!B233:AX233&gt;0),2),-1)&lt;&gt;F230,iferror(small(filter(Scores!B233:AX233,Scores!B233:AX233&gt;0),2),-1),-1)"),102.0)</f>
        <v>102</v>
      </c>
      <c r="H230" s="14">
        <f>IFERROR(__xludf.DUMMYFUNCTION("if(iferror(small(filter(Scores!B233:AX233,Scores!B233:AX233&gt;0),3),-1)&lt;&gt;iferror(small(filter(Scores!B233:AX233,Scores!B233:AX233&gt;0),2),-1),iferror(small(filter(Scores!B233:AX233,Scores!B233:AX233&gt;0),3),-1),-1)"),107.0)</f>
        <v>107</v>
      </c>
      <c r="I230" s="14">
        <f>IFERROR(__xludf.DUMMYFUNCTION("IFERROR(COLUMNS(filter(Scores!B233:AE233,Scores!B233:AE233)),"""")"),35.0)</f>
        <v>35</v>
      </c>
      <c r="J230" s="14">
        <f>COUNTIF(Scores!B233:AX233,B230)</f>
        <v>1</v>
      </c>
      <c r="K230" s="21">
        <f>IFERROR(__xludf.DUMMYFUNCTION("""COMPUTED_VALUE"""),222.0)</f>
        <v>222</v>
      </c>
      <c r="L230" s="36"/>
      <c r="S230" s="21">
        <v>288.0</v>
      </c>
      <c r="T230" s="14">
        <v>86.0</v>
      </c>
      <c r="U230" s="14">
        <v>2414.0</v>
      </c>
      <c r="W230" s="21">
        <v>243.0</v>
      </c>
      <c r="X230" s="14">
        <v>75.0</v>
      </c>
      <c r="Y230" s="14">
        <v>2425.0</v>
      </c>
      <c r="AA230" s="21">
        <v>70.0</v>
      </c>
      <c r="AB230" s="14">
        <v>40.0</v>
      </c>
      <c r="AC230" s="14">
        <v>78.0</v>
      </c>
    </row>
    <row r="231">
      <c r="A231" s="27">
        <f>HYPERLINK("https://arcprize.org/play?task=9172f3a0", 223)</f>
        <v>223</v>
      </c>
      <c r="B231" s="14">
        <f>IFERROR(__xludf.DUMMYFUNCTION("min(filter(Scores!B234:AX234,Scores!B234:AX234&gt;0))"),46.0)</f>
        <v>46</v>
      </c>
      <c r="C231" s="14">
        <v>2454.0</v>
      </c>
      <c r="D231" s="51" t="str">
        <f t="array" ref="D231">if(B231,if(countif(Scores!B234:AX234,B231)=1,concat("💎",XLOOKUP(B231,Scores!B234:AX234,Scores!B$1:AX$1)),concat("🥇 x",countif(Scores!B234:AX234,B231))),"")</f>
        <v>🥇 x3</v>
      </c>
      <c r="E231" s="14">
        <f>if(countif(Scores!B234:AX234,B231)=1,F231,-1)</f>
        <v>-1</v>
      </c>
      <c r="F231" s="14">
        <f t="shared" si="1"/>
        <v>46</v>
      </c>
      <c r="G231" s="14">
        <f>IFERROR(__xludf.DUMMYFUNCTION("if(iferror(small(filter(Scores!B234:AX234,Scores!B234:AX234&gt;0),2),-1)&lt;&gt;F231,iferror(small(filter(Scores!B234:AX234,Scores!B234:AX234&gt;0),2),-1),-1)"),-1.0)</f>
        <v>-1</v>
      </c>
      <c r="H231" s="14">
        <f>IFERROR(__xludf.DUMMYFUNCTION("if(iferror(small(filter(Scores!B234:AX234,Scores!B234:AX234&gt;0),3),-1)&lt;&gt;iferror(small(filter(Scores!B234:AX234,Scores!B234:AX234&gt;0),2),-1),iferror(small(filter(Scores!B234:AX234,Scores!B234:AX234&gt;0),3),-1),-1)"),-1.0)</f>
        <v>-1</v>
      </c>
      <c r="I231" s="14">
        <f>IFERROR(__xludf.DUMMYFUNCTION("IFERROR(COLUMNS(filter(Scores!B234:AE234,Scores!B234:AE234)),"""")"),44.0)</f>
        <v>44</v>
      </c>
      <c r="J231" s="14">
        <f>COUNTIF(Scores!B234:AX234,B231)</f>
        <v>3</v>
      </c>
      <c r="K231" s="21">
        <f>IFERROR(__xludf.DUMMYFUNCTION("""COMPUTED_VALUE"""),223.0)</f>
        <v>223</v>
      </c>
      <c r="L231" s="36"/>
      <c r="S231" s="21">
        <v>336.0</v>
      </c>
      <c r="T231" s="14">
        <v>86.0</v>
      </c>
      <c r="U231" s="14">
        <v>2414.0</v>
      </c>
      <c r="W231" s="21">
        <v>273.0</v>
      </c>
      <c r="X231" s="14">
        <v>75.0</v>
      </c>
      <c r="Y231" s="14">
        <v>2425.0</v>
      </c>
      <c r="AA231" s="21">
        <v>243.0</v>
      </c>
      <c r="AB231" s="14">
        <v>40.0</v>
      </c>
      <c r="AC231" s="14">
        <v>75.0</v>
      </c>
    </row>
    <row r="232">
      <c r="A232" s="27">
        <f>HYPERLINK("https://arcprize.org/play?task=928ad970", 224)</f>
        <v>224</v>
      </c>
      <c r="B232" s="14">
        <f>IFERROR(__xludf.DUMMYFUNCTION("min(filter(Scores!B235:AX235,Scores!B235:AX235&gt;0))"),114.0)</f>
        <v>114</v>
      </c>
      <c r="C232" s="14">
        <v>2386.0</v>
      </c>
      <c r="D232" s="51" t="str">
        <f t="array" ref="D232">if(B232,if(countif(Scores!B235:AX235,B232)=1,concat("💎",XLOOKUP(B232,Scores!B235:AX235,Scores!B$1:AX$1)),concat("🥇 x",countif(Scores!B235:AX235,B232))),"")</f>
        <v>💎jailctf merger</v>
      </c>
      <c r="E232" s="14">
        <f>if(countif(Scores!B235:AX235,B232)=1,F232,-1)</f>
        <v>114</v>
      </c>
      <c r="F232" s="14">
        <f t="shared" si="1"/>
        <v>114</v>
      </c>
      <c r="G232" s="14">
        <f>IFERROR(__xludf.DUMMYFUNCTION("if(iferror(small(filter(Scores!B235:AX235,Scores!B235:AX235&gt;0),2),-1)&lt;&gt;F232,iferror(small(filter(Scores!B235:AX235,Scores!B235:AX235&gt;0),2),-1),-1)"),131.0)</f>
        <v>131</v>
      </c>
      <c r="H232" s="14">
        <f>IFERROR(__xludf.DUMMYFUNCTION("if(iferror(small(filter(Scores!B235:AX235,Scores!B235:AX235&gt;0),3),-1)&lt;&gt;iferror(small(filter(Scores!B235:AX235,Scores!B235:AX235&gt;0),2),-1),iferror(small(filter(Scores!B235:AX235,Scores!B235:AX235&gt;0),3),-1),-1)"),138.0)</f>
        <v>138</v>
      </c>
      <c r="I232" s="14">
        <f>IFERROR(__xludf.DUMMYFUNCTION("IFERROR(COLUMNS(filter(Scores!B235:AE235,Scores!B235:AE235)),"""")"),35.0)</f>
        <v>35</v>
      </c>
      <c r="J232" s="14">
        <f>COUNTIF(Scores!B235:AX235,B232)</f>
        <v>1</v>
      </c>
      <c r="K232" s="21">
        <f>IFERROR(__xludf.DUMMYFUNCTION("""COMPUTED_VALUE"""),224.0)</f>
        <v>224</v>
      </c>
      <c r="L232" s="36"/>
      <c r="S232" s="21">
        <v>15.0</v>
      </c>
      <c r="T232" s="14">
        <v>87.0</v>
      </c>
      <c r="U232" s="14">
        <v>2413.0</v>
      </c>
      <c r="W232" s="21">
        <v>63.0</v>
      </c>
      <c r="X232" s="14">
        <v>74.0</v>
      </c>
      <c r="Y232" s="14">
        <v>2426.0</v>
      </c>
      <c r="AA232" s="21">
        <v>63.0</v>
      </c>
      <c r="AB232" s="14">
        <v>40.0</v>
      </c>
      <c r="AC232" s="14">
        <v>74.0</v>
      </c>
    </row>
    <row r="233">
      <c r="A233" s="27">
        <f>HYPERLINK("https://arcprize.org/play?task=93b581b8", 225)</f>
        <v>225</v>
      </c>
      <c r="B233" s="14">
        <f>IFERROR(__xludf.DUMMYFUNCTION("min(filter(Scores!B236:AX236,Scores!B236:AX236&gt;0))"),123.0)</f>
        <v>123</v>
      </c>
      <c r="C233" s="14">
        <v>2377.0</v>
      </c>
      <c r="D233" s="51" t="str">
        <f t="array" ref="D233">if(B233,if(countif(Scores!B236:AX236,B233)=1,concat("💎",XLOOKUP(B233,Scores!B236:AX236,Scores!B$1:AX$1)),concat("🥇 x",countif(Scores!B236:AX236,B233))),"")</f>
        <v>🥇 x3</v>
      </c>
      <c r="E233" s="14">
        <f>if(countif(Scores!B236:AX236,B233)=1,F233,-1)</f>
        <v>-1</v>
      </c>
      <c r="F233" s="14">
        <f t="shared" si="1"/>
        <v>123</v>
      </c>
      <c r="G233" s="14">
        <f>IFERROR(__xludf.DUMMYFUNCTION("if(iferror(small(filter(Scores!B236:AX236,Scores!B236:AX236&gt;0),2),-1)&lt;&gt;F233,iferror(small(filter(Scores!B236:AX236,Scores!B236:AX236&gt;0),2),-1),-1)"),-1.0)</f>
        <v>-1</v>
      </c>
      <c r="H233" s="14">
        <f>IFERROR(__xludf.DUMMYFUNCTION("if(iferror(small(filter(Scores!B236:AX236,Scores!B236:AX236&gt;0),3),-1)&lt;&gt;iferror(small(filter(Scores!B236:AX236,Scores!B236:AX236&gt;0),2),-1),iferror(small(filter(Scores!B236:AX236,Scores!B236:AX236&gt;0),3),-1),-1)"),-1.0)</f>
        <v>-1</v>
      </c>
      <c r="I233" s="14">
        <f>IFERROR(__xludf.DUMMYFUNCTION("IFERROR(COLUMNS(filter(Scores!B236:AE236,Scores!B236:AE236)),"""")"),35.0)</f>
        <v>35</v>
      </c>
      <c r="J233" s="14">
        <f>COUNTIF(Scores!B236:AX236,B233)</f>
        <v>3</v>
      </c>
      <c r="K233" s="21">
        <f>IFERROR(__xludf.DUMMYFUNCTION("""COMPUTED_VALUE"""),225.0)</f>
        <v>225</v>
      </c>
      <c r="L233" s="36"/>
      <c r="S233" s="21">
        <v>300.0</v>
      </c>
      <c r="T233" s="14">
        <v>87.0</v>
      </c>
      <c r="U233" s="14">
        <v>2413.0</v>
      </c>
      <c r="W233" s="21">
        <v>149.0</v>
      </c>
      <c r="X233" s="14">
        <v>74.0</v>
      </c>
      <c r="Y233" s="14">
        <v>2426.0</v>
      </c>
      <c r="AA233" s="21">
        <v>149.0</v>
      </c>
      <c r="AB233" s="14">
        <v>40.0</v>
      </c>
      <c r="AC233" s="14">
        <v>74.0</v>
      </c>
    </row>
    <row r="234">
      <c r="A234" s="27">
        <f>HYPERLINK("https://arcprize.org/play?task=941d9a10", 226)</f>
        <v>226</v>
      </c>
      <c r="B234" s="14">
        <f>IFERROR(__xludf.DUMMYFUNCTION("min(filter(Scores!B237:AX237,Scores!B237:AX237&gt;0))"),117.0)</f>
        <v>117</v>
      </c>
      <c r="C234" s="14">
        <v>2383.0</v>
      </c>
      <c r="D234" s="51" t="str">
        <f t="array" ref="D234">if(B234,if(countif(Scores!B237:AX237,B234)=1,concat("💎",XLOOKUP(B234,Scores!B237:AX237,Scores!B$1:AX$1)),concat("🥇 x",countif(Scores!B237:AX237,B234))),"")</f>
        <v>💎jailctf merger</v>
      </c>
      <c r="E234" s="14">
        <f>if(countif(Scores!B237:AX237,B234)=1,F234,-1)</f>
        <v>117</v>
      </c>
      <c r="F234" s="14">
        <f t="shared" si="1"/>
        <v>117</v>
      </c>
      <c r="G234" s="14">
        <f>IFERROR(__xludf.DUMMYFUNCTION("if(iferror(small(filter(Scores!B237:AX237,Scores!B237:AX237&gt;0),2),-1)&lt;&gt;F234,iferror(small(filter(Scores!B237:AX237,Scores!B237:AX237&gt;0),2),-1),-1)"),119.0)</f>
        <v>119</v>
      </c>
      <c r="H234" s="14">
        <f>IFERROR(__xludf.DUMMYFUNCTION("if(iferror(small(filter(Scores!B237:AX237,Scores!B237:AX237&gt;0),3),-1)&lt;&gt;iferror(small(filter(Scores!B237:AX237,Scores!B237:AX237&gt;0),2),-1),iferror(small(filter(Scores!B237:AX237,Scores!B237:AX237&gt;0),3),-1),-1)"),120.0)</f>
        <v>120</v>
      </c>
      <c r="I234" s="14">
        <f>IFERROR(__xludf.DUMMYFUNCTION("IFERROR(COLUMNS(filter(Scores!B237:AE237,Scores!B237:AE237)),"""")"),38.0)</f>
        <v>38</v>
      </c>
      <c r="J234" s="14">
        <f>COUNTIF(Scores!B237:AX237,B234)</f>
        <v>1</v>
      </c>
      <c r="K234" s="21">
        <f>IFERROR(__xludf.DUMMYFUNCTION("""COMPUTED_VALUE"""),226.0)</f>
        <v>226</v>
      </c>
      <c r="L234" s="36"/>
      <c r="S234" s="21">
        <v>266.0</v>
      </c>
      <c r="T234" s="14">
        <v>88.0</v>
      </c>
      <c r="U234" s="14">
        <v>2412.0</v>
      </c>
      <c r="W234" s="21">
        <v>175.0</v>
      </c>
      <c r="X234" s="14">
        <v>74.0</v>
      </c>
      <c r="Y234" s="14">
        <v>2426.0</v>
      </c>
      <c r="AA234" s="21">
        <v>207.0</v>
      </c>
      <c r="AB234" s="14">
        <v>40.0</v>
      </c>
      <c r="AC234" s="14">
        <v>74.0</v>
      </c>
    </row>
    <row r="235">
      <c r="A235" s="27">
        <f>HYPERLINK("https://arcprize.org/play?task=94f9d214", 227)</f>
        <v>227</v>
      </c>
      <c r="B235" s="14">
        <f>IFERROR(__xludf.DUMMYFUNCTION("min(filter(Scores!B238:AX238,Scores!B238:AX238&gt;0))"),52.0)</f>
        <v>52</v>
      </c>
      <c r="C235" s="14">
        <v>2448.0</v>
      </c>
      <c r="D235" s="51" t="str">
        <f t="array" ref="D235">if(B235,if(countif(Scores!B238:AX238,B235)=1,concat("💎",XLOOKUP(B235,Scores!B238:AX238,Scores!B$1:AX$1)),concat("🥇 x",countif(Scores!B238:AX238,B235))),"")</f>
        <v>🥇 x4</v>
      </c>
      <c r="E235" s="14">
        <f>if(countif(Scores!B238:AX238,B235)=1,F235,-1)</f>
        <v>-1</v>
      </c>
      <c r="F235" s="14">
        <f t="shared" si="1"/>
        <v>52</v>
      </c>
      <c r="G235" s="14">
        <f>IFERROR(__xludf.DUMMYFUNCTION("if(iferror(small(filter(Scores!B238:AX238,Scores!B238:AX238&gt;0),2),-1)&lt;&gt;F235,iferror(small(filter(Scores!B238:AX238,Scores!B238:AX238&gt;0),2),-1),-1)"),-1.0)</f>
        <v>-1</v>
      </c>
      <c r="H235" s="14">
        <f>IFERROR(__xludf.DUMMYFUNCTION("if(iferror(small(filter(Scores!B238:AX238,Scores!B238:AX238&gt;0),3),-1)&lt;&gt;iferror(small(filter(Scores!B238:AX238,Scores!B238:AX238&gt;0),2),-1),iferror(small(filter(Scores!B238:AX238,Scores!B238:AX238&gt;0),3),-1),-1)"),-1.0)</f>
        <v>-1</v>
      </c>
      <c r="I235" s="14">
        <f>IFERROR(__xludf.DUMMYFUNCTION("IFERROR(COLUMNS(filter(Scores!B238:AE238,Scores!B238:AE238)),"""")"),43.0)</f>
        <v>43</v>
      </c>
      <c r="J235" s="14">
        <f>COUNTIF(Scores!B238:AX238,B235)</f>
        <v>4</v>
      </c>
      <c r="K235" s="21">
        <f>IFERROR(__xludf.DUMMYFUNCTION("""COMPUTED_VALUE"""),227.0)</f>
        <v>227</v>
      </c>
      <c r="L235" s="36"/>
      <c r="S235" s="21">
        <v>348.0</v>
      </c>
      <c r="T235" s="14">
        <v>88.0</v>
      </c>
      <c r="U235" s="14">
        <v>2412.0</v>
      </c>
      <c r="W235" s="21">
        <v>180.0</v>
      </c>
      <c r="X235" s="14">
        <v>74.0</v>
      </c>
      <c r="Y235" s="14">
        <v>2426.0</v>
      </c>
      <c r="AA235" s="21">
        <v>282.0</v>
      </c>
      <c r="AB235" s="14">
        <v>40.0</v>
      </c>
      <c r="AC235" s="14">
        <v>74.0</v>
      </c>
    </row>
    <row r="236">
      <c r="A236" s="27">
        <f>HYPERLINK("https://arcprize.org/play?task=952a094c", 228)</f>
        <v>228</v>
      </c>
      <c r="B236" s="14">
        <f>IFERROR(__xludf.DUMMYFUNCTION("min(filter(Scores!B239:AX239,Scores!B239:AX239&gt;0))"),116.0)</f>
        <v>116</v>
      </c>
      <c r="C236" s="14">
        <v>2384.0</v>
      </c>
      <c r="D236" s="51" t="str">
        <f t="array" ref="D236">if(B236,if(countif(Scores!B239:AX239,B236)=1,concat("💎",XLOOKUP(B236,Scores!B239:AX239,Scores!B$1:AX$1)),concat("🥇 x",countif(Scores!B239:AX239,B236))),"")</f>
        <v>🥇 x3</v>
      </c>
      <c r="E236" s="14">
        <f>if(countif(Scores!B239:AX239,B236)=1,F236,-1)</f>
        <v>-1</v>
      </c>
      <c r="F236" s="14">
        <f t="shared" si="1"/>
        <v>116</v>
      </c>
      <c r="G236" s="14">
        <f>IFERROR(__xludf.DUMMYFUNCTION("if(iferror(small(filter(Scores!B239:AX239,Scores!B239:AX239&gt;0),2),-1)&lt;&gt;F236,iferror(small(filter(Scores!B239:AX239,Scores!B239:AX239&gt;0),2),-1),-1)"),-1.0)</f>
        <v>-1</v>
      </c>
      <c r="H236" s="14">
        <f>IFERROR(__xludf.DUMMYFUNCTION("if(iferror(small(filter(Scores!B239:AX239,Scores!B239:AX239&gt;0),3),-1)&lt;&gt;iferror(small(filter(Scores!B239:AX239,Scores!B239:AX239&gt;0),2),-1),iferror(small(filter(Scores!B239:AX239,Scores!B239:AX239&gt;0),3),-1),-1)"),-1.0)</f>
        <v>-1</v>
      </c>
      <c r="I236" s="14">
        <f>IFERROR(__xludf.DUMMYFUNCTION("IFERROR(COLUMNS(filter(Scores!B239:AE239,Scores!B239:AE239)),"""")"),39.0)</f>
        <v>39</v>
      </c>
      <c r="J236" s="14">
        <f>COUNTIF(Scores!B239:AX239,B236)</f>
        <v>3</v>
      </c>
      <c r="K236" s="21">
        <f>IFERROR(__xludf.DUMMYFUNCTION("""COMPUTED_VALUE"""),228.0)</f>
        <v>228</v>
      </c>
      <c r="L236" s="36"/>
      <c r="S236" s="21">
        <v>174.0</v>
      </c>
      <c r="T236" s="14">
        <v>89.0</v>
      </c>
      <c r="U236" s="14">
        <v>2411.0</v>
      </c>
      <c r="W236" s="21">
        <v>207.0</v>
      </c>
      <c r="X236" s="14">
        <v>74.0</v>
      </c>
      <c r="Y236" s="14">
        <v>2426.0</v>
      </c>
      <c r="AA236" s="21">
        <v>398.0</v>
      </c>
      <c r="AB236" s="14">
        <v>40.0</v>
      </c>
      <c r="AC236" s="14">
        <v>72.0</v>
      </c>
    </row>
    <row r="237">
      <c r="A237" s="27">
        <f>HYPERLINK("https://arcprize.org/play?task=9565186b", 229)</f>
        <v>229</v>
      </c>
      <c r="B237" s="14">
        <f>IFERROR(__xludf.DUMMYFUNCTION("min(filter(Scores!B240:AX240,Scores!B240:AX240&gt;0))"),73.0)</f>
        <v>73</v>
      </c>
      <c r="C237" s="14">
        <v>2427.0</v>
      </c>
      <c r="D237" s="51" t="str">
        <f t="array" ref="D237">if(B237,if(countif(Scores!B240:AX240,B237)=1,concat("💎",XLOOKUP(B237,Scores!B240:AX240,Scores!B$1:AX$1)),concat("🥇 x",countif(Scores!B240:AX240,B237))),"")</f>
        <v>🥇 x11</v>
      </c>
      <c r="E237" s="14">
        <f>if(countif(Scores!B240:AX240,B237)=1,F237,-1)</f>
        <v>-1</v>
      </c>
      <c r="F237" s="14">
        <f t="shared" si="1"/>
        <v>73</v>
      </c>
      <c r="G237" s="14">
        <f>IFERROR(__xludf.DUMMYFUNCTION("if(iferror(small(filter(Scores!B240:AX240,Scores!B240:AX240&gt;0),2),-1)&lt;&gt;F237,iferror(small(filter(Scores!B240:AX240,Scores!B240:AX240&gt;0),2),-1),-1)"),-1.0)</f>
        <v>-1</v>
      </c>
      <c r="H237" s="14">
        <f>IFERROR(__xludf.DUMMYFUNCTION("if(iferror(small(filter(Scores!B240:AX240,Scores!B240:AX240&gt;0),3),-1)&lt;&gt;iferror(small(filter(Scores!B240:AX240,Scores!B240:AX240&gt;0),2),-1),iferror(small(filter(Scores!B240:AX240,Scores!B240:AX240&gt;0),3),-1),-1)"),-1.0)</f>
        <v>-1</v>
      </c>
      <c r="I237" s="14">
        <f>IFERROR(__xludf.DUMMYFUNCTION("IFERROR(COLUMNS(filter(Scores!B240:AE240,Scores!B240:AE240)),"""")"),42.0)</f>
        <v>42</v>
      </c>
      <c r="J237" s="14">
        <f>COUNTIF(Scores!B240:AX240,B237)</f>
        <v>11</v>
      </c>
      <c r="K237" s="21">
        <f>IFERROR(__xludf.DUMMYFUNCTION("""COMPUTED_VALUE"""),229.0)</f>
        <v>229</v>
      </c>
      <c r="L237" s="36"/>
      <c r="S237" s="21">
        <v>240.0</v>
      </c>
      <c r="T237" s="14">
        <v>89.0</v>
      </c>
      <c r="U237" s="14">
        <v>2411.0</v>
      </c>
      <c r="W237" s="21">
        <v>282.0</v>
      </c>
      <c r="X237" s="14">
        <v>74.0</v>
      </c>
      <c r="Y237" s="14">
        <v>2426.0</v>
      </c>
      <c r="AA237" s="21">
        <v>272.0</v>
      </c>
      <c r="AB237" s="14">
        <v>40.0</v>
      </c>
      <c r="AC237" s="14">
        <v>71.0</v>
      </c>
    </row>
    <row r="238">
      <c r="A238" s="27">
        <f>HYPERLINK("https://arcprize.org/play?task=95990924", 230)</f>
        <v>230</v>
      </c>
      <c r="B238" s="14">
        <f>IFERROR(__xludf.DUMMYFUNCTION("min(filter(Scores!B241:AX241,Scores!B241:AX241&gt;0))"),95.0)</f>
        <v>95</v>
      </c>
      <c r="C238" s="14">
        <v>2405.0</v>
      </c>
      <c r="D238" s="51" t="str">
        <f t="array" ref="D238">if(B238,if(countif(Scores!B241:AX241,B238)=1,concat("💎",XLOOKUP(B238,Scores!B241:AX241,Scores!B$1:AX$1)),concat("🥇 x",countif(Scores!B241:AX241,B238))),"")</f>
        <v>💎jailctf merger</v>
      </c>
      <c r="E238" s="14">
        <f>if(countif(Scores!B241:AX241,B238)=1,F238,-1)</f>
        <v>95</v>
      </c>
      <c r="F238" s="14">
        <f t="shared" si="1"/>
        <v>95</v>
      </c>
      <c r="G238" s="14">
        <f>IFERROR(__xludf.DUMMYFUNCTION("if(iferror(small(filter(Scores!B241:AX241,Scores!B241:AX241&gt;0),2),-1)&lt;&gt;F238,iferror(small(filter(Scores!B241:AX241,Scores!B241:AX241&gt;0),2),-1),-1)"),102.0)</f>
        <v>102</v>
      </c>
      <c r="H238" s="14">
        <f>IFERROR(__xludf.DUMMYFUNCTION("if(iferror(small(filter(Scores!B241:AX241,Scores!B241:AX241&gt;0),3),-1)&lt;&gt;iferror(small(filter(Scores!B241:AX241,Scores!B241:AX241&gt;0),2),-1),iferror(small(filter(Scores!B241:AX241,Scores!B241:AX241&gt;0),3),-1),-1)"),110.0)</f>
        <v>110</v>
      </c>
      <c r="I238" s="14">
        <f>IFERROR(__xludf.DUMMYFUNCTION("IFERROR(COLUMNS(filter(Scores!B241:AE241,Scores!B241:AE241)),"""")"),39.0)</f>
        <v>39</v>
      </c>
      <c r="J238" s="14">
        <f>COUNTIF(Scores!B241:AX241,B238)</f>
        <v>1</v>
      </c>
      <c r="K238" s="21">
        <f>IFERROR(__xludf.DUMMYFUNCTION("""COMPUTED_VALUE"""),230.0)</f>
        <v>230</v>
      </c>
      <c r="L238" s="36"/>
      <c r="S238" s="21">
        <v>302.0</v>
      </c>
      <c r="T238" s="14">
        <v>89.0</v>
      </c>
      <c r="U238" s="14">
        <v>2411.0</v>
      </c>
      <c r="W238" s="21">
        <v>344.0</v>
      </c>
      <c r="X238" s="14">
        <v>74.0</v>
      </c>
      <c r="Y238" s="14">
        <v>2426.0</v>
      </c>
      <c r="AA238" s="21">
        <v>351.0</v>
      </c>
      <c r="AB238" s="14">
        <v>40.0</v>
      </c>
      <c r="AC238" s="14">
        <v>66.0</v>
      </c>
    </row>
    <row r="239">
      <c r="A239" s="27">
        <f>HYPERLINK("https://arcprize.org/play?task=963e52fc", 231)</f>
        <v>231</v>
      </c>
      <c r="B239" s="14">
        <f>IFERROR(__xludf.DUMMYFUNCTION("min(filter(Scores!B242:AX242,Scores!B242:AX242&gt;0))"),42.0)</f>
        <v>42</v>
      </c>
      <c r="C239" s="14">
        <v>2458.0</v>
      </c>
      <c r="D239" s="51" t="str">
        <f t="array" ref="D239">if(B239,if(countif(Scores!B242:AX242,B239)=1,concat("💎",XLOOKUP(B239,Scores!B242:AX242,Scores!B$1:AX$1)),concat("🥇 x",countif(Scores!B242:AX242,B239))),"")</f>
        <v>💎LogicLynx</v>
      </c>
      <c r="E239" s="14">
        <f>if(countif(Scores!B242:AX242,B239)=1,F239,-1)</f>
        <v>42</v>
      </c>
      <c r="F239" s="14">
        <f t="shared" si="1"/>
        <v>42</v>
      </c>
      <c r="G239" s="14">
        <f>IFERROR(__xludf.DUMMYFUNCTION("if(iferror(small(filter(Scores!B242:AX242,Scores!B242:AX242&gt;0),2),-1)&lt;&gt;F239,iferror(small(filter(Scores!B242:AX242,Scores!B242:AX242&gt;0),2),-1),-1)"),43.0)</f>
        <v>43</v>
      </c>
      <c r="H239" s="14">
        <f>IFERROR(__xludf.DUMMYFUNCTION("if(iferror(small(filter(Scores!B242:AX242,Scores!B242:AX242&gt;0),3),-1)&lt;&gt;iferror(small(filter(Scores!B242:AX242,Scores!B242:AX242&gt;0),2),-1),iferror(small(filter(Scores!B242:AX242,Scores!B242:AX242&gt;0),3),-1),-1)"),-1.0)</f>
        <v>-1</v>
      </c>
      <c r="I239" s="14">
        <f>IFERROR(__xludf.DUMMYFUNCTION("IFERROR(COLUMNS(filter(Scores!B242:AE242,Scores!B242:AE242)),"""")"),45.0)</f>
        <v>45</v>
      </c>
      <c r="J239" s="14">
        <f>COUNTIF(Scores!B242:AX242,B239)</f>
        <v>1</v>
      </c>
      <c r="K239" s="21">
        <f>IFERROR(__xludf.DUMMYFUNCTION("""COMPUTED_VALUE"""),231.0)</f>
        <v>231</v>
      </c>
      <c r="L239" s="36"/>
      <c r="S239" s="21">
        <v>345.0</v>
      </c>
      <c r="T239" s="14">
        <v>89.0</v>
      </c>
      <c r="U239" s="14">
        <v>2411.0</v>
      </c>
      <c r="W239" s="21">
        <v>4.0</v>
      </c>
      <c r="X239" s="14">
        <v>73.0</v>
      </c>
      <c r="Y239" s="14">
        <v>2427.0</v>
      </c>
      <c r="AA239" s="21">
        <v>320.0</v>
      </c>
      <c r="AB239" s="14">
        <v>40.0</v>
      </c>
      <c r="AC239" s="14">
        <v>65.0</v>
      </c>
    </row>
    <row r="240">
      <c r="A240" s="27">
        <f>HYPERLINK("https://arcprize.org/play?task=97999447", 232)</f>
        <v>232</v>
      </c>
      <c r="B240" s="14">
        <f>IFERROR(__xludf.DUMMYFUNCTION("min(filter(Scores!B243:AX243,Scores!B243:AX243&gt;0))"),57.0)</f>
        <v>57</v>
      </c>
      <c r="C240" s="14">
        <v>2443.0</v>
      </c>
      <c r="D240" s="51" t="str">
        <f t="array" ref="D240">if(B240,if(countif(Scores!B243:AX243,B240)=1,concat("💎",XLOOKUP(B240,Scores!B243:AX243,Scores!B$1:AX$1)),concat("🥇 x",countif(Scores!B243:AX243,B240))),"")</f>
        <v>💎ox jam</v>
      </c>
      <c r="E240" s="14">
        <f>if(countif(Scores!B243:AX243,B240)=1,F240,-1)</f>
        <v>57</v>
      </c>
      <c r="F240" s="14">
        <f t="shared" si="1"/>
        <v>57</v>
      </c>
      <c r="G240" s="14">
        <f>IFERROR(__xludf.DUMMYFUNCTION("if(iferror(small(filter(Scores!B243:AX243,Scores!B243:AX243&gt;0),2),-1)&lt;&gt;F240,iferror(small(filter(Scores!B243:AX243,Scores!B243:AX243&gt;0),2),-1),-1)"),58.0)</f>
        <v>58</v>
      </c>
      <c r="H240" s="14">
        <f>IFERROR(__xludf.DUMMYFUNCTION("if(iferror(small(filter(Scores!B243:AX243,Scores!B243:AX243&gt;0),3),-1)&lt;&gt;iferror(small(filter(Scores!B243:AX243,Scores!B243:AX243&gt;0),2),-1),iferror(small(filter(Scores!B243:AX243,Scores!B243:AX243&gt;0),3),-1),-1)"),-1.0)</f>
        <v>-1</v>
      </c>
      <c r="I240" s="14">
        <f>IFERROR(__xludf.DUMMYFUNCTION("IFERROR(COLUMNS(filter(Scores!B243:AE243,Scores!B243:AE243)),"""")"),43.0)</f>
        <v>43</v>
      </c>
      <c r="J240" s="14">
        <f>COUNTIF(Scores!B243:AX243,B240)</f>
        <v>1</v>
      </c>
      <c r="K240" s="21">
        <f>IFERROR(__xludf.DUMMYFUNCTION("""COMPUTED_VALUE"""),232.0)</f>
        <v>232</v>
      </c>
      <c r="L240" s="36"/>
      <c r="S240" s="21">
        <v>350.0</v>
      </c>
      <c r="T240" s="14">
        <v>89.0</v>
      </c>
      <c r="U240" s="14">
        <v>2411.0</v>
      </c>
      <c r="W240" s="21">
        <v>229.0</v>
      </c>
      <c r="X240" s="14">
        <v>73.0</v>
      </c>
      <c r="Y240" s="14">
        <v>2427.0</v>
      </c>
      <c r="AA240" s="21">
        <v>98.0</v>
      </c>
      <c r="AB240" s="14">
        <v>40.0</v>
      </c>
      <c r="AC240" s="14">
        <v>64.0</v>
      </c>
    </row>
    <row r="241">
      <c r="A241" s="27">
        <f>HYPERLINK("https://arcprize.org/play?task=97a05b5b", 233)</f>
        <v>233</v>
      </c>
      <c r="B241" s="14">
        <f>IFERROR(__xludf.DUMMYFUNCTION("min(filter(Scores!B244:AX244,Scores!B244:AX244&gt;0))"),261.0)</f>
        <v>261</v>
      </c>
      <c r="C241" s="14">
        <v>2239.0</v>
      </c>
      <c r="D241" s="51" t="str">
        <f t="array" ref="D241">if(B241,if(countif(Scores!B244:AX244,B241)=1,concat("💎",XLOOKUP(B241,Scores!B244:AX244,Scores!B$1:AX$1)),concat("🥇 x",countif(Scores!B244:AX244,B241))),"")</f>
        <v>💎jailctf merger</v>
      </c>
      <c r="E241" s="14">
        <f>if(countif(Scores!B244:AX244,B241)=1,F241,-1)</f>
        <v>261</v>
      </c>
      <c r="F241" s="14">
        <f t="shared" si="1"/>
        <v>261</v>
      </c>
      <c r="G241" s="14">
        <f>IFERROR(__xludf.DUMMYFUNCTION("if(iferror(small(filter(Scores!B244:AX244,Scores!B244:AX244&gt;0),2),-1)&lt;&gt;F241,iferror(small(filter(Scores!B244:AX244,Scores!B244:AX244&gt;0),2),-1),-1)"),271.0)</f>
        <v>271</v>
      </c>
      <c r="H241" s="14">
        <f>IFERROR(__xludf.DUMMYFUNCTION("if(iferror(small(filter(Scores!B244:AX244,Scores!B244:AX244&gt;0),3),-1)&lt;&gt;iferror(small(filter(Scores!B244:AX244,Scores!B244:AX244&gt;0),2),-1),iferror(small(filter(Scores!B244:AX244,Scores!B244:AX244&gt;0),3),-1),-1)"),273.0)</f>
        <v>273</v>
      </c>
      <c r="I241" s="14">
        <f>IFERROR(__xludf.DUMMYFUNCTION("IFERROR(COLUMNS(filter(Scores!B244:AE244,Scores!B244:AE244)),"""")"),37.0)</f>
        <v>37</v>
      </c>
      <c r="J241" s="14">
        <f>COUNTIF(Scores!B244:AX244,B241)</f>
        <v>1</v>
      </c>
      <c r="K241" s="21">
        <f>IFERROR(__xludf.DUMMYFUNCTION("""COMPUTED_VALUE"""),233.0)</f>
        <v>233</v>
      </c>
      <c r="L241" s="36"/>
      <c r="S241" s="21">
        <v>17.0</v>
      </c>
      <c r="T241" s="14">
        <v>90.0</v>
      </c>
      <c r="U241" s="14">
        <v>2410.0</v>
      </c>
      <c r="W241" s="21">
        <v>147.0</v>
      </c>
      <c r="X241" s="14">
        <v>72.0</v>
      </c>
      <c r="Y241" s="14">
        <v>2428.0</v>
      </c>
      <c r="AA241" s="21">
        <v>289.0</v>
      </c>
      <c r="AB241" s="14">
        <v>40.0</v>
      </c>
      <c r="AC241" s="14">
        <v>63.0</v>
      </c>
    </row>
    <row r="242">
      <c r="A242" s="27">
        <f>HYPERLINK("https://arcprize.org/play?task=98cf29f8", 234)</f>
        <v>234</v>
      </c>
      <c r="B242" s="14">
        <f>IFERROR(__xludf.DUMMYFUNCTION("min(filter(Scores!B245:AX245,Scores!B245:AX245&gt;0))"),106.0)</f>
        <v>106</v>
      </c>
      <c r="C242" s="14">
        <v>2394.0</v>
      </c>
      <c r="D242" s="51" t="str">
        <f t="array" ref="D242">if(B242,if(countif(Scores!B245:AX245,B242)=1,concat("💎",XLOOKUP(B242,Scores!B245:AX245,Scores!B$1:AX$1)),concat("🥇 x",countif(Scores!B245:AX245,B242))),"")</f>
        <v>💎jailctf merger</v>
      </c>
      <c r="E242" s="14">
        <f>if(countif(Scores!B245:AX245,B242)=1,F242,-1)</f>
        <v>106</v>
      </c>
      <c r="F242" s="14">
        <f t="shared" si="1"/>
        <v>106</v>
      </c>
      <c r="G242" s="14">
        <f>IFERROR(__xludf.DUMMYFUNCTION("if(iferror(small(filter(Scores!B245:AX245,Scores!B245:AX245&gt;0),2),-1)&lt;&gt;F242,iferror(small(filter(Scores!B245:AX245,Scores!B245:AX245&gt;0),2),-1),-1)"),107.0)</f>
        <v>107</v>
      </c>
      <c r="H242" s="14">
        <f>IFERROR(__xludf.DUMMYFUNCTION("if(iferror(small(filter(Scores!B245:AX245,Scores!B245:AX245&gt;0),3),-1)&lt;&gt;iferror(small(filter(Scores!B245:AX245,Scores!B245:AX245&gt;0),2),-1),iferror(small(filter(Scores!B245:AX245,Scores!B245:AX245&gt;0),3),-1),-1)"),-1.0)</f>
        <v>-1</v>
      </c>
      <c r="I242" s="14">
        <f>IFERROR(__xludf.DUMMYFUNCTION("IFERROR(COLUMNS(filter(Scores!B245:AE245,Scores!B245:AE245)),"""")"),37.0)</f>
        <v>37</v>
      </c>
      <c r="J242" s="14">
        <f>COUNTIF(Scores!B245:AX245,B242)</f>
        <v>1</v>
      </c>
      <c r="K242" s="21">
        <f>IFERROR(__xludf.DUMMYFUNCTION("""COMPUTED_VALUE"""),234.0)</f>
        <v>234</v>
      </c>
      <c r="L242" s="36"/>
      <c r="S242" s="21">
        <v>358.0</v>
      </c>
      <c r="T242" s="14">
        <v>90.0</v>
      </c>
      <c r="U242" s="14">
        <v>2410.0</v>
      </c>
      <c r="W242" s="21">
        <v>283.0</v>
      </c>
      <c r="X242" s="14">
        <v>72.0</v>
      </c>
      <c r="Y242" s="14">
        <v>2428.0</v>
      </c>
      <c r="AA242" s="21">
        <v>91.0</v>
      </c>
      <c r="AB242" s="14">
        <v>40.0</v>
      </c>
      <c r="AC242" s="14">
        <v>62.0</v>
      </c>
    </row>
    <row r="243">
      <c r="A243" s="27">
        <f>HYPERLINK("https://arcprize.org/play?task=995c5fa3", 235)</f>
        <v>235</v>
      </c>
      <c r="B243" s="14">
        <f>IFERROR(__xludf.DUMMYFUNCTION("min(filter(Scores!B246:AX246,Scores!B246:AX246&gt;0))"),61.0)</f>
        <v>61</v>
      </c>
      <c r="C243" s="14">
        <v>2439.0</v>
      </c>
      <c r="D243" s="51" t="str">
        <f t="array" ref="D243">if(B243,if(countif(Scores!B246:AX246,B243)=1,concat("💎",XLOOKUP(B243,Scores!B246:AX246,Scores!B$1:AX$1)),concat("🥇 x",countif(Scores!B246:AX246,B243))),"")</f>
        <v>🥇 x2</v>
      </c>
      <c r="E243" s="14">
        <f>if(countif(Scores!B246:AX246,B243)=1,F243,-1)</f>
        <v>-1</v>
      </c>
      <c r="F243" s="14">
        <f t="shared" si="1"/>
        <v>61</v>
      </c>
      <c r="G243" s="14">
        <f>IFERROR(__xludf.DUMMYFUNCTION("if(iferror(small(filter(Scores!B246:AX246,Scores!B246:AX246&gt;0),2),-1)&lt;&gt;F243,iferror(small(filter(Scores!B246:AX246,Scores!B246:AX246&gt;0),2),-1),-1)"),-1.0)</f>
        <v>-1</v>
      </c>
      <c r="H243" s="14">
        <f>IFERROR(__xludf.DUMMYFUNCTION("if(iferror(small(filter(Scores!B246:AX246,Scores!B246:AX246&gt;0),3),-1)&lt;&gt;iferror(small(filter(Scores!B246:AX246,Scores!B246:AX246&gt;0),2),-1),iferror(small(filter(Scores!B246:AX246,Scores!B246:AX246&gt;0),3),-1),-1)"),62.0)</f>
        <v>62</v>
      </c>
      <c r="I243" s="14">
        <f>IFERROR(__xludf.DUMMYFUNCTION("IFERROR(COLUMNS(filter(Scores!B246:AE246,Scores!B246:AE246)),"""")"),41.0)</f>
        <v>41</v>
      </c>
      <c r="J243" s="14">
        <f>COUNTIF(Scores!B246:AX246,B243)</f>
        <v>2</v>
      </c>
      <c r="K243" s="21">
        <f>IFERROR(__xludf.DUMMYFUNCTION("""COMPUTED_VALUE"""),235.0)</f>
        <v>235</v>
      </c>
      <c r="L243" s="36"/>
      <c r="S243" s="21">
        <v>22.0</v>
      </c>
      <c r="T243" s="14">
        <v>91.0</v>
      </c>
      <c r="U243" s="14">
        <v>2409.0</v>
      </c>
      <c r="W243" s="21">
        <v>398.0</v>
      </c>
      <c r="X243" s="14">
        <v>72.0</v>
      </c>
      <c r="Y243" s="14">
        <v>2428.0</v>
      </c>
      <c r="AA243" s="21">
        <v>214.0</v>
      </c>
      <c r="AB243" s="14">
        <v>40.0</v>
      </c>
      <c r="AC243" s="14">
        <v>61.0</v>
      </c>
    </row>
    <row r="244">
      <c r="A244" s="27">
        <f>HYPERLINK("https://arcprize.org/play?task=99b1bc43", 236)</f>
        <v>236</v>
      </c>
      <c r="B244" s="14">
        <f>IFERROR(__xludf.DUMMYFUNCTION("min(filter(Scores!B247:AX247,Scores!B247:AX247&gt;0))"),54.0)</f>
        <v>54</v>
      </c>
      <c r="C244" s="14">
        <v>2446.0</v>
      </c>
      <c r="D244" s="51" t="str">
        <f t="array" ref="D244">if(B244,if(countif(Scores!B247:AX247,B244)=1,concat("💎",XLOOKUP(B244,Scores!B247:AX247,Scores!B$1:AX$1)),concat("🥇 x",countif(Scores!B247:AX247,B244))),"")</f>
        <v>🥇 x4</v>
      </c>
      <c r="E244" s="14">
        <f>if(countif(Scores!B247:AX247,B244)=1,F244,-1)</f>
        <v>-1</v>
      </c>
      <c r="F244" s="14">
        <f t="shared" si="1"/>
        <v>54</v>
      </c>
      <c r="G244" s="14">
        <f>IFERROR(__xludf.DUMMYFUNCTION("if(iferror(small(filter(Scores!B247:AX247,Scores!B247:AX247&gt;0),2),-1)&lt;&gt;F244,iferror(small(filter(Scores!B247:AX247,Scores!B247:AX247&gt;0),2),-1),-1)"),-1.0)</f>
        <v>-1</v>
      </c>
      <c r="H244" s="14">
        <f>IFERROR(__xludf.DUMMYFUNCTION("if(iferror(small(filter(Scores!B247:AX247,Scores!B247:AX247&gt;0),3),-1)&lt;&gt;iferror(small(filter(Scores!B247:AX247,Scores!B247:AX247&gt;0),2),-1),iferror(small(filter(Scores!B247:AX247,Scores!B247:AX247&gt;0),3),-1),-1)"),-1.0)</f>
        <v>-1</v>
      </c>
      <c r="I244" s="14">
        <f>IFERROR(__xludf.DUMMYFUNCTION("IFERROR(COLUMNS(filter(Scores!B247:AE247,Scores!B247:AE247)),"""")"),42.0)</f>
        <v>42</v>
      </c>
      <c r="J244" s="14">
        <f>COUNTIF(Scores!B247:AX247,B244)</f>
        <v>4</v>
      </c>
      <c r="K244" s="21">
        <f>IFERROR(__xludf.DUMMYFUNCTION("""COMPUTED_VALUE"""),236.0)</f>
        <v>236</v>
      </c>
      <c r="L244" s="36"/>
      <c r="S244" s="21">
        <v>112.0</v>
      </c>
      <c r="T244" s="14">
        <v>91.0</v>
      </c>
      <c r="U244" s="14">
        <v>2409.0</v>
      </c>
      <c r="W244" s="21">
        <v>33.0</v>
      </c>
      <c r="X244" s="14">
        <v>71.0</v>
      </c>
      <c r="Y244" s="14">
        <v>2429.0</v>
      </c>
      <c r="AA244" s="21">
        <v>287.0</v>
      </c>
      <c r="AB244" s="14">
        <v>40.0</v>
      </c>
      <c r="AC244" s="14">
        <v>53.0</v>
      </c>
    </row>
    <row r="245">
      <c r="A245" s="27">
        <f>HYPERLINK("https://arcprize.org/play?task=99fa7670", 237)</f>
        <v>237</v>
      </c>
      <c r="B245" s="14">
        <f>IFERROR(__xludf.DUMMYFUNCTION("min(filter(Scores!B248:AX248,Scores!B248:AX248&gt;0))"),66.0)</f>
        <v>66</v>
      </c>
      <c r="C245" s="14">
        <v>2434.0</v>
      </c>
      <c r="D245" s="51" t="str">
        <f t="array" ref="D245">if(B245,if(countif(Scores!B248:AX248,B245)=1,concat("💎",XLOOKUP(B245,Scores!B248:AX248,Scores!B$1:AX$1)),concat("🥇 x",countif(Scores!B248:AX248,B245))),"")</f>
        <v>🥇 x3</v>
      </c>
      <c r="E245" s="14">
        <f>if(countif(Scores!B248:AX248,B245)=1,F245,-1)</f>
        <v>-1</v>
      </c>
      <c r="F245" s="14">
        <f t="shared" si="1"/>
        <v>66</v>
      </c>
      <c r="G245" s="14">
        <f>IFERROR(__xludf.DUMMYFUNCTION("if(iferror(small(filter(Scores!B248:AX248,Scores!B248:AX248&gt;0),2),-1)&lt;&gt;F245,iferror(small(filter(Scores!B248:AX248,Scores!B248:AX248&gt;0),2),-1),-1)"),-1.0)</f>
        <v>-1</v>
      </c>
      <c r="H245" s="14">
        <f>IFERROR(__xludf.DUMMYFUNCTION("if(iferror(small(filter(Scores!B248:AX248,Scores!B248:AX248&gt;0),3),-1)&lt;&gt;iferror(small(filter(Scores!B248:AX248,Scores!B248:AX248&gt;0),2),-1),iferror(small(filter(Scores!B248:AX248,Scores!B248:AX248&gt;0),3),-1),-1)"),-1.0)</f>
        <v>-1</v>
      </c>
      <c r="I245" s="14">
        <f>IFERROR(__xludf.DUMMYFUNCTION("IFERROR(COLUMNS(filter(Scores!B248:AE248,Scores!B248:AE248)),"""")"),39.0)</f>
        <v>39</v>
      </c>
      <c r="J245" s="14">
        <f>COUNTIF(Scores!B248:AX248,B245)</f>
        <v>3</v>
      </c>
      <c r="K245" s="21">
        <f>IFERROR(__xludf.DUMMYFUNCTION("""COMPUTED_VALUE"""),237.0)</f>
        <v>237</v>
      </c>
      <c r="L245" s="36"/>
      <c r="S245" s="21">
        <v>184.0</v>
      </c>
      <c r="T245" s="14">
        <v>91.0</v>
      </c>
      <c r="U245" s="14">
        <v>2409.0</v>
      </c>
      <c r="W245" s="21">
        <v>123.0</v>
      </c>
      <c r="X245" s="14">
        <v>71.0</v>
      </c>
      <c r="Y245" s="14">
        <v>2429.0</v>
      </c>
      <c r="AA245" s="21">
        <v>13.0</v>
      </c>
      <c r="AB245" s="14">
        <v>41.0</v>
      </c>
      <c r="AC245" s="14">
        <v>124.0</v>
      </c>
    </row>
    <row r="246">
      <c r="A246" s="27">
        <f>HYPERLINK("https://arcprize.org/play?task=9aec4887", 238)</f>
        <v>238</v>
      </c>
      <c r="B246" s="14">
        <f>IFERROR(__xludf.DUMMYFUNCTION("min(filter(Scores!B249:AX249,Scores!B249:AX249&gt;0))"),195.0)</f>
        <v>195</v>
      </c>
      <c r="C246" s="14">
        <v>2305.0</v>
      </c>
      <c r="D246" s="51" t="str">
        <f t="array" ref="D246">if(B246,if(countif(Scores!B249:AX249,B246)=1,concat("💎",XLOOKUP(B246,Scores!B249:AX249,Scores!B$1:AX$1)),concat("🥇 x",countif(Scores!B249:AX249,B246))),"")</f>
        <v>💎jailctf merger</v>
      </c>
      <c r="E246" s="14">
        <f>if(countif(Scores!B249:AX249,B246)=1,F246,-1)</f>
        <v>195</v>
      </c>
      <c r="F246" s="14">
        <f t="shared" si="1"/>
        <v>195</v>
      </c>
      <c r="G246" s="14">
        <f>IFERROR(__xludf.DUMMYFUNCTION("if(iferror(small(filter(Scores!B249:AX249,Scores!B249:AX249&gt;0),2),-1)&lt;&gt;F246,iferror(small(filter(Scores!B249:AX249,Scores!B249:AX249&gt;0),2),-1),-1)"),201.0)</f>
        <v>201</v>
      </c>
      <c r="H246" s="14">
        <f>IFERROR(__xludf.DUMMYFUNCTION("if(iferror(small(filter(Scores!B249:AX249,Scores!B249:AX249&gt;0),3),-1)&lt;&gt;iferror(small(filter(Scores!B249:AX249,Scores!B249:AX249&gt;0),2),-1),iferror(small(filter(Scores!B249:AX249,Scores!B249:AX249&gt;0),3),-1),-1)"),209.0)</f>
        <v>209</v>
      </c>
      <c r="I246" s="14">
        <f>IFERROR(__xludf.DUMMYFUNCTION("IFERROR(COLUMNS(filter(Scores!B249:AE249,Scores!B249:AE249)),"""")"),34.0)</f>
        <v>34</v>
      </c>
      <c r="J246" s="14">
        <f>COUNTIF(Scores!B249:AX249,B246)</f>
        <v>1</v>
      </c>
      <c r="K246" s="21">
        <f>IFERROR(__xludf.DUMMYFUNCTION("""COMPUTED_VALUE"""),238.0)</f>
        <v>238</v>
      </c>
      <c r="L246" s="36"/>
      <c r="S246" s="21">
        <v>48.0</v>
      </c>
      <c r="T246" s="14">
        <v>92.0</v>
      </c>
      <c r="U246" s="14">
        <v>2408.0</v>
      </c>
      <c r="W246" s="21">
        <v>193.0</v>
      </c>
      <c r="X246" s="14">
        <v>71.0</v>
      </c>
      <c r="Y246" s="14">
        <v>2429.0</v>
      </c>
      <c r="AA246" s="21">
        <v>19.0</v>
      </c>
      <c r="AB246" s="14">
        <v>41.0</v>
      </c>
      <c r="AC246" s="14">
        <v>103.0</v>
      </c>
    </row>
    <row r="247">
      <c r="A247" s="27">
        <f>HYPERLINK("https://arcprize.org/play?task=9af7a82c", 239)</f>
        <v>239</v>
      </c>
      <c r="B247" s="14">
        <f>IFERROR(__xludf.DUMMYFUNCTION("min(filter(Scores!B250:AX250,Scores!B250:AX250&gt;0))"),99.0)</f>
        <v>99</v>
      </c>
      <c r="C247" s="14">
        <v>2401.0</v>
      </c>
      <c r="D247" s="51" t="str">
        <f t="array" ref="D247">if(B247,if(countif(Scores!B250:AX250,B247)=1,concat("💎",XLOOKUP(B247,Scores!B250:AX250,Scores!B$1:AX$1)),concat("🥇 x",countif(Scores!B250:AX250,B247))),"")</f>
        <v>🥇 x2</v>
      </c>
      <c r="E247" s="14">
        <f>if(countif(Scores!B250:AX250,B247)=1,F247,-1)</f>
        <v>-1</v>
      </c>
      <c r="F247" s="14">
        <f t="shared" si="1"/>
        <v>99</v>
      </c>
      <c r="G247" s="14">
        <f>IFERROR(__xludf.DUMMYFUNCTION("if(iferror(small(filter(Scores!B250:AX250,Scores!B250:AX250&gt;0),2),-1)&lt;&gt;F247,iferror(small(filter(Scores!B250:AX250,Scores!B250:AX250&gt;0),2),-1),-1)"),-1.0)</f>
        <v>-1</v>
      </c>
      <c r="H247" s="14">
        <f>IFERROR(__xludf.DUMMYFUNCTION("if(iferror(small(filter(Scores!B250:AX250,Scores!B250:AX250&gt;0),3),-1)&lt;&gt;iferror(small(filter(Scores!B250:AX250,Scores!B250:AX250&gt;0),2),-1),iferror(small(filter(Scores!B250:AX250,Scores!B250:AX250&gt;0),3),-1),-1)"),103.0)</f>
        <v>103</v>
      </c>
      <c r="I247" s="14">
        <f>IFERROR(__xludf.DUMMYFUNCTION("IFERROR(COLUMNS(filter(Scores!B250:AE250,Scores!B250:AE250)),"""")"),40.0)</f>
        <v>40</v>
      </c>
      <c r="J247" s="14">
        <f>COUNTIF(Scores!B250:AX250,B247)</f>
        <v>2</v>
      </c>
      <c r="K247" s="21">
        <f>IFERROR(__xludf.DUMMYFUNCTION("""COMPUTED_VALUE"""),239.0)</f>
        <v>239</v>
      </c>
      <c r="L247" s="36"/>
      <c r="S247" s="21">
        <v>141.0</v>
      </c>
      <c r="T247" s="14">
        <v>92.0</v>
      </c>
      <c r="U247" s="14">
        <v>2408.0</v>
      </c>
      <c r="W247" s="21">
        <v>272.0</v>
      </c>
      <c r="X247" s="14">
        <v>71.0</v>
      </c>
      <c r="Y247" s="14">
        <v>2429.0</v>
      </c>
      <c r="AA247" s="21">
        <v>151.0</v>
      </c>
      <c r="AB247" s="14">
        <v>41.0</v>
      </c>
      <c r="AC247" s="14">
        <v>100.0</v>
      </c>
    </row>
    <row r="248">
      <c r="A248" s="27">
        <f>HYPERLINK("https://arcprize.org/play?task=9d9215db", 240)</f>
        <v>240</v>
      </c>
      <c r="B248" s="14">
        <f>IFERROR(__xludf.DUMMYFUNCTION("min(filter(Scores!B251:AX251,Scores!B251:AX251&gt;0))"),89.0)</f>
        <v>89</v>
      </c>
      <c r="C248" s="14">
        <v>2411.0</v>
      </c>
      <c r="D248" s="51" t="str">
        <f t="array" ref="D248">if(B248,if(countif(Scores!B251:AX251,B248)=1,concat("💎",XLOOKUP(B248,Scores!B251:AX251,Scores!B$1:AX$1)),concat("🥇 x",countif(Scores!B251:AX251,B248))),"")</f>
        <v>💎LogicLynx</v>
      </c>
      <c r="E248" s="14">
        <f>if(countif(Scores!B251:AX251,B248)=1,F248,-1)</f>
        <v>89</v>
      </c>
      <c r="F248" s="14">
        <f t="shared" si="1"/>
        <v>89</v>
      </c>
      <c r="G248" s="14">
        <f>IFERROR(__xludf.DUMMYFUNCTION("if(iferror(small(filter(Scores!B251:AX251,Scores!B251:AX251&gt;0),2),-1)&lt;&gt;F248,iferror(small(filter(Scores!B251:AX251,Scores!B251:AX251&gt;0),2),-1),-1)"),99.0)</f>
        <v>99</v>
      </c>
      <c r="H248" s="14">
        <f>IFERROR(__xludf.DUMMYFUNCTION("if(iferror(small(filter(Scores!B251:AX251,Scores!B251:AX251&gt;0),3),-1)&lt;&gt;iferror(small(filter(Scores!B251:AX251,Scores!B251:AX251&gt;0),2),-1),iferror(small(filter(Scores!B251:AX251,Scores!B251:AX251&gt;0),3),-1),-1)"),102.0)</f>
        <v>102</v>
      </c>
      <c r="I248" s="14">
        <f>IFERROR(__xludf.DUMMYFUNCTION("IFERROR(COLUMNS(filter(Scores!B251:AE251,Scores!B251:AE251)),"""")"),35.0)</f>
        <v>35</v>
      </c>
      <c r="J248" s="14">
        <f>COUNTIF(Scores!B251:AX251,B248)</f>
        <v>1</v>
      </c>
      <c r="K248" s="21">
        <f>IFERROR(__xludf.DUMMYFUNCTION("""COMPUTED_VALUE"""),240.0)</f>
        <v>240</v>
      </c>
      <c r="L248" s="36"/>
      <c r="S248" s="21">
        <v>247.0</v>
      </c>
      <c r="T248" s="14">
        <v>92.0</v>
      </c>
      <c r="U248" s="14">
        <v>2408.0</v>
      </c>
      <c r="W248" s="21">
        <v>316.0</v>
      </c>
      <c r="X248" s="14">
        <v>71.0</v>
      </c>
      <c r="Y248" s="14">
        <v>2429.0</v>
      </c>
      <c r="AA248" s="21">
        <v>162.0</v>
      </c>
      <c r="AB248" s="14">
        <v>41.0</v>
      </c>
      <c r="AC248" s="14">
        <v>96.0</v>
      </c>
    </row>
    <row r="249">
      <c r="A249" s="27">
        <f>HYPERLINK("https://arcprize.org/play?task=9dfd6313", 241)</f>
        <v>241</v>
      </c>
      <c r="B249" s="14">
        <f>IFERROR(__xludf.DUMMYFUNCTION("min(filter(Scores!B252:AX252,Scores!B252:AX252&gt;0))"),21.0)</f>
        <v>21</v>
      </c>
      <c r="C249" s="14">
        <v>2479.0</v>
      </c>
      <c r="D249" s="51" t="str">
        <f t="array" ref="D249">if(B249,if(countif(Scores!B252:AX252,B249)=1,concat("💎",XLOOKUP(B249,Scores!B252:AX252,Scores!B$1:AX$1)),concat("🥇 x",countif(Scores!B252:AX252,B249))),"")</f>
        <v>🥇 x36</v>
      </c>
      <c r="E249" s="14">
        <f>if(countif(Scores!B252:AX252,B249)=1,F249,-1)</f>
        <v>-1</v>
      </c>
      <c r="F249" s="14">
        <f t="shared" si="1"/>
        <v>21</v>
      </c>
      <c r="G249" s="14">
        <f>IFERROR(__xludf.DUMMYFUNCTION("if(iferror(small(filter(Scores!B252:AX252,Scores!B252:AX252&gt;0),2),-1)&lt;&gt;F249,iferror(small(filter(Scores!B252:AX252,Scores!B252:AX252&gt;0),2),-1),-1)"),-1.0)</f>
        <v>-1</v>
      </c>
      <c r="H249" s="14">
        <f>IFERROR(__xludf.DUMMYFUNCTION("if(iferror(small(filter(Scores!B252:AX252,Scores!B252:AX252&gt;0),3),-1)&lt;&gt;iferror(small(filter(Scores!B252:AX252,Scores!B252:AX252&gt;0),2),-1),iferror(small(filter(Scores!B252:AX252,Scores!B252:AX252&gt;0),3),-1),-1)"),-1.0)</f>
        <v>-1</v>
      </c>
      <c r="I249" s="14">
        <f>IFERROR(__xludf.DUMMYFUNCTION("IFERROR(COLUMNS(filter(Scores!B252:AE252,Scores!B252:AE252)),"""")"),44.0)</f>
        <v>44</v>
      </c>
      <c r="J249" s="14">
        <f>COUNTIF(Scores!B252:AX252,B249)</f>
        <v>36</v>
      </c>
      <c r="K249" s="21">
        <f>IFERROR(__xludf.DUMMYFUNCTION("""COMPUTED_VALUE"""),241.0)</f>
        <v>241</v>
      </c>
      <c r="L249" s="36"/>
      <c r="S249" s="21">
        <v>304.0</v>
      </c>
      <c r="T249" s="14">
        <v>92.0</v>
      </c>
      <c r="U249" s="14">
        <v>2408.0</v>
      </c>
      <c r="W249" s="21">
        <v>95.0</v>
      </c>
      <c r="X249" s="14">
        <v>70.0</v>
      </c>
      <c r="Y249" s="14">
        <v>2430.0</v>
      </c>
      <c r="AA249" s="21">
        <v>9.0</v>
      </c>
      <c r="AB249" s="14">
        <v>41.0</v>
      </c>
      <c r="AC249" s="14">
        <v>95.0</v>
      </c>
    </row>
    <row r="250">
      <c r="A250" s="27">
        <f>HYPERLINK("https://arcprize.org/play?task=9ecd008a", 242)</f>
        <v>242</v>
      </c>
      <c r="B250" s="14">
        <f>IFERROR(__xludf.DUMMYFUNCTION("min(filter(Scores!B253:AX253,Scores!B253:AX253&gt;0))"),54.0)</f>
        <v>54</v>
      </c>
      <c r="C250" s="14">
        <v>2446.0</v>
      </c>
      <c r="D250" s="51" t="str">
        <f t="array" ref="D250">if(B250,if(countif(Scores!B253:AX253,B250)=1,concat("💎",XLOOKUP(B250,Scores!B253:AX253,Scores!B$1:AX$1)),concat("🥇 x",countif(Scores!B253:AX253,B250))),"")</f>
        <v>🥇 x17</v>
      </c>
      <c r="E250" s="14">
        <f>if(countif(Scores!B253:AX253,B250)=1,F250,-1)</f>
        <v>-1</v>
      </c>
      <c r="F250" s="14">
        <f t="shared" si="1"/>
        <v>54</v>
      </c>
      <c r="G250" s="14">
        <f>IFERROR(__xludf.DUMMYFUNCTION("if(iferror(small(filter(Scores!B253:AX253,Scores!B253:AX253&gt;0),2),-1)&lt;&gt;F250,iferror(small(filter(Scores!B253:AX253,Scores!B253:AX253&gt;0),2),-1),-1)"),-1.0)</f>
        <v>-1</v>
      </c>
      <c r="H250" s="14">
        <f>IFERROR(__xludf.DUMMYFUNCTION("if(iferror(small(filter(Scores!B253:AX253,Scores!B253:AX253&gt;0),3),-1)&lt;&gt;iferror(small(filter(Scores!B253:AX253,Scores!B253:AX253&gt;0),2),-1),iferror(small(filter(Scores!B253:AX253,Scores!B253:AX253&gt;0),3),-1),-1)"),-1.0)</f>
        <v>-1</v>
      </c>
      <c r="I250" s="14">
        <f>IFERROR(__xludf.DUMMYFUNCTION("IFERROR(COLUMNS(filter(Scores!B253:AE253,Scores!B253:AE253)),"""")"),43.0)</f>
        <v>43</v>
      </c>
      <c r="J250" s="14">
        <f>COUNTIF(Scores!B253:AX253,B250)</f>
        <v>17</v>
      </c>
      <c r="K250" s="21">
        <f>IFERROR(__xludf.DUMMYFUNCTION("""COMPUTED_VALUE"""),242.0)</f>
        <v>242</v>
      </c>
      <c r="L250" s="36"/>
      <c r="S250" s="21">
        <v>354.0</v>
      </c>
      <c r="T250" s="14">
        <v>92.0</v>
      </c>
      <c r="U250" s="14">
        <v>2408.0</v>
      </c>
      <c r="W250" s="21">
        <v>122.0</v>
      </c>
      <c r="X250" s="14">
        <v>70.0</v>
      </c>
      <c r="Y250" s="14">
        <v>2430.0</v>
      </c>
      <c r="AA250" s="21">
        <v>141.0</v>
      </c>
      <c r="AB250" s="14">
        <v>41.0</v>
      </c>
      <c r="AC250" s="14">
        <v>92.0</v>
      </c>
    </row>
    <row r="251">
      <c r="A251" s="27">
        <f>HYPERLINK("https://arcprize.org/play?task=9edfc990", 243)</f>
        <v>243</v>
      </c>
      <c r="B251" s="14">
        <f>IFERROR(__xludf.DUMMYFUNCTION("min(filter(Scores!B254:AX254,Scores!B254:AX254&gt;0))"),75.0)</f>
        <v>75</v>
      </c>
      <c r="C251" s="14">
        <v>2425.0</v>
      </c>
      <c r="D251" s="51" t="str">
        <f t="array" ref="D251">if(B251,if(countif(Scores!B254:AX254,B251)=1,concat("💎",XLOOKUP(B251,Scores!B254:AX254,Scores!B$1:AX$1)),concat("🥇 x",countif(Scores!B254:AX254,B251))),"")</f>
        <v>🥇 x4</v>
      </c>
      <c r="E251" s="14">
        <f>if(countif(Scores!B254:AX254,B251)=1,F251,-1)</f>
        <v>-1</v>
      </c>
      <c r="F251" s="14">
        <f t="shared" si="1"/>
        <v>75</v>
      </c>
      <c r="G251" s="14">
        <f>IFERROR(__xludf.DUMMYFUNCTION("if(iferror(small(filter(Scores!B254:AX254,Scores!B254:AX254&gt;0),2),-1)&lt;&gt;F251,iferror(small(filter(Scores!B254:AX254,Scores!B254:AX254&gt;0),2),-1),-1)"),-1.0)</f>
        <v>-1</v>
      </c>
      <c r="H251" s="14">
        <f>IFERROR(__xludf.DUMMYFUNCTION("if(iferror(small(filter(Scores!B254:AX254,Scores!B254:AX254&gt;0),3),-1)&lt;&gt;iferror(small(filter(Scores!B254:AX254,Scores!B254:AX254&gt;0),2),-1),iferror(small(filter(Scores!B254:AX254,Scores!B254:AX254&gt;0),3),-1),-1)"),-1.0)</f>
        <v>-1</v>
      </c>
      <c r="I251" s="14">
        <f>IFERROR(__xludf.DUMMYFUNCTION("IFERROR(COLUMNS(filter(Scores!B254:AE254,Scores!B254:AE254)),"""")"),40.0)</f>
        <v>40</v>
      </c>
      <c r="J251" s="14">
        <f>COUNTIF(Scores!B254:AX254,B251)</f>
        <v>4</v>
      </c>
      <c r="K251" s="21">
        <f>IFERROR(__xludf.DUMMYFUNCTION("""COMPUTED_VALUE"""),243.0)</f>
        <v>243</v>
      </c>
      <c r="L251" s="36"/>
      <c r="S251" s="21">
        <v>356.0</v>
      </c>
      <c r="T251" s="14">
        <v>92.0</v>
      </c>
      <c r="U251" s="14">
        <v>2408.0</v>
      </c>
      <c r="W251" s="21">
        <v>167.0</v>
      </c>
      <c r="X251" s="14">
        <v>70.0</v>
      </c>
      <c r="Y251" s="14">
        <v>2430.0</v>
      </c>
      <c r="AA251" s="21">
        <v>304.0</v>
      </c>
      <c r="AB251" s="14">
        <v>41.0</v>
      </c>
      <c r="AC251" s="14">
        <v>92.0</v>
      </c>
    </row>
    <row r="252">
      <c r="A252" s="27">
        <f>HYPERLINK("https://arcprize.org/play?task=9f236235", 244)</f>
        <v>244</v>
      </c>
      <c r="B252" s="14">
        <f>IFERROR(__xludf.DUMMYFUNCTION("min(filter(Scores!B255:AX255,Scores!B255:AX255&gt;0))"),61.0)</f>
        <v>61</v>
      </c>
      <c r="C252" s="14">
        <v>2439.0</v>
      </c>
      <c r="D252" s="51" t="str">
        <f t="array" ref="D252">if(B252,if(countif(Scores!B255:AX255,B252)=1,concat("💎",XLOOKUP(B252,Scores!B255:AX255,Scores!B$1:AX$1)),concat("🥇 x",countif(Scores!B255:AX255,B252))),"")</f>
        <v>💎Code Golf International</v>
      </c>
      <c r="E252" s="14">
        <f>if(countif(Scores!B255:AX255,B252)=1,F252,-1)</f>
        <v>61</v>
      </c>
      <c r="F252" s="14">
        <f t="shared" si="1"/>
        <v>61</v>
      </c>
      <c r="G252" s="14">
        <f>IFERROR(__xludf.DUMMYFUNCTION("if(iferror(small(filter(Scores!B255:AX255,Scores!B255:AX255&gt;0),2),-1)&lt;&gt;F252,iferror(small(filter(Scores!B255:AX255,Scores!B255:AX255&gt;0),2),-1),-1)"),63.0)</f>
        <v>63</v>
      </c>
      <c r="H252" s="14">
        <f>IFERROR(__xludf.DUMMYFUNCTION("if(iferror(small(filter(Scores!B255:AX255,Scores!B255:AX255&gt;0),3),-1)&lt;&gt;iferror(small(filter(Scores!B255:AX255,Scores!B255:AX255&gt;0),2),-1),iferror(small(filter(Scores!B255:AX255,Scores!B255:AX255&gt;0),3),-1),-1)"),-1.0)</f>
        <v>-1</v>
      </c>
      <c r="I252" s="14">
        <f>IFERROR(__xludf.DUMMYFUNCTION("IFERROR(COLUMNS(filter(Scores!B255:AE255,Scores!B255:AE255)),"""")"),39.0)</f>
        <v>39</v>
      </c>
      <c r="J252" s="14">
        <f>COUNTIF(Scores!B255:AX255,B252)</f>
        <v>1</v>
      </c>
      <c r="K252" s="21">
        <f>IFERROR(__xludf.DUMMYFUNCTION("""COMPUTED_VALUE"""),244.0)</f>
        <v>244</v>
      </c>
      <c r="L252" s="36"/>
      <c r="S252" s="21">
        <v>30.0</v>
      </c>
      <c r="T252" s="14">
        <v>93.0</v>
      </c>
      <c r="U252" s="14">
        <v>2407.0</v>
      </c>
      <c r="W252" s="21">
        <v>294.0</v>
      </c>
      <c r="X252" s="14">
        <v>70.0</v>
      </c>
      <c r="Y252" s="14">
        <v>2430.0</v>
      </c>
      <c r="AA252" s="21">
        <v>22.0</v>
      </c>
      <c r="AB252" s="14">
        <v>41.0</v>
      </c>
      <c r="AC252" s="14">
        <v>91.0</v>
      </c>
    </row>
    <row r="253">
      <c r="A253" s="27">
        <f>HYPERLINK("https://arcprize.org/play?task=a1570a43", 245)</f>
        <v>245</v>
      </c>
      <c r="B253" s="14">
        <f>IFERROR(__xludf.DUMMYFUNCTION("min(filter(Scores!B256:AX256,Scores!B256:AX256&gt;0))"),98.0)</f>
        <v>98</v>
      </c>
      <c r="C253" s="14">
        <v>2402.0</v>
      </c>
      <c r="D253" s="51" t="str">
        <f t="array" ref="D253">if(B253,if(countif(Scores!B256:AX256,B253)=1,concat("💎",XLOOKUP(B253,Scores!B256:AX256,Scores!B$1:AX$1)),concat("🥇 x",countif(Scores!B256:AX256,B253))),"")</f>
        <v>🥇 x2</v>
      </c>
      <c r="E253" s="14">
        <f>if(countif(Scores!B256:AX256,B253)=1,F253,-1)</f>
        <v>-1</v>
      </c>
      <c r="F253" s="14">
        <f t="shared" si="1"/>
        <v>98</v>
      </c>
      <c r="G253" s="14">
        <f>IFERROR(__xludf.DUMMYFUNCTION("if(iferror(small(filter(Scores!B256:AX256,Scores!B256:AX256&gt;0),2),-1)&lt;&gt;F253,iferror(small(filter(Scores!B256:AX256,Scores!B256:AX256&gt;0),2),-1),-1)"),-1.0)</f>
        <v>-1</v>
      </c>
      <c r="H253" s="14">
        <f>IFERROR(__xludf.DUMMYFUNCTION("if(iferror(small(filter(Scores!B256:AX256,Scores!B256:AX256&gt;0),3),-1)&lt;&gt;iferror(small(filter(Scores!B256:AX256,Scores!B256:AX256&gt;0),2),-1),iferror(small(filter(Scores!B256:AX256,Scores!B256:AX256&gt;0),3),-1),-1)"),99.0)</f>
        <v>99</v>
      </c>
      <c r="I253" s="14">
        <f>IFERROR(__xludf.DUMMYFUNCTION("IFERROR(COLUMNS(filter(Scores!B256:AE256,Scores!B256:AE256)),"""")"),35.0)</f>
        <v>35</v>
      </c>
      <c r="J253" s="14">
        <f>COUNTIF(Scores!B256:AX256,B253)</f>
        <v>2</v>
      </c>
      <c r="K253" s="21">
        <f>IFERROR(__xludf.DUMMYFUNCTION("""COMPUTED_VALUE"""),245.0)</f>
        <v>245</v>
      </c>
      <c r="L253" s="36"/>
      <c r="S253" s="21">
        <v>97.0</v>
      </c>
      <c r="T253" s="14">
        <v>93.0</v>
      </c>
      <c r="U253" s="14">
        <v>2407.0</v>
      </c>
      <c r="W253" s="21">
        <v>310.0</v>
      </c>
      <c r="X253" s="14">
        <v>70.0</v>
      </c>
      <c r="Y253" s="14">
        <v>2430.0</v>
      </c>
      <c r="AA253" s="21">
        <v>15.0</v>
      </c>
      <c r="AB253" s="14">
        <v>41.0</v>
      </c>
      <c r="AC253" s="14">
        <v>87.0</v>
      </c>
    </row>
    <row r="254">
      <c r="A254" s="27">
        <f>HYPERLINK("https://arcprize.org/play?task=a2fd1cf0", 246)</f>
        <v>246</v>
      </c>
      <c r="B254" s="14">
        <f>IFERROR(__xludf.DUMMYFUNCTION("min(filter(Scores!B257:AX257,Scores!B257:AX257&gt;0))"),104.0)</f>
        <v>104</v>
      </c>
      <c r="C254" s="14">
        <v>2396.0</v>
      </c>
      <c r="D254" s="51" t="str">
        <f t="array" ref="D254">if(B254,if(countif(Scores!B257:AX257,B254)=1,concat("💎",XLOOKUP(B254,Scores!B257:AX257,Scores!B$1:AX$1)),concat("🥇 x",countif(Scores!B257:AX257,B254))),"")</f>
        <v>💎Code Golf International</v>
      </c>
      <c r="E254" s="14">
        <f>if(countif(Scores!B257:AX257,B254)=1,F254,-1)</f>
        <v>104</v>
      </c>
      <c r="F254" s="14">
        <f t="shared" si="1"/>
        <v>104</v>
      </c>
      <c r="G254" s="14">
        <f>IFERROR(__xludf.DUMMYFUNCTION("if(iferror(small(filter(Scores!B257:AX257,Scores!B257:AX257&gt;0),2),-1)&lt;&gt;F254,iferror(small(filter(Scores!B257:AX257,Scores!B257:AX257&gt;0),2),-1),-1)"),105.0)</f>
        <v>105</v>
      </c>
      <c r="H254" s="14">
        <f>IFERROR(__xludf.DUMMYFUNCTION("if(iferror(small(filter(Scores!B257:AX257,Scores!B257:AX257&gt;0),3),-1)&lt;&gt;iferror(small(filter(Scores!B257:AX257,Scores!B257:AX257&gt;0),2),-1),iferror(small(filter(Scores!B257:AX257,Scores!B257:AX257&gt;0),3),-1),-1)"),-1.0)</f>
        <v>-1</v>
      </c>
      <c r="I254" s="14">
        <f>IFERROR(__xludf.DUMMYFUNCTION("IFERROR(COLUMNS(filter(Scores!B257:AE257,Scores!B257:AE257)),"""")"),39.0)</f>
        <v>39</v>
      </c>
      <c r="J254" s="14">
        <f>COUNTIF(Scores!B257:AX257,B254)</f>
        <v>1</v>
      </c>
      <c r="K254" s="21">
        <f>IFERROR(__xludf.DUMMYFUNCTION("""COMPUTED_VALUE"""),246.0)</f>
        <v>246</v>
      </c>
      <c r="L254" s="36"/>
      <c r="S254" s="21">
        <v>99.0</v>
      </c>
      <c r="T254" s="14">
        <v>93.0</v>
      </c>
      <c r="U254" s="14">
        <v>2407.0</v>
      </c>
      <c r="W254" s="21">
        <v>257.0</v>
      </c>
      <c r="X254" s="14">
        <v>68.0</v>
      </c>
      <c r="Y254" s="14">
        <v>2432.0</v>
      </c>
      <c r="AA254" s="21">
        <v>183.0</v>
      </c>
      <c r="AB254" s="14">
        <v>41.0</v>
      </c>
      <c r="AC254" s="14">
        <v>79.0</v>
      </c>
    </row>
    <row r="255">
      <c r="A255" s="27">
        <f>HYPERLINK("https://arcprize.org/play?task=a3325580", 247)</f>
        <v>247</v>
      </c>
      <c r="B255" s="14">
        <f>IFERROR(__xludf.DUMMYFUNCTION("min(filter(Scores!B258:AX258,Scores!B258:AX258&gt;0))"),92.0)</f>
        <v>92</v>
      </c>
      <c r="C255" s="14">
        <v>2408.0</v>
      </c>
      <c r="D255" s="51" t="str">
        <f t="array" ref="D255">if(B255,if(countif(Scores!B258:AX258,B255)=1,concat("💎",XLOOKUP(B255,Scores!B258:AX258,Scores!B$1:AX$1)),concat("🥇 x",countif(Scores!B258:AX258,B255))),"")</f>
        <v>💎ox jam</v>
      </c>
      <c r="E255" s="14">
        <f>if(countif(Scores!B258:AX258,B255)=1,F255,-1)</f>
        <v>92</v>
      </c>
      <c r="F255" s="14">
        <f t="shared" si="1"/>
        <v>92</v>
      </c>
      <c r="G255" s="14">
        <f>IFERROR(__xludf.DUMMYFUNCTION("if(iferror(small(filter(Scores!B258:AX258,Scores!B258:AX258&gt;0),2),-1)&lt;&gt;F255,iferror(small(filter(Scores!B258:AX258,Scores!B258:AX258&gt;0),2),-1),-1)"),95.0)</f>
        <v>95</v>
      </c>
      <c r="H255" s="14">
        <f>IFERROR(__xludf.DUMMYFUNCTION("if(iferror(small(filter(Scores!B258:AX258,Scores!B258:AX258&gt;0),3),-1)&lt;&gt;iferror(small(filter(Scores!B258:AX258,Scores!B258:AX258&gt;0),2),-1),iferror(small(filter(Scores!B258:AX258,Scores!B258:AX258&gt;0),3),-1),-1)"),-1.0)</f>
        <v>-1</v>
      </c>
      <c r="I255" s="14">
        <f>IFERROR(__xludf.DUMMYFUNCTION("IFERROR(COLUMNS(filter(Scores!B258:AE258,Scores!B258:AE258)),"""")"),36.0)</f>
        <v>36</v>
      </c>
      <c r="J255" s="14">
        <f>COUNTIF(Scores!B258:AX258,B255)</f>
        <v>1</v>
      </c>
      <c r="K255" s="21">
        <f>IFERROR(__xludf.DUMMYFUNCTION("""COMPUTED_VALUE"""),247.0)</f>
        <v>247</v>
      </c>
      <c r="L255" s="36"/>
      <c r="S255" s="21">
        <v>204.0</v>
      </c>
      <c r="T255" s="14">
        <v>93.0</v>
      </c>
      <c r="U255" s="14">
        <v>2407.0</v>
      </c>
      <c r="W255" s="21">
        <v>181.0</v>
      </c>
      <c r="X255" s="14">
        <v>67.0</v>
      </c>
      <c r="Y255" s="14">
        <v>2433.0</v>
      </c>
      <c r="AA255" s="21">
        <v>36.0</v>
      </c>
      <c r="AB255" s="14">
        <v>41.0</v>
      </c>
      <c r="AC255" s="14">
        <v>75.0</v>
      </c>
    </row>
    <row r="256">
      <c r="A256" s="27">
        <f>HYPERLINK("https://arcprize.org/play?task=a3df8b1e", 248)</f>
        <v>248</v>
      </c>
      <c r="B256" s="14">
        <f>IFERROR(__xludf.DUMMYFUNCTION("min(filter(Scores!B259:AX259,Scores!B259:AX259&gt;0))"),67.0)</f>
        <v>67</v>
      </c>
      <c r="C256" s="14">
        <v>2433.0</v>
      </c>
      <c r="D256" s="51" t="str">
        <f t="array" ref="D256">if(B256,if(countif(Scores!B259:AX259,B256)=1,concat("💎",XLOOKUP(B256,Scores!B259:AX259,Scores!B$1:AX$1)),concat("🥇 x",countif(Scores!B259:AX259,B256))),"")</f>
        <v>💎FuunAgent</v>
      </c>
      <c r="E256" s="14">
        <f>if(countif(Scores!B259:AX259,B256)=1,F256,-1)</f>
        <v>67</v>
      </c>
      <c r="F256" s="14">
        <f t="shared" si="1"/>
        <v>67</v>
      </c>
      <c r="G256" s="14">
        <f>IFERROR(__xludf.DUMMYFUNCTION("if(iferror(small(filter(Scores!B259:AX259,Scores!B259:AX259&gt;0),2),-1)&lt;&gt;F256,iferror(small(filter(Scores!B259:AX259,Scores!B259:AX259&gt;0),2),-1),-1)"),68.0)</f>
        <v>68</v>
      </c>
      <c r="H256" s="14">
        <f>IFERROR(__xludf.DUMMYFUNCTION("if(iferror(small(filter(Scores!B259:AX259,Scores!B259:AX259&gt;0),3),-1)&lt;&gt;iferror(small(filter(Scores!B259:AX259,Scores!B259:AX259&gt;0),2),-1),iferror(small(filter(Scores!B259:AX259,Scores!B259:AX259&gt;0),3),-1),-1)"),72.0)</f>
        <v>72</v>
      </c>
      <c r="I256" s="14">
        <f>IFERROR(__xludf.DUMMYFUNCTION("IFERROR(COLUMNS(filter(Scores!B259:AE259,Scores!B259:AE259)),"""")"),41.0)</f>
        <v>41</v>
      </c>
      <c r="J256" s="14">
        <f>COUNTIF(Scores!B259:AX259,B256)</f>
        <v>1</v>
      </c>
      <c r="K256" s="21">
        <f>IFERROR(__xludf.DUMMYFUNCTION("""COMPUTED_VALUE"""),248.0)</f>
        <v>248</v>
      </c>
      <c r="L256" s="36"/>
      <c r="S256" s="21">
        <v>212.0</v>
      </c>
      <c r="T256" s="14">
        <v>93.0</v>
      </c>
      <c r="U256" s="14">
        <v>2407.0</v>
      </c>
      <c r="W256" s="21">
        <v>248.0</v>
      </c>
      <c r="X256" s="14">
        <v>67.0</v>
      </c>
      <c r="Y256" s="14">
        <v>2433.0</v>
      </c>
      <c r="AA256" s="21">
        <v>180.0</v>
      </c>
      <c r="AB256" s="14">
        <v>41.0</v>
      </c>
      <c r="AC256" s="14">
        <v>74.0</v>
      </c>
    </row>
    <row r="257">
      <c r="A257" s="27">
        <f>HYPERLINK("https://arcprize.org/play?task=a416b8f3", 249)</f>
        <v>249</v>
      </c>
      <c r="B257" s="14">
        <f>IFERROR(__xludf.DUMMYFUNCTION("min(filter(Scores!B260:AX260,Scores!B260:AX260&gt;0))"),26.0)</f>
        <v>26</v>
      </c>
      <c r="C257" s="14">
        <v>2474.0</v>
      </c>
      <c r="D257" s="51" t="str">
        <f t="array" ref="D257">if(B257,if(countif(Scores!B260:AX260,B257)=1,concat("💎",XLOOKUP(B257,Scores!B260:AX260,Scores!B$1:AX$1)),concat("🥇 x",countif(Scores!B260:AX260,B257))),"")</f>
        <v>🥇 x43</v>
      </c>
      <c r="E257" s="14">
        <f>if(countif(Scores!B260:AX260,B257)=1,F257,-1)</f>
        <v>-1</v>
      </c>
      <c r="F257" s="14">
        <f t="shared" si="1"/>
        <v>26</v>
      </c>
      <c r="G257" s="14">
        <f>IFERROR(__xludf.DUMMYFUNCTION("if(iferror(small(filter(Scores!B260:AX260,Scores!B260:AX260&gt;0),2),-1)&lt;&gt;F257,iferror(small(filter(Scores!B260:AX260,Scores!B260:AX260&gt;0),2),-1),-1)"),-1.0)</f>
        <v>-1</v>
      </c>
      <c r="H257" s="14">
        <f>IFERROR(__xludf.DUMMYFUNCTION("if(iferror(small(filter(Scores!B260:AX260,Scores!B260:AX260&gt;0),3),-1)&lt;&gt;iferror(small(filter(Scores!B260:AX260,Scores!B260:AX260&gt;0),2),-1),iferror(small(filter(Scores!B260:AX260,Scores!B260:AX260&gt;0),3),-1),-1)"),-1.0)</f>
        <v>-1</v>
      </c>
      <c r="I257" s="14">
        <f>IFERROR(__xludf.DUMMYFUNCTION("IFERROR(COLUMNS(filter(Scores!B260:AE260,Scores!B260:AE260)),"""")"),44.0)</f>
        <v>44</v>
      </c>
      <c r="J257" s="14">
        <f>COUNTIF(Scores!B260:AX260,B257)</f>
        <v>43</v>
      </c>
      <c r="K257" s="21">
        <f>IFERROR(__xludf.DUMMYFUNCTION("""COMPUTED_VALUE"""),249.0)</f>
        <v>249</v>
      </c>
      <c r="L257" s="36"/>
      <c r="S257" s="21">
        <v>222.0</v>
      </c>
      <c r="T257" s="14">
        <v>93.0</v>
      </c>
      <c r="U257" s="14">
        <v>2407.0</v>
      </c>
      <c r="W257" s="21">
        <v>327.0</v>
      </c>
      <c r="X257" s="14">
        <v>67.0</v>
      </c>
      <c r="Y257" s="14">
        <v>2433.0</v>
      </c>
      <c r="AA257" s="21">
        <v>316.0</v>
      </c>
      <c r="AB257" s="14">
        <v>41.0</v>
      </c>
      <c r="AC257" s="14">
        <v>71.0</v>
      </c>
    </row>
    <row r="258">
      <c r="A258" s="27">
        <f>HYPERLINK("https://arcprize.org/play?task=a48eeaf7", 250)</f>
        <v>250</v>
      </c>
      <c r="B258" s="14">
        <f>IFERROR(__xludf.DUMMYFUNCTION("min(filter(Scores!B261:AX261,Scores!B261:AX261&gt;0))"),95.0)</f>
        <v>95</v>
      </c>
      <c r="C258" s="14">
        <v>2405.0</v>
      </c>
      <c r="D258" s="51" t="str">
        <f t="array" ref="D258">if(B258,if(countif(Scores!B261:AX261,B258)=1,concat("💎",XLOOKUP(B258,Scores!B261:AX261,Scores!B$1:AX$1)),concat("🥇 x",countif(Scores!B261:AX261,B258))),"")</f>
        <v>💎ox jam</v>
      </c>
      <c r="E258" s="14">
        <f>if(countif(Scores!B261:AX261,B258)=1,F258,-1)</f>
        <v>95</v>
      </c>
      <c r="F258" s="14">
        <f t="shared" si="1"/>
        <v>95</v>
      </c>
      <c r="G258" s="14">
        <f>IFERROR(__xludf.DUMMYFUNCTION("if(iferror(small(filter(Scores!B261:AX261,Scores!B261:AX261&gt;0),2),-1)&lt;&gt;F258,iferror(small(filter(Scores!B261:AX261,Scores!B261:AX261&gt;0),2),-1),-1)"),97.0)</f>
        <v>97</v>
      </c>
      <c r="H258" s="14">
        <f>IFERROR(__xludf.DUMMYFUNCTION("if(iferror(small(filter(Scores!B261:AX261,Scores!B261:AX261&gt;0),3),-1)&lt;&gt;iferror(small(filter(Scores!B261:AX261,Scores!B261:AX261&gt;0),2),-1),iferror(small(filter(Scores!B261:AX261,Scores!B261:AX261&gt;0),3),-1),-1)"),101.0)</f>
        <v>101</v>
      </c>
      <c r="I258" s="14">
        <f>IFERROR(__xludf.DUMMYFUNCTION("IFERROR(COLUMNS(filter(Scores!B261:AE261,Scores!B261:AE261)),"""")"),34.0)</f>
        <v>34</v>
      </c>
      <c r="J258" s="14">
        <f>COUNTIF(Scores!B261:AX261,B258)</f>
        <v>1</v>
      </c>
      <c r="K258" s="21">
        <f>IFERROR(__xludf.DUMMYFUNCTION("""COMPUTED_VALUE"""),250.0)</f>
        <v>250</v>
      </c>
      <c r="L258" s="36"/>
      <c r="S258" s="21">
        <v>256.0</v>
      </c>
      <c r="T258" s="14">
        <v>93.0</v>
      </c>
      <c r="U258" s="14">
        <v>2407.0</v>
      </c>
      <c r="W258" s="21">
        <v>362.0</v>
      </c>
      <c r="X258" s="14">
        <v>67.0</v>
      </c>
      <c r="Y258" s="14">
        <v>2433.0</v>
      </c>
      <c r="AA258" s="21">
        <v>167.0</v>
      </c>
      <c r="AB258" s="14">
        <v>41.0</v>
      </c>
      <c r="AC258" s="14">
        <v>70.0</v>
      </c>
    </row>
    <row r="259">
      <c r="A259" s="27">
        <f>HYPERLINK("https://arcprize.org/play?task=a5313dff", 251)</f>
        <v>251</v>
      </c>
      <c r="B259" s="14">
        <f>IFERROR(__xludf.DUMMYFUNCTION("min(filter(Scores!B262:AX262,Scores!B262:AX262&gt;0))"),84.0)</f>
        <v>84</v>
      </c>
      <c r="C259" s="14">
        <v>2416.0</v>
      </c>
      <c r="D259" s="51" t="str">
        <f t="array" ref="D259">if(B259,if(countif(Scores!B262:AX262,B259)=1,concat("💎",XLOOKUP(B259,Scores!B262:AX262,Scores!B$1:AX$1)),concat("🥇 x",countif(Scores!B262:AX262,B259))),"")</f>
        <v>💎jailctf merger</v>
      </c>
      <c r="E259" s="14">
        <f>if(countif(Scores!B262:AX262,B259)=1,F259,-1)</f>
        <v>84</v>
      </c>
      <c r="F259" s="14">
        <f t="shared" si="1"/>
        <v>84</v>
      </c>
      <c r="G259" s="14">
        <f>IFERROR(__xludf.DUMMYFUNCTION("if(iferror(small(filter(Scores!B262:AX262,Scores!B262:AX262&gt;0),2),-1)&lt;&gt;F259,iferror(small(filter(Scores!B262:AX262,Scores!B262:AX262&gt;0),2),-1),-1)"),88.0)</f>
        <v>88</v>
      </c>
      <c r="H259" s="14">
        <f>IFERROR(__xludf.DUMMYFUNCTION("if(iferror(small(filter(Scores!B262:AX262,Scores!B262:AX262&gt;0),3),-1)&lt;&gt;iferror(small(filter(Scores!B262:AX262,Scores!B262:AX262&gt;0),2),-1),iferror(small(filter(Scores!B262:AX262,Scores!B262:AX262&gt;0),3),-1),-1)"),-1.0)</f>
        <v>-1</v>
      </c>
      <c r="I259" s="14">
        <f>IFERROR(__xludf.DUMMYFUNCTION("IFERROR(COLUMNS(filter(Scores!B262:AE262,Scores!B262:AE262)),"""")"),38.0)</f>
        <v>38</v>
      </c>
      <c r="J259" s="14">
        <f>COUNTIF(Scores!B262:AX262,B259)</f>
        <v>1</v>
      </c>
      <c r="K259" s="21">
        <f>IFERROR(__xludf.DUMMYFUNCTION("""COMPUTED_VALUE"""),251.0)</f>
        <v>251</v>
      </c>
      <c r="L259" s="36"/>
      <c r="S259" s="21">
        <v>136.0</v>
      </c>
      <c r="T259" s="14">
        <v>94.0</v>
      </c>
      <c r="U259" s="14">
        <v>2406.0</v>
      </c>
      <c r="W259" s="21">
        <v>10.0</v>
      </c>
      <c r="X259" s="14">
        <v>66.0</v>
      </c>
      <c r="Y259" s="14">
        <v>2434.0</v>
      </c>
      <c r="AA259" s="21">
        <v>294.0</v>
      </c>
      <c r="AB259" s="14">
        <v>41.0</v>
      </c>
      <c r="AC259" s="14">
        <v>70.0</v>
      </c>
    </row>
    <row r="260">
      <c r="A260" s="27">
        <f>HYPERLINK("https://arcprize.org/play?task=a5f85a15", 252)</f>
        <v>252</v>
      </c>
      <c r="B260" s="14">
        <f>IFERROR(__xludf.DUMMYFUNCTION("min(filter(Scores!B263:AX263,Scores!B263:AX263&gt;0))"),53.0)</f>
        <v>53</v>
      </c>
      <c r="C260" s="14">
        <v>2447.0</v>
      </c>
      <c r="D260" s="51" t="str">
        <f t="array" ref="D260">if(B260,if(countif(Scores!B263:AX263,B260)=1,concat("💎",XLOOKUP(B260,Scores!B263:AX263,Scores!B$1:AX$1)),concat("🥇 x",countif(Scores!B263:AX263,B260))),"")</f>
        <v>💎ox jam</v>
      </c>
      <c r="E260" s="14">
        <f>if(countif(Scores!B263:AX263,B260)=1,F260,-1)</f>
        <v>53</v>
      </c>
      <c r="F260" s="14">
        <f t="shared" si="1"/>
        <v>53</v>
      </c>
      <c r="G260" s="14">
        <f>IFERROR(__xludf.DUMMYFUNCTION("if(iferror(small(filter(Scores!B263:AX263,Scores!B263:AX263&gt;0),2),-1)&lt;&gt;F260,iferror(small(filter(Scores!B263:AX263,Scores!B263:AX263&gt;0),2),-1),-1)"),55.0)</f>
        <v>55</v>
      </c>
      <c r="H260" s="14">
        <f>IFERROR(__xludf.DUMMYFUNCTION("if(iferror(small(filter(Scores!B263:AX263,Scores!B263:AX263&gt;0),3),-1)&lt;&gt;iferror(small(filter(Scores!B263:AX263,Scores!B263:AX263&gt;0),2),-1),iferror(small(filter(Scores!B263:AX263,Scores!B263:AX263&gt;0),3),-1),-1)"),57.0)</f>
        <v>57</v>
      </c>
      <c r="I260" s="14">
        <f>IFERROR(__xludf.DUMMYFUNCTION("IFERROR(COLUMNS(filter(Scores!B263:AE263,Scores!B263:AE263)),"""")"),42.0)</f>
        <v>42</v>
      </c>
      <c r="J260" s="14">
        <f>COUNTIF(Scores!B263:AX263,B260)</f>
        <v>1</v>
      </c>
      <c r="K260" s="21">
        <f>IFERROR(__xludf.DUMMYFUNCTION("""COMPUTED_VALUE"""),252.0)</f>
        <v>252</v>
      </c>
      <c r="L260" s="36"/>
      <c r="S260" s="21">
        <v>195.0</v>
      </c>
      <c r="T260" s="14">
        <v>94.0</v>
      </c>
      <c r="U260" s="14">
        <v>2406.0</v>
      </c>
      <c r="W260" s="21">
        <v>237.0</v>
      </c>
      <c r="X260" s="14">
        <v>66.0</v>
      </c>
      <c r="Y260" s="14">
        <v>2434.0</v>
      </c>
      <c r="AA260" s="21">
        <v>248.0</v>
      </c>
      <c r="AB260" s="14">
        <v>41.0</v>
      </c>
      <c r="AC260" s="14">
        <v>67.0</v>
      </c>
    </row>
    <row r="261">
      <c r="A261" s="27">
        <f>HYPERLINK("https://arcprize.org/play?task=a61ba2ce", 253)</f>
        <v>253</v>
      </c>
      <c r="B261" s="14">
        <f>IFERROR(__xludf.DUMMYFUNCTION("min(filter(Scores!B264:AX264,Scores!B264:AX264&gt;0))"),114.0)</f>
        <v>114</v>
      </c>
      <c r="C261" s="14">
        <v>2386.0</v>
      </c>
      <c r="D261" s="51" t="str">
        <f t="array" ref="D261">if(B261,if(countif(Scores!B264:AX264,B261)=1,concat("💎",XLOOKUP(B261,Scores!B264:AX264,Scores!B$1:AX$1)),concat("🥇 x",countif(Scores!B264:AX264,B261))),"")</f>
        <v>💎ox jam</v>
      </c>
      <c r="E261" s="14">
        <f>if(countif(Scores!B264:AX264,B261)=1,F261,-1)</f>
        <v>114</v>
      </c>
      <c r="F261" s="14">
        <f t="shared" si="1"/>
        <v>114</v>
      </c>
      <c r="G261" s="14">
        <f>IFERROR(__xludf.DUMMYFUNCTION("if(iferror(small(filter(Scores!B264:AX264,Scores!B264:AX264&gt;0),2),-1)&lt;&gt;F261,iferror(small(filter(Scores!B264:AX264,Scores!B264:AX264&gt;0),2),-1),-1)"),120.0)</f>
        <v>120</v>
      </c>
      <c r="H261" s="14">
        <f>IFERROR(__xludf.DUMMYFUNCTION("if(iferror(small(filter(Scores!B264:AX264,Scores!B264:AX264&gt;0),3),-1)&lt;&gt;iferror(small(filter(Scores!B264:AX264,Scores!B264:AX264&gt;0),2),-1),iferror(small(filter(Scores!B264:AX264,Scores!B264:AX264&gt;0),3),-1),-1)"),121.0)</f>
        <v>121</v>
      </c>
      <c r="I261" s="14">
        <f>IFERROR(__xludf.DUMMYFUNCTION("IFERROR(COLUMNS(filter(Scores!B264:AE264,Scores!B264:AE264)),"""")"),37.0)</f>
        <v>37</v>
      </c>
      <c r="J261" s="14">
        <f>COUNTIF(Scores!B264:AX264,B261)</f>
        <v>1</v>
      </c>
      <c r="K261" s="21">
        <f>IFERROR(__xludf.DUMMYFUNCTION("""COMPUTED_VALUE"""),253.0)</f>
        <v>253</v>
      </c>
      <c r="L261" s="36"/>
      <c r="S261" s="21">
        <v>9.0</v>
      </c>
      <c r="T261" s="14">
        <v>95.0</v>
      </c>
      <c r="U261" s="14">
        <v>2405.0</v>
      </c>
      <c r="W261" s="21">
        <v>351.0</v>
      </c>
      <c r="X261" s="14">
        <v>66.0</v>
      </c>
      <c r="Y261" s="14">
        <v>2434.0</v>
      </c>
      <c r="AA261" s="21">
        <v>400.0</v>
      </c>
      <c r="AB261" s="14">
        <v>41.0</v>
      </c>
      <c r="AC261" s="14">
        <v>66.0</v>
      </c>
    </row>
    <row r="262">
      <c r="A262" s="27">
        <f>HYPERLINK("https://arcprize.org/play?task=a61f2674", 254)</f>
        <v>254</v>
      </c>
      <c r="B262" s="14">
        <f>IFERROR(__xludf.DUMMYFUNCTION("min(filter(Scores!B265:AX265,Scores!B265:AX265&gt;0))"),81.0)</f>
        <v>81</v>
      </c>
      <c r="C262" s="14">
        <v>2419.0</v>
      </c>
      <c r="D262" s="51" t="str">
        <f t="array" ref="D262">if(B262,if(countif(Scores!B265:AX265,B262)=1,concat("💎",XLOOKUP(B262,Scores!B265:AX265,Scores!B$1:AX$1)),concat("🥇 x",countif(Scores!B265:AX265,B262))),"")</f>
        <v>💎Code Golf International</v>
      </c>
      <c r="E262" s="14">
        <f>if(countif(Scores!B265:AX265,B262)=1,F262,-1)</f>
        <v>81</v>
      </c>
      <c r="F262" s="14">
        <f t="shared" si="1"/>
        <v>81</v>
      </c>
      <c r="G262" s="14">
        <f>IFERROR(__xludf.DUMMYFUNCTION("if(iferror(small(filter(Scores!B265:AX265,Scores!B265:AX265&gt;0),2),-1)&lt;&gt;F262,iferror(small(filter(Scores!B265:AX265,Scores!B265:AX265&gt;0),2),-1),-1)"),84.0)</f>
        <v>84</v>
      </c>
      <c r="H262" s="14">
        <f>IFERROR(__xludf.DUMMYFUNCTION("if(iferror(small(filter(Scores!B265:AX265,Scores!B265:AX265&gt;0),3),-1)&lt;&gt;iferror(small(filter(Scores!B265:AX265,Scores!B265:AX265&gt;0),2),-1),iferror(small(filter(Scores!B265:AX265,Scores!B265:AX265&gt;0),3),-1),-1)"),87.0)</f>
        <v>87</v>
      </c>
      <c r="I262" s="14">
        <f>IFERROR(__xludf.DUMMYFUNCTION("IFERROR(COLUMNS(filter(Scores!B265:AE265,Scores!B265:AE265)),"""")"),39.0)</f>
        <v>39</v>
      </c>
      <c r="J262" s="14">
        <f>COUNTIF(Scores!B265:AX265,B262)</f>
        <v>1</v>
      </c>
      <c r="K262" s="21">
        <f>IFERROR(__xludf.DUMMYFUNCTION("""COMPUTED_VALUE"""),254.0)</f>
        <v>254</v>
      </c>
      <c r="L262" s="36"/>
      <c r="S262" s="21">
        <v>88.0</v>
      </c>
      <c r="T262" s="14">
        <v>95.0</v>
      </c>
      <c r="U262" s="14">
        <v>2405.0</v>
      </c>
      <c r="W262" s="21">
        <v>400.0</v>
      </c>
      <c r="X262" s="14">
        <v>66.0</v>
      </c>
      <c r="Y262" s="14">
        <v>2434.0</v>
      </c>
      <c r="AA262" s="21">
        <v>274.0</v>
      </c>
      <c r="AB262" s="14">
        <v>41.0</v>
      </c>
      <c r="AC262" s="14">
        <v>65.0</v>
      </c>
    </row>
    <row r="263">
      <c r="A263" s="27">
        <f>HYPERLINK("https://arcprize.org/play?task=a64e4611", 255)</f>
        <v>255</v>
      </c>
      <c r="B263" s="14">
        <f>IFERROR(__xludf.DUMMYFUNCTION("min(filter(Scores!B266:AX266,Scores!B266:AX266&gt;0))"),212.0)</f>
        <v>212</v>
      </c>
      <c r="C263" s="14">
        <v>2288.0</v>
      </c>
      <c r="D263" s="51" t="str">
        <f t="array" ref="D263">if(B263,if(countif(Scores!B266:AX266,B263)=1,concat("💎",XLOOKUP(B263,Scores!B266:AX266,Scores!B$1:AX$1)),concat("🥇 x",countif(Scores!B266:AX266,B263))),"")</f>
        <v>💎ox jam</v>
      </c>
      <c r="E263" s="14">
        <f>if(countif(Scores!B266:AX266,B263)=1,F263,-1)</f>
        <v>212</v>
      </c>
      <c r="F263" s="14">
        <f t="shared" si="1"/>
        <v>212</v>
      </c>
      <c r="G263" s="14">
        <f>IFERROR(__xludf.DUMMYFUNCTION("if(iferror(small(filter(Scores!B266:AX266,Scores!B266:AX266&gt;0),2),-1)&lt;&gt;F263,iferror(small(filter(Scores!B266:AX266,Scores!B266:AX266&gt;0),2),-1),-1)"),222.0)</f>
        <v>222</v>
      </c>
      <c r="H263" s="14">
        <f>IFERROR(__xludf.DUMMYFUNCTION("if(iferror(small(filter(Scores!B266:AX266,Scores!B266:AX266&gt;0),3),-1)&lt;&gt;iferror(small(filter(Scores!B266:AX266,Scores!B266:AX266&gt;0),2),-1),iferror(small(filter(Scores!B266:AX266,Scores!B266:AX266&gt;0),3),-1),-1)"),233.0)</f>
        <v>233</v>
      </c>
      <c r="I263" s="14">
        <f>IFERROR(__xludf.DUMMYFUNCTION("IFERROR(COLUMNS(filter(Scores!B266:AE266,Scores!B266:AE266)),"""")"),33.0)</f>
        <v>33</v>
      </c>
      <c r="J263" s="14">
        <f>COUNTIF(Scores!B266:AX266,B263)</f>
        <v>1</v>
      </c>
      <c r="K263" s="21">
        <f>IFERROR(__xludf.DUMMYFUNCTION("""COMPUTED_VALUE"""),255.0)</f>
        <v>255</v>
      </c>
      <c r="L263" s="36"/>
      <c r="S263" s="21">
        <v>124.0</v>
      </c>
      <c r="T263" s="14">
        <v>95.0</v>
      </c>
      <c r="U263" s="14">
        <v>2405.0</v>
      </c>
      <c r="W263" s="21">
        <v>274.0</v>
      </c>
      <c r="X263" s="14">
        <v>65.0</v>
      </c>
      <c r="Y263" s="14">
        <v>2435.0</v>
      </c>
      <c r="AA263" s="21">
        <v>40.0</v>
      </c>
      <c r="AB263" s="14">
        <v>41.0</v>
      </c>
      <c r="AC263" s="14">
        <v>63.0</v>
      </c>
    </row>
    <row r="264">
      <c r="A264" s="27">
        <f>HYPERLINK("https://arcprize.org/play?task=a65b410d", 256)</f>
        <v>256</v>
      </c>
      <c r="B264" s="14">
        <f>IFERROR(__xludf.DUMMYFUNCTION("min(filter(Scores!B267:AX267,Scores!B267:AX267&gt;0))"),93.0)</f>
        <v>93</v>
      </c>
      <c r="C264" s="14">
        <v>2407.0</v>
      </c>
      <c r="D264" s="51" t="str">
        <f t="array" ref="D264">if(B264,if(countif(Scores!B267:AX267,B264)=1,concat("💎",XLOOKUP(B264,Scores!B267:AX267,Scores!B$1:AX$1)),concat("🥇 x",countif(Scores!B267:AX267,B264))),"")</f>
        <v>💎LogicLynx</v>
      </c>
      <c r="E264" s="14">
        <f>if(countif(Scores!B267:AX267,B264)=1,F264,-1)</f>
        <v>93</v>
      </c>
      <c r="F264" s="14">
        <f t="shared" si="1"/>
        <v>93</v>
      </c>
      <c r="G264" s="14">
        <f>IFERROR(__xludf.DUMMYFUNCTION("if(iferror(small(filter(Scores!B267:AX267,Scores!B267:AX267&gt;0),2),-1)&lt;&gt;F264,iferror(small(filter(Scores!B267:AX267,Scores!B267:AX267&gt;0),2),-1),-1)"),95.0)</f>
        <v>95</v>
      </c>
      <c r="H264" s="14">
        <f>IFERROR(__xludf.DUMMYFUNCTION("if(iferror(small(filter(Scores!B267:AX267,Scores!B267:AX267&gt;0),3),-1)&lt;&gt;iferror(small(filter(Scores!B267:AX267,Scores!B267:AX267&gt;0),2),-1),iferror(small(filter(Scores!B267:AX267,Scores!B267:AX267&gt;0),3),-1),-1)"),96.0)</f>
        <v>96</v>
      </c>
      <c r="I264" s="14">
        <f>IFERROR(__xludf.DUMMYFUNCTION("IFERROR(COLUMNS(filter(Scores!B267:AE267,Scores!B267:AE267)),"""")"),40.0)</f>
        <v>40</v>
      </c>
      <c r="J264" s="14">
        <f>COUNTIF(Scores!B267:AX267,B264)</f>
        <v>1</v>
      </c>
      <c r="K264" s="21">
        <f>IFERROR(__xludf.DUMMYFUNCTION("""COMPUTED_VALUE"""),256.0)</f>
        <v>256</v>
      </c>
      <c r="L264" s="36"/>
      <c r="S264" s="21">
        <v>189.0</v>
      </c>
      <c r="T264" s="14">
        <v>95.0</v>
      </c>
      <c r="U264" s="14">
        <v>2405.0</v>
      </c>
      <c r="W264" s="21">
        <v>290.0</v>
      </c>
      <c r="X264" s="14">
        <v>65.0</v>
      </c>
      <c r="Y264" s="14">
        <v>2435.0</v>
      </c>
      <c r="AA264" s="21">
        <v>176.0</v>
      </c>
      <c r="AB264" s="14">
        <v>41.0</v>
      </c>
      <c r="AC264" s="14">
        <v>61.0</v>
      </c>
    </row>
    <row r="265">
      <c r="A265" s="27">
        <f>HYPERLINK("https://arcprize.org/play?task=a68b268e", 257)</f>
        <v>257</v>
      </c>
      <c r="B265" s="14">
        <f>IFERROR(__xludf.DUMMYFUNCTION("min(filter(Scores!B268:AX268,Scores!B268:AX268&gt;0))"),68.0)</f>
        <v>68</v>
      </c>
      <c r="C265" s="14">
        <v>2432.0</v>
      </c>
      <c r="D265" s="51" t="str">
        <f t="array" ref="D265">if(B265,if(countif(Scores!B268:AX268,B265)=1,concat("💎",XLOOKUP(B265,Scores!B268:AX268,Scores!B$1:AX$1)),concat("🥇 x",countif(Scores!B268:AX268,B265))),"")</f>
        <v>💎ox jam</v>
      </c>
      <c r="E265" s="14">
        <f>if(countif(Scores!B268:AX268,B265)=1,F265,-1)</f>
        <v>68</v>
      </c>
      <c r="F265" s="14">
        <f t="shared" si="1"/>
        <v>68</v>
      </c>
      <c r="G265" s="14">
        <f>IFERROR(__xludf.DUMMYFUNCTION("if(iferror(small(filter(Scores!B268:AX268,Scores!B268:AX268&gt;0),2),-1)&lt;&gt;F265,iferror(small(filter(Scores!B268:AX268,Scores!B268:AX268&gt;0),2),-1),-1)"),71.0)</f>
        <v>71</v>
      </c>
      <c r="H265" s="14">
        <f>IFERROR(__xludf.DUMMYFUNCTION("if(iferror(small(filter(Scores!B268:AX268,Scores!B268:AX268&gt;0),3),-1)&lt;&gt;iferror(small(filter(Scores!B268:AX268,Scores!B268:AX268&gt;0),2),-1),iferror(small(filter(Scores!B268:AX268,Scores!B268:AX268&gt;0),3),-1),-1)"),-1.0)</f>
        <v>-1</v>
      </c>
      <c r="I265" s="14">
        <f>IFERROR(__xludf.DUMMYFUNCTION("IFERROR(COLUMNS(filter(Scores!B268:AE268,Scores!B268:AE268)),"""")"),39.0)</f>
        <v>39</v>
      </c>
      <c r="J265" s="14">
        <f>COUNTIF(Scores!B268:AX268,B265)</f>
        <v>1</v>
      </c>
      <c r="K265" s="21">
        <f>IFERROR(__xludf.DUMMYFUNCTION("""COMPUTED_VALUE"""),257.0)</f>
        <v>257</v>
      </c>
      <c r="L265" s="36"/>
      <c r="S265" s="21">
        <v>217.0</v>
      </c>
      <c r="T265" s="14">
        <v>95.0</v>
      </c>
      <c r="U265" s="14">
        <v>2405.0</v>
      </c>
      <c r="W265" s="21">
        <v>320.0</v>
      </c>
      <c r="X265" s="14">
        <v>65.0</v>
      </c>
      <c r="Y265" s="14">
        <v>2435.0</v>
      </c>
      <c r="AA265" s="21">
        <v>235.0</v>
      </c>
      <c r="AB265" s="14">
        <v>41.0</v>
      </c>
      <c r="AC265" s="14">
        <v>61.0</v>
      </c>
    </row>
    <row r="266">
      <c r="A266" s="27">
        <f>HYPERLINK("https://arcprize.org/play?task=a699fb00", 258)</f>
        <v>258</v>
      </c>
      <c r="B266" s="14">
        <f>IFERROR(__xludf.DUMMYFUNCTION("min(filter(Scores!B269:AX269,Scores!B269:AX269&gt;0))"),61.0)</f>
        <v>61</v>
      </c>
      <c r="C266" s="14">
        <v>2439.0</v>
      </c>
      <c r="D266" s="51" t="str">
        <f t="array" ref="D266">if(B266,if(countif(Scores!B269:AX269,B266)=1,concat("💎",XLOOKUP(B266,Scores!B269:AX269,Scores!B$1:AX$1)),concat("🥇 x",countif(Scores!B269:AX269,B266))),"")</f>
        <v>🥇 x17</v>
      </c>
      <c r="E266" s="14">
        <f>if(countif(Scores!B269:AX269,B266)=1,F266,-1)</f>
        <v>-1</v>
      </c>
      <c r="F266" s="14">
        <f t="shared" si="1"/>
        <v>61</v>
      </c>
      <c r="G266" s="14">
        <f>IFERROR(__xludf.DUMMYFUNCTION("if(iferror(small(filter(Scores!B269:AX269,Scores!B269:AX269&gt;0),2),-1)&lt;&gt;F266,iferror(small(filter(Scores!B269:AX269,Scores!B269:AX269&gt;0),2),-1),-1)"),-1.0)</f>
        <v>-1</v>
      </c>
      <c r="H266" s="14">
        <f>IFERROR(__xludf.DUMMYFUNCTION("if(iferror(small(filter(Scores!B269:AX269,Scores!B269:AX269&gt;0),3),-1)&lt;&gt;iferror(small(filter(Scores!B269:AX269,Scores!B269:AX269&gt;0),2),-1),iferror(small(filter(Scores!B269:AX269,Scores!B269:AX269&gt;0),3),-1),-1)"),-1.0)</f>
        <v>-1</v>
      </c>
      <c r="I266" s="14">
        <f>IFERROR(__xludf.DUMMYFUNCTION("IFERROR(COLUMNS(filter(Scores!B269:AE269,Scores!B269:AE269)),"""")"),44.0)</f>
        <v>44</v>
      </c>
      <c r="J266" s="14">
        <f>COUNTIF(Scores!B269:AX269,B266)</f>
        <v>17</v>
      </c>
      <c r="K266" s="21">
        <f>IFERROR(__xludf.DUMMYFUNCTION("""COMPUTED_VALUE"""),258.0)</f>
        <v>258</v>
      </c>
      <c r="L266" s="36"/>
      <c r="S266" s="21">
        <v>230.0</v>
      </c>
      <c r="T266" s="14">
        <v>95.0</v>
      </c>
      <c r="U266" s="14">
        <v>2405.0</v>
      </c>
      <c r="W266" s="21">
        <v>334.0</v>
      </c>
      <c r="X266" s="14">
        <v>65.0</v>
      </c>
      <c r="Y266" s="14">
        <v>2435.0</v>
      </c>
      <c r="AA266" s="21">
        <v>313.0</v>
      </c>
      <c r="AB266" s="14">
        <v>41.0</v>
      </c>
      <c r="AC266" s="14">
        <v>61.0</v>
      </c>
    </row>
    <row r="267">
      <c r="A267" s="27">
        <f>HYPERLINK("https://arcprize.org/play?task=a740d043", 259)</f>
        <v>259</v>
      </c>
      <c r="B267" s="14">
        <f>IFERROR(__xludf.DUMMYFUNCTION("min(filter(Scores!B270:AX270,Scores!B270:AX270&gt;0))"),83.0)</f>
        <v>83</v>
      </c>
      <c r="C267" s="14">
        <v>2417.0</v>
      </c>
      <c r="D267" s="51" t="str">
        <f t="array" ref="D267">if(B267,if(countif(Scores!B270:AX270,B267)=1,concat("💎",XLOOKUP(B267,Scores!B270:AX270,Scores!B$1:AX$1)),concat("🥇 x",countif(Scores!B270:AX270,B267))),"")</f>
        <v>🥇 x2</v>
      </c>
      <c r="E267" s="14">
        <f>if(countif(Scores!B270:AX270,B267)=1,F267,-1)</f>
        <v>-1</v>
      </c>
      <c r="F267" s="14">
        <f t="shared" si="1"/>
        <v>83</v>
      </c>
      <c r="G267" s="14">
        <f>IFERROR(__xludf.DUMMYFUNCTION("if(iferror(small(filter(Scores!B270:AX270,Scores!B270:AX270&gt;0),2),-1)&lt;&gt;F267,iferror(small(filter(Scores!B270:AX270,Scores!B270:AX270&gt;0),2),-1),-1)"),-1.0)</f>
        <v>-1</v>
      </c>
      <c r="H267" s="14">
        <f>IFERROR(__xludf.DUMMYFUNCTION("if(iferror(small(filter(Scores!B270:AX270,Scores!B270:AX270&gt;0),3),-1)&lt;&gt;iferror(small(filter(Scores!B270:AX270,Scores!B270:AX270&gt;0),2),-1),iferror(small(filter(Scores!B270:AX270,Scores!B270:AX270&gt;0),3),-1),-1)"),85.0)</f>
        <v>85</v>
      </c>
      <c r="I267" s="14">
        <f>IFERROR(__xludf.DUMMYFUNCTION("IFERROR(COLUMNS(filter(Scores!B270:AE270,Scores!B270:AE270)),"""")"),40.0)</f>
        <v>40</v>
      </c>
      <c r="J267" s="14">
        <f>COUNTIF(Scores!B270:AX270,B267)</f>
        <v>2</v>
      </c>
      <c r="K267" s="21">
        <f>IFERROR(__xludf.DUMMYFUNCTION("""COMPUTED_VALUE"""),259.0)</f>
        <v>259</v>
      </c>
      <c r="L267" s="36"/>
      <c r="S267" s="21">
        <v>250.0</v>
      </c>
      <c r="T267" s="14">
        <v>95.0</v>
      </c>
      <c r="U267" s="14">
        <v>2405.0</v>
      </c>
      <c r="W267" s="21">
        <v>98.0</v>
      </c>
      <c r="X267" s="14">
        <v>64.0</v>
      </c>
      <c r="Y267" s="14">
        <v>2436.0</v>
      </c>
      <c r="AA267" s="21">
        <v>384.0</v>
      </c>
      <c r="AB267" s="14">
        <v>41.0</v>
      </c>
      <c r="AC267" s="14">
        <v>61.0</v>
      </c>
    </row>
    <row r="268">
      <c r="A268" s="27">
        <f>HYPERLINK("https://arcprize.org/play?task=a78176bb", 260)</f>
        <v>260</v>
      </c>
      <c r="B268" s="14">
        <f>IFERROR(__xludf.DUMMYFUNCTION("min(filter(Scores!B271:AX271,Scores!B271:AX271&gt;0))"),130.0)</f>
        <v>130</v>
      </c>
      <c r="C268" s="14">
        <v>2370.0</v>
      </c>
      <c r="D268" s="51" t="str">
        <f t="array" ref="D268">if(B268,if(countif(Scores!B271:AX271,B268)=1,concat("💎",XLOOKUP(B268,Scores!B271:AX271,Scores!B$1:AX$1)),concat("🥇 x",countif(Scores!B271:AX271,B268))),"")</f>
        <v>💎ox jam</v>
      </c>
      <c r="E268" s="14">
        <f>if(countif(Scores!B271:AX271,B268)=1,F268,-1)</f>
        <v>130</v>
      </c>
      <c r="F268" s="14">
        <f t="shared" si="1"/>
        <v>130</v>
      </c>
      <c r="G268" s="14">
        <f>IFERROR(__xludf.DUMMYFUNCTION("if(iferror(small(filter(Scores!B271:AX271,Scores!B271:AX271&gt;0),2),-1)&lt;&gt;F268,iferror(small(filter(Scores!B271:AX271,Scores!B271:AX271&gt;0),2),-1),-1)"),132.0)</f>
        <v>132</v>
      </c>
      <c r="H268" s="14">
        <f>IFERROR(__xludf.DUMMYFUNCTION("if(iferror(small(filter(Scores!B271:AX271,Scores!B271:AX271&gt;0),3),-1)&lt;&gt;iferror(small(filter(Scores!B271:AX271,Scores!B271:AX271&gt;0),2),-1),iferror(small(filter(Scores!B271:AX271,Scores!B271:AX271&gt;0),3),-1),-1)"),134.0)</f>
        <v>134</v>
      </c>
      <c r="I268" s="14">
        <f>IFERROR(__xludf.DUMMYFUNCTION("IFERROR(COLUMNS(filter(Scores!B271:AE271,Scores!B271:AE271)),"""")"),34.0)</f>
        <v>34</v>
      </c>
      <c r="J268" s="14">
        <f>COUNTIF(Scores!B271:AX271,B268)</f>
        <v>1</v>
      </c>
      <c r="K268" s="21">
        <f>IFERROR(__xludf.DUMMYFUNCTION("""COMPUTED_VALUE"""),260.0)</f>
        <v>260</v>
      </c>
      <c r="L268" s="36"/>
      <c r="S268" s="21">
        <v>355.0</v>
      </c>
      <c r="T268" s="14">
        <v>95.0</v>
      </c>
      <c r="U268" s="14">
        <v>2405.0</v>
      </c>
      <c r="W268" s="21">
        <v>114.0</v>
      </c>
      <c r="X268" s="14">
        <v>64.0</v>
      </c>
      <c r="Y268" s="14">
        <v>2436.0</v>
      </c>
      <c r="AA268" s="21">
        <v>293.0</v>
      </c>
      <c r="AB268" s="14">
        <v>41.0</v>
      </c>
      <c r="AC268" s="14">
        <v>59.0</v>
      </c>
    </row>
    <row r="269">
      <c r="A269" s="27">
        <f>HYPERLINK("https://arcprize.org/play?task=a79310a0", 261)</f>
        <v>261</v>
      </c>
      <c r="B269" s="14">
        <f>IFERROR(__xludf.DUMMYFUNCTION("min(filter(Scores!B272:AX272,Scores!B272:AX272&gt;0))"),47.0)</f>
        <v>47</v>
      </c>
      <c r="C269" s="14">
        <v>2453.0</v>
      </c>
      <c r="D269" s="51" t="str">
        <f t="array" ref="D269">if(B269,if(countif(Scores!B272:AX272,B269)=1,concat("💎",XLOOKUP(B269,Scores!B272:AX272,Scores!B$1:AX$1)),concat("🥇 x",countif(Scores!B272:AX272,B269))),"")</f>
        <v>🥇 x16</v>
      </c>
      <c r="E269" s="14">
        <f>if(countif(Scores!B272:AX272,B269)=1,F269,-1)</f>
        <v>-1</v>
      </c>
      <c r="F269" s="14">
        <f t="shared" si="1"/>
        <v>47</v>
      </c>
      <c r="G269" s="14">
        <f>IFERROR(__xludf.DUMMYFUNCTION("if(iferror(small(filter(Scores!B272:AX272,Scores!B272:AX272&gt;0),2),-1)&lt;&gt;F269,iferror(small(filter(Scores!B272:AX272,Scores!B272:AX272&gt;0),2),-1),-1)"),-1.0)</f>
        <v>-1</v>
      </c>
      <c r="H269" s="14">
        <f>IFERROR(__xludf.DUMMYFUNCTION("if(iferror(small(filter(Scores!B272:AX272,Scores!B272:AX272&gt;0),3),-1)&lt;&gt;iferror(small(filter(Scores!B272:AX272,Scores!B272:AX272&gt;0),2),-1),iferror(small(filter(Scores!B272:AX272,Scores!B272:AX272&gt;0),3),-1),-1)"),-1.0)</f>
        <v>-1</v>
      </c>
      <c r="I269" s="14">
        <f>IFERROR(__xludf.DUMMYFUNCTION("IFERROR(COLUMNS(filter(Scores!B272:AE272,Scores!B272:AE272)),"""")"),45.0)</f>
        <v>45</v>
      </c>
      <c r="J269" s="14">
        <f>COUNTIF(Scores!B272:AX272,B269)</f>
        <v>16</v>
      </c>
      <c r="K269" s="21">
        <f>IFERROR(__xludf.DUMMYFUNCTION("""COMPUTED_VALUE"""),261.0)</f>
        <v>261</v>
      </c>
      <c r="L269" s="36"/>
      <c r="S269" s="21">
        <v>94.0</v>
      </c>
      <c r="T269" s="14">
        <v>96.0</v>
      </c>
      <c r="U269" s="14">
        <v>2404.0</v>
      </c>
      <c r="W269" s="21">
        <v>203.0</v>
      </c>
      <c r="X269" s="14">
        <v>64.0</v>
      </c>
      <c r="Y269" s="14">
        <v>2436.0</v>
      </c>
      <c r="AA269" s="21">
        <v>128.0</v>
      </c>
      <c r="AB269" s="14">
        <v>41.0</v>
      </c>
      <c r="AC269" s="14">
        <v>57.0</v>
      </c>
    </row>
    <row r="270">
      <c r="A270" s="27">
        <f>HYPERLINK("https://arcprize.org/play?task=a85d4709", 262)</f>
        <v>262</v>
      </c>
      <c r="B270" s="14">
        <f>IFERROR(__xludf.DUMMYFUNCTION("min(filter(Scores!B273:AX273,Scores!B273:AX273&gt;0))"),39.0)</f>
        <v>39</v>
      </c>
      <c r="C270" s="14">
        <v>2461.0</v>
      </c>
      <c r="D270" s="51" t="str">
        <f t="array" ref="D270">if(B270,if(countif(Scores!B273:AX273,B270)=1,concat("💎",XLOOKUP(B270,Scores!B273:AX273,Scores!B$1:AX$1)),concat("🥇 x",countif(Scores!B273:AX273,B270))),"")</f>
        <v>🥇 x11</v>
      </c>
      <c r="E270" s="14">
        <f>if(countif(Scores!B273:AX273,B270)=1,F270,-1)</f>
        <v>-1</v>
      </c>
      <c r="F270" s="14">
        <f t="shared" si="1"/>
        <v>39</v>
      </c>
      <c r="G270" s="14">
        <f>IFERROR(__xludf.DUMMYFUNCTION("if(iferror(small(filter(Scores!B273:AX273,Scores!B273:AX273&gt;0),2),-1)&lt;&gt;F270,iferror(small(filter(Scores!B273:AX273,Scores!B273:AX273&gt;0),2),-1),-1)"),-1.0)</f>
        <v>-1</v>
      </c>
      <c r="H270" s="14">
        <f>IFERROR(__xludf.DUMMYFUNCTION("if(iferror(small(filter(Scores!B273:AX273,Scores!B273:AX273&gt;0),3),-1)&lt;&gt;iferror(small(filter(Scores!B273:AX273,Scores!B273:AX273&gt;0),2),-1),iferror(small(filter(Scores!B273:AX273,Scores!B273:AX273&gt;0),3),-1),-1)"),-1.0)</f>
        <v>-1</v>
      </c>
      <c r="I270" s="14">
        <f>IFERROR(__xludf.DUMMYFUNCTION("IFERROR(COLUMNS(filter(Scores!B273:AE273,Scores!B273:AE273)),"""")"),44.0)</f>
        <v>44</v>
      </c>
      <c r="J270" s="14">
        <f>COUNTIF(Scores!B273:AX273,B270)</f>
        <v>11</v>
      </c>
      <c r="K270" s="21">
        <f>IFERROR(__xludf.DUMMYFUNCTION("""COMPUTED_VALUE"""),262.0)</f>
        <v>262</v>
      </c>
      <c r="L270" s="36"/>
      <c r="S270" s="21">
        <v>154.0</v>
      </c>
      <c r="T270" s="14">
        <v>96.0</v>
      </c>
      <c r="U270" s="14">
        <v>2404.0</v>
      </c>
      <c r="W270" s="21">
        <v>359.0</v>
      </c>
      <c r="X270" s="14">
        <v>64.0</v>
      </c>
      <c r="Y270" s="14">
        <v>2436.0</v>
      </c>
      <c r="AA270" s="21">
        <v>305.0</v>
      </c>
      <c r="AB270" s="14">
        <v>41.0</v>
      </c>
      <c r="AC270" s="14">
        <v>56.0</v>
      </c>
    </row>
    <row r="271">
      <c r="A271" s="27">
        <f>HYPERLINK("https://arcprize.org/play?task=a87f7484", 263)</f>
        <v>263</v>
      </c>
      <c r="B271" s="14">
        <f>IFERROR(__xludf.DUMMYFUNCTION("min(filter(Scores!B274:AX274,Scores!B274:AX274&gt;0))"),106.0)</f>
        <v>106</v>
      </c>
      <c r="C271" s="14">
        <v>2394.0</v>
      </c>
      <c r="D271" s="51" t="str">
        <f t="array" ref="D271">if(B271,if(countif(Scores!B274:AX274,B271)=1,concat("💎",XLOOKUP(B271,Scores!B274:AX274,Scores!B$1:AX$1)),concat("🥇 x",countif(Scores!B274:AX274,B271))),"")</f>
        <v>💎Code Golf International</v>
      </c>
      <c r="E271" s="14">
        <f>if(countif(Scores!B274:AX274,B271)=1,F271,-1)</f>
        <v>106</v>
      </c>
      <c r="F271" s="14">
        <f t="shared" si="1"/>
        <v>106</v>
      </c>
      <c r="G271" s="14">
        <f>IFERROR(__xludf.DUMMYFUNCTION("if(iferror(small(filter(Scores!B274:AX274,Scores!B274:AX274&gt;0),2),-1)&lt;&gt;F271,iferror(small(filter(Scores!B274:AX274,Scores!B274:AX274&gt;0),2),-1),-1)"),112.0)</f>
        <v>112</v>
      </c>
      <c r="H271" s="14">
        <f>IFERROR(__xludf.DUMMYFUNCTION("if(iferror(small(filter(Scores!B274:AX274,Scores!B274:AX274&gt;0),3),-1)&lt;&gt;iferror(small(filter(Scores!B274:AX274,Scores!B274:AX274&gt;0),2),-1),iferror(small(filter(Scores!B274:AX274,Scores!B274:AX274&gt;0),3),-1),-1)"),-1.0)</f>
        <v>-1</v>
      </c>
      <c r="I271" s="14">
        <f>IFERROR(__xludf.DUMMYFUNCTION("IFERROR(COLUMNS(filter(Scores!B274:AE274,Scores!B274:AE274)),"""")"),38.0)</f>
        <v>38</v>
      </c>
      <c r="J271" s="14">
        <f>COUNTIF(Scores!B274:AX274,B271)</f>
        <v>1</v>
      </c>
      <c r="K271" s="21">
        <f>IFERROR(__xludf.DUMMYFUNCTION("""COMPUTED_VALUE"""),263.0)</f>
        <v>263</v>
      </c>
      <c r="L271" s="36"/>
      <c r="S271" s="21">
        <v>162.0</v>
      </c>
      <c r="T271" s="14">
        <v>96.0</v>
      </c>
      <c r="U271" s="14">
        <v>2404.0</v>
      </c>
      <c r="W271" s="21">
        <v>28.0</v>
      </c>
      <c r="X271" s="14">
        <v>63.0</v>
      </c>
      <c r="Y271" s="14">
        <v>2437.0</v>
      </c>
      <c r="AA271" s="21">
        <v>194.0</v>
      </c>
      <c r="AB271" s="14">
        <v>41.0</v>
      </c>
      <c r="AC271" s="14">
        <v>55.0</v>
      </c>
    </row>
    <row r="272">
      <c r="A272" s="27">
        <f>HYPERLINK("https://arcprize.org/play?task=a8c38be5", 264)</f>
        <v>264</v>
      </c>
      <c r="B272" s="14">
        <f>IFERROR(__xludf.DUMMYFUNCTION("min(filter(Scores!B275:AX275,Scores!B275:AX275&gt;0))"),178.0)</f>
        <v>178</v>
      </c>
      <c r="C272" s="14">
        <v>2322.0</v>
      </c>
      <c r="D272" s="51" t="str">
        <f t="array" ref="D272">if(B272,if(countif(Scores!B275:AX275,B272)=1,concat("💎",XLOOKUP(B272,Scores!B275:AX275,Scores!B$1:AX$1)),concat("🥇 x",countif(Scores!B275:AX275,B272))),"")</f>
        <v>💎Code Golf International</v>
      </c>
      <c r="E272" s="14">
        <f>if(countif(Scores!B275:AX275,B272)=1,F272,-1)</f>
        <v>178</v>
      </c>
      <c r="F272" s="14">
        <f t="shared" si="1"/>
        <v>178</v>
      </c>
      <c r="G272" s="14">
        <f>IFERROR(__xludf.DUMMYFUNCTION("if(iferror(small(filter(Scores!B275:AX275,Scores!B275:AX275&gt;0),2),-1)&lt;&gt;F272,iferror(small(filter(Scores!B275:AX275,Scores!B275:AX275&gt;0),2),-1),-1)"),182.0)</f>
        <v>182</v>
      </c>
      <c r="H272" s="14">
        <f>IFERROR(__xludf.DUMMYFUNCTION("if(iferror(small(filter(Scores!B275:AX275,Scores!B275:AX275&gt;0),3),-1)&lt;&gt;iferror(small(filter(Scores!B275:AX275,Scores!B275:AX275&gt;0),2),-1),iferror(small(filter(Scores!B275:AX275,Scores!B275:AX275&gt;0),3),-1),-1)"),189.0)</f>
        <v>189</v>
      </c>
      <c r="I272" s="14">
        <f>IFERROR(__xludf.DUMMYFUNCTION("IFERROR(COLUMNS(filter(Scores!B275:AE275,Scores!B275:AE275)),"""")"),34.0)</f>
        <v>34</v>
      </c>
      <c r="J272" s="14">
        <f>COUNTIF(Scores!B275:AX275,B272)</f>
        <v>1</v>
      </c>
      <c r="K272" s="21">
        <f>IFERROR(__xludf.DUMMYFUNCTION("""COMPUTED_VALUE"""),264.0)</f>
        <v>264</v>
      </c>
      <c r="L272" s="36"/>
      <c r="S272" s="21">
        <v>27.0</v>
      </c>
      <c r="T272" s="14">
        <v>97.0</v>
      </c>
      <c r="U272" s="14">
        <v>2403.0</v>
      </c>
      <c r="W272" s="21">
        <v>40.0</v>
      </c>
      <c r="X272" s="14">
        <v>63.0</v>
      </c>
      <c r="Y272" s="14">
        <v>2437.0</v>
      </c>
      <c r="AA272" s="21">
        <v>295.0</v>
      </c>
      <c r="AB272" s="14">
        <v>41.0</v>
      </c>
      <c r="AC272" s="14">
        <v>54.0</v>
      </c>
    </row>
    <row r="273">
      <c r="A273" s="27">
        <f>HYPERLINK("https://arcprize.org/play?task=a8d7556c", 265)</f>
        <v>265</v>
      </c>
      <c r="B273" s="14">
        <f>IFERROR(__xludf.DUMMYFUNCTION("min(filter(Scores!B276:AX276,Scores!B276:AX276&gt;0))"),104.0)</f>
        <v>104</v>
      </c>
      <c r="C273" s="14">
        <v>2396.0</v>
      </c>
      <c r="D273" s="51" t="str">
        <f t="array" ref="D273">if(B273,if(countif(Scores!B276:AX276,B273)=1,concat("💎",XLOOKUP(B273,Scores!B276:AX276,Scores!B$1:AX$1)),concat("🥇 x",countif(Scores!B276:AX276,B273))),"")</f>
        <v>💎Code Golf International</v>
      </c>
      <c r="E273" s="14">
        <f>if(countif(Scores!B276:AX276,B273)=1,F273,-1)</f>
        <v>104</v>
      </c>
      <c r="F273" s="14">
        <f t="shared" si="1"/>
        <v>104</v>
      </c>
      <c r="G273" s="14">
        <f>IFERROR(__xludf.DUMMYFUNCTION("if(iferror(small(filter(Scores!B276:AX276,Scores!B276:AX276&gt;0),2),-1)&lt;&gt;F273,iferror(small(filter(Scores!B276:AX276,Scores!B276:AX276&gt;0),2),-1),-1)"),107.0)</f>
        <v>107</v>
      </c>
      <c r="H273" s="14">
        <f>IFERROR(__xludf.DUMMYFUNCTION("if(iferror(small(filter(Scores!B276:AX276,Scores!B276:AX276&gt;0),3),-1)&lt;&gt;iferror(small(filter(Scores!B276:AX276,Scores!B276:AX276&gt;0),2),-1),iferror(small(filter(Scores!B276:AX276,Scores!B276:AX276&gt;0),3),-1),-1)"),115.0)</f>
        <v>115</v>
      </c>
      <c r="I273" s="14">
        <f>IFERROR(__xludf.DUMMYFUNCTION("IFERROR(COLUMNS(filter(Scores!B276:AE276,Scores!B276:AE276)),"""")"),34.0)</f>
        <v>34</v>
      </c>
      <c r="J273" s="14">
        <f>COUNTIF(Scores!B276:AX276,B273)</f>
        <v>1</v>
      </c>
      <c r="K273" s="21">
        <f>IFERROR(__xludf.DUMMYFUNCTION("""COMPUTED_VALUE"""),265.0)</f>
        <v>265</v>
      </c>
      <c r="L273" s="36"/>
      <c r="S273" s="21">
        <v>93.0</v>
      </c>
      <c r="T273" s="14">
        <v>98.0</v>
      </c>
      <c r="U273" s="14">
        <v>2402.0</v>
      </c>
      <c r="W273" s="21">
        <v>269.0</v>
      </c>
      <c r="X273" s="14">
        <v>63.0</v>
      </c>
      <c r="Y273" s="14">
        <v>2437.0</v>
      </c>
      <c r="AA273" s="21">
        <v>299.0</v>
      </c>
      <c r="AB273" s="14">
        <v>41.0</v>
      </c>
      <c r="AC273" s="14">
        <v>54.0</v>
      </c>
    </row>
    <row r="274">
      <c r="A274" s="27">
        <f>HYPERLINK("https://arcprize.org/play?task=a9f96cdd", 266)</f>
        <v>266</v>
      </c>
      <c r="B274" s="14">
        <f>IFERROR(__xludf.DUMMYFUNCTION("min(filter(Scores!B277:AX277,Scores!B277:AX277&gt;0))"),88.0)</f>
        <v>88</v>
      </c>
      <c r="C274" s="14">
        <v>2412.0</v>
      </c>
      <c r="D274" s="51" t="str">
        <f t="array" ref="D274">if(B274,if(countif(Scores!B277:AX277,B274)=1,concat("💎",XLOOKUP(B274,Scores!B277:AX277,Scores!B$1:AX$1)),concat("🥇 x",countif(Scores!B277:AX277,B274))),"")</f>
        <v>💎Code Golf International</v>
      </c>
      <c r="E274" s="14">
        <f>if(countif(Scores!B277:AX277,B274)=1,F274,-1)</f>
        <v>88</v>
      </c>
      <c r="F274" s="14">
        <f t="shared" si="1"/>
        <v>88</v>
      </c>
      <c r="G274" s="14">
        <f>IFERROR(__xludf.DUMMYFUNCTION("if(iferror(small(filter(Scores!B277:AX277,Scores!B277:AX277&gt;0),2),-1)&lt;&gt;F274,iferror(small(filter(Scores!B277:AX277,Scores!B277:AX277&gt;0),2),-1),-1)"),98.0)</f>
        <v>98</v>
      </c>
      <c r="H274" s="14">
        <f>IFERROR(__xludf.DUMMYFUNCTION("if(iferror(small(filter(Scores!B277:AX277,Scores!B277:AX277&gt;0),3),-1)&lt;&gt;iferror(small(filter(Scores!B277:AX277,Scores!B277:AX277&gt;0),2),-1),iferror(small(filter(Scores!B277:AX277,Scores!B277:AX277&gt;0),3),-1),-1)"),-1.0)</f>
        <v>-1</v>
      </c>
      <c r="I274" s="14">
        <f>IFERROR(__xludf.DUMMYFUNCTION("IFERROR(COLUMNS(filter(Scores!B277:AE277,Scores!B277:AE277)),"""")"),39.0)</f>
        <v>39</v>
      </c>
      <c r="J274" s="14">
        <f>COUNTIF(Scores!B277:AX277,B274)</f>
        <v>1</v>
      </c>
      <c r="K274" s="21">
        <f>IFERROR(__xludf.DUMMYFUNCTION("""COMPUTED_VALUE"""),266.0)</f>
        <v>266</v>
      </c>
      <c r="L274" s="36"/>
      <c r="S274" s="21">
        <v>202.0</v>
      </c>
      <c r="T274" s="14">
        <v>98.0</v>
      </c>
      <c r="U274" s="14">
        <v>2402.0</v>
      </c>
      <c r="W274" s="21">
        <v>289.0</v>
      </c>
      <c r="X274" s="14">
        <v>63.0</v>
      </c>
      <c r="Y274" s="14">
        <v>2437.0</v>
      </c>
      <c r="AA274" s="21">
        <v>188.0</v>
      </c>
      <c r="AB274" s="14">
        <v>41.0</v>
      </c>
      <c r="AC274" s="14">
        <v>53.0</v>
      </c>
    </row>
    <row r="275">
      <c r="A275" s="27">
        <f>HYPERLINK("https://arcprize.org/play?task=aabf363d", 267)</f>
        <v>267</v>
      </c>
      <c r="B275" s="14">
        <f>IFERROR(__xludf.DUMMYFUNCTION("min(filter(Scores!B278:AX278,Scores!B278:AX278&gt;0))"),46.0)</f>
        <v>46</v>
      </c>
      <c r="C275" s="14">
        <v>2454.0</v>
      </c>
      <c r="D275" s="51" t="str">
        <f t="array" ref="D275">if(B275,if(countif(Scores!B278:AX278,B275)=1,concat("💎",XLOOKUP(B275,Scores!B278:AX278,Scores!B$1:AX$1)),concat("🥇 x",countif(Scores!B278:AX278,B275))),"")</f>
        <v>🥇 x8</v>
      </c>
      <c r="E275" s="14">
        <f>if(countif(Scores!B278:AX278,B275)=1,F275,-1)</f>
        <v>-1</v>
      </c>
      <c r="F275" s="14">
        <f t="shared" si="1"/>
        <v>46</v>
      </c>
      <c r="G275" s="14">
        <f>IFERROR(__xludf.DUMMYFUNCTION("if(iferror(small(filter(Scores!B278:AX278,Scores!B278:AX278&gt;0),2),-1)&lt;&gt;F275,iferror(small(filter(Scores!B278:AX278,Scores!B278:AX278&gt;0),2),-1),-1)"),-1.0)</f>
        <v>-1</v>
      </c>
      <c r="H275" s="14">
        <f>IFERROR(__xludf.DUMMYFUNCTION("if(iferror(small(filter(Scores!B278:AX278,Scores!B278:AX278&gt;0),3),-1)&lt;&gt;iferror(small(filter(Scores!B278:AX278,Scores!B278:AX278&gt;0),2),-1),iferror(small(filter(Scores!B278:AX278,Scores!B278:AX278&gt;0),3),-1),-1)"),-1.0)</f>
        <v>-1</v>
      </c>
      <c r="I275" s="14">
        <f>IFERROR(__xludf.DUMMYFUNCTION("IFERROR(COLUMNS(filter(Scores!B278:AE278,Scores!B278:AE278)),"""")"),44.0)</f>
        <v>44</v>
      </c>
      <c r="J275" s="14">
        <f>COUNTIF(Scores!B278:AX278,B275)</f>
        <v>8</v>
      </c>
      <c r="K275" s="21">
        <f>IFERROR(__xludf.DUMMYFUNCTION("""COMPUTED_VALUE"""),267.0)</f>
        <v>267</v>
      </c>
      <c r="L275" s="36"/>
      <c r="S275" s="21">
        <v>245.0</v>
      </c>
      <c r="T275" s="14">
        <v>98.0</v>
      </c>
      <c r="U275" s="14">
        <v>2402.0</v>
      </c>
      <c r="W275" s="21">
        <v>306.0</v>
      </c>
      <c r="X275" s="14">
        <v>63.0</v>
      </c>
      <c r="Y275" s="14">
        <v>2437.0</v>
      </c>
      <c r="AA275" s="21">
        <v>115.0</v>
      </c>
      <c r="AB275" s="14">
        <v>41.0</v>
      </c>
      <c r="AC275" s="14">
        <v>51.0</v>
      </c>
    </row>
    <row r="276">
      <c r="A276" s="27">
        <f>HYPERLINK("https://arcprize.org/play?task=aba27056", 268)</f>
        <v>268</v>
      </c>
      <c r="B276" s="14">
        <f>IFERROR(__xludf.DUMMYFUNCTION("min(filter(Scores!B279:AX279,Scores!B279:AX279&gt;0))"),190.0)</f>
        <v>190</v>
      </c>
      <c r="C276" s="14">
        <v>2310.0</v>
      </c>
      <c r="D276" s="51" t="str">
        <f t="array" ref="D276">if(B276,if(countif(Scores!B279:AX279,B276)=1,concat("💎",XLOOKUP(B276,Scores!B279:AX279,Scores!B$1:AX$1)),concat("🥇 x",countif(Scores!B279:AX279,B276))),"")</f>
        <v>💎jailctf merger</v>
      </c>
      <c r="E276" s="14">
        <f>if(countif(Scores!B279:AX279,B276)=1,F276,-1)</f>
        <v>190</v>
      </c>
      <c r="F276" s="14">
        <f t="shared" si="1"/>
        <v>190</v>
      </c>
      <c r="G276" s="14">
        <f>IFERROR(__xludf.DUMMYFUNCTION("if(iferror(small(filter(Scores!B279:AX279,Scores!B279:AX279&gt;0),2),-1)&lt;&gt;F276,iferror(small(filter(Scores!B279:AX279,Scores!B279:AX279&gt;0),2),-1),-1)"),215.0)</f>
        <v>215</v>
      </c>
      <c r="H276" s="14">
        <f>IFERROR(__xludf.DUMMYFUNCTION("if(iferror(small(filter(Scores!B279:AX279,Scores!B279:AX279&gt;0),3),-1)&lt;&gt;iferror(small(filter(Scores!B279:AX279,Scores!B279:AX279&gt;0),2),-1),iferror(small(filter(Scores!B279:AX279,Scores!B279:AX279&gt;0),3),-1),-1)"),216.0)</f>
        <v>216</v>
      </c>
      <c r="I276" s="14">
        <f>IFERROR(__xludf.DUMMYFUNCTION("IFERROR(COLUMNS(filter(Scores!B279:AE279,Scores!B279:AE279)),"""")"),34.0)</f>
        <v>34</v>
      </c>
      <c r="J276" s="14">
        <f>COUNTIF(Scores!B279:AX279,B276)</f>
        <v>1</v>
      </c>
      <c r="K276" s="21">
        <f>IFERROR(__xludf.DUMMYFUNCTION("""COMPUTED_VALUE"""),268.0)</f>
        <v>268</v>
      </c>
      <c r="L276" s="36"/>
      <c r="S276" s="21">
        <v>390.0</v>
      </c>
      <c r="T276" s="14">
        <v>98.0</v>
      </c>
      <c r="U276" s="14">
        <v>2402.0</v>
      </c>
      <c r="W276" s="21">
        <v>315.0</v>
      </c>
      <c r="X276" s="14">
        <v>63.0</v>
      </c>
      <c r="Y276" s="14">
        <v>2437.0</v>
      </c>
      <c r="AA276" s="21">
        <v>11.0</v>
      </c>
      <c r="AB276" s="14">
        <v>42.0</v>
      </c>
      <c r="AC276" s="14">
        <v>114.0</v>
      </c>
    </row>
    <row r="277">
      <c r="A277" s="27">
        <f>HYPERLINK("https://arcprize.org/play?task=ac0a08a4", 269)</f>
        <v>269</v>
      </c>
      <c r="B277" s="14">
        <f>IFERROR(__xludf.DUMMYFUNCTION("min(filter(Scores!B280:AX280,Scores!B280:AX280&gt;0))"),63.0)</f>
        <v>63</v>
      </c>
      <c r="C277" s="14">
        <v>2437.0</v>
      </c>
      <c r="D277" s="51" t="str">
        <f t="array" ref="D277">if(B277,if(countif(Scores!B280:AX280,B277)=1,concat("💎",XLOOKUP(B277,Scores!B280:AX280,Scores!B$1:AX$1)),concat("🥇 x",countif(Scores!B280:AX280,B277))),"")</f>
        <v>🥇 x4</v>
      </c>
      <c r="E277" s="14">
        <f>if(countif(Scores!B280:AX280,B277)=1,F277,-1)</f>
        <v>-1</v>
      </c>
      <c r="F277" s="14">
        <f t="shared" si="1"/>
        <v>63</v>
      </c>
      <c r="G277" s="14">
        <f>IFERROR(__xludf.DUMMYFUNCTION("if(iferror(small(filter(Scores!B280:AX280,Scores!B280:AX280&gt;0),2),-1)&lt;&gt;F277,iferror(small(filter(Scores!B280:AX280,Scores!B280:AX280&gt;0),2),-1),-1)"),-1.0)</f>
        <v>-1</v>
      </c>
      <c r="H277" s="14">
        <f>IFERROR(__xludf.DUMMYFUNCTION("if(iferror(small(filter(Scores!B280:AX280,Scores!B280:AX280&gt;0),3),-1)&lt;&gt;iferror(small(filter(Scores!B280:AX280,Scores!B280:AX280&gt;0),2),-1),iferror(small(filter(Scores!B280:AX280,Scores!B280:AX280&gt;0),3),-1),-1)"),-1.0)</f>
        <v>-1</v>
      </c>
      <c r="I277" s="14">
        <f>IFERROR(__xludf.DUMMYFUNCTION("IFERROR(COLUMNS(filter(Scores!B280:AE280,Scores!B280:AE280)),"""")"),42.0)</f>
        <v>42</v>
      </c>
      <c r="J277" s="14">
        <f>COUNTIF(Scores!B280:AX280,B277)</f>
        <v>4</v>
      </c>
      <c r="K277" s="21">
        <f>IFERROR(__xludf.DUMMYFUNCTION("""COMPUTED_VALUE"""),269.0)</f>
        <v>269</v>
      </c>
      <c r="L277" s="36"/>
      <c r="S277" s="21">
        <v>68.0</v>
      </c>
      <c r="T277" s="14">
        <v>99.0</v>
      </c>
      <c r="U277" s="14">
        <v>2401.0</v>
      </c>
      <c r="W277" s="21">
        <v>343.0</v>
      </c>
      <c r="X277" s="14">
        <v>63.0</v>
      </c>
      <c r="Y277" s="14">
        <v>2437.0</v>
      </c>
      <c r="AA277" s="21">
        <v>300.0</v>
      </c>
      <c r="AB277" s="14">
        <v>42.0</v>
      </c>
      <c r="AC277" s="14">
        <v>87.0</v>
      </c>
    </row>
    <row r="278">
      <c r="A278" s="27">
        <f>HYPERLINK("https://arcprize.org/play?task=ae3edfdc", 270)</f>
        <v>270</v>
      </c>
      <c r="B278" s="14">
        <f>IFERROR(__xludf.DUMMYFUNCTION("min(filter(Scores!B281:AX281,Scores!B281:AX281&gt;0))"),115.0)</f>
        <v>115</v>
      </c>
      <c r="C278" s="14">
        <v>2385.0</v>
      </c>
      <c r="D278" s="51" t="str">
        <f t="array" ref="D278">if(B278,if(countif(Scores!B281:AX281,B278)=1,concat("💎",XLOOKUP(B278,Scores!B281:AX281,Scores!B$1:AX$1)),concat("🥇 x",countif(Scores!B281:AX281,B278))),"")</f>
        <v>🥇 x2</v>
      </c>
      <c r="E278" s="14">
        <f>if(countif(Scores!B281:AX281,B278)=1,F278,-1)</f>
        <v>-1</v>
      </c>
      <c r="F278" s="14">
        <f t="shared" si="1"/>
        <v>115</v>
      </c>
      <c r="G278" s="14">
        <f>IFERROR(__xludf.DUMMYFUNCTION("if(iferror(small(filter(Scores!B281:AX281,Scores!B281:AX281&gt;0),2),-1)&lt;&gt;F278,iferror(small(filter(Scores!B281:AX281,Scores!B281:AX281&gt;0),2),-1),-1)"),-1.0)</f>
        <v>-1</v>
      </c>
      <c r="H278" s="14">
        <f>IFERROR(__xludf.DUMMYFUNCTION("if(iferror(small(filter(Scores!B281:AX281,Scores!B281:AX281&gt;0),3),-1)&lt;&gt;iferror(small(filter(Scores!B281:AX281,Scores!B281:AX281&gt;0),2),-1),iferror(small(filter(Scores!B281:AX281,Scores!B281:AX281&gt;0),3),-1),-1)"),116.0)</f>
        <v>116</v>
      </c>
      <c r="I278" s="14">
        <f>IFERROR(__xludf.DUMMYFUNCTION("IFERROR(COLUMNS(filter(Scores!B281:AE281,Scores!B281:AE281)),"""")"),35.0)</f>
        <v>35</v>
      </c>
      <c r="J278" s="14">
        <f>COUNTIF(Scores!B281:AX281,B278)</f>
        <v>2</v>
      </c>
      <c r="K278" s="21">
        <f>IFERROR(__xludf.DUMMYFUNCTION("""COMPUTED_VALUE"""),270.0)</f>
        <v>270</v>
      </c>
      <c r="L278" s="36"/>
      <c r="S278" s="21">
        <v>192.0</v>
      </c>
      <c r="T278" s="14">
        <v>99.0</v>
      </c>
      <c r="U278" s="14">
        <v>2401.0</v>
      </c>
      <c r="W278" s="21">
        <v>391.0</v>
      </c>
      <c r="X278" s="14">
        <v>63.0</v>
      </c>
      <c r="Y278" s="14">
        <v>2437.0</v>
      </c>
      <c r="AA278" s="21">
        <v>132.0</v>
      </c>
      <c r="AB278" s="14">
        <v>42.0</v>
      </c>
      <c r="AC278" s="14">
        <v>86.0</v>
      </c>
    </row>
    <row r="279">
      <c r="A279" s="27">
        <f>HYPERLINK("https://arcprize.org/play?task=ae4f1146", 271)</f>
        <v>271</v>
      </c>
      <c r="B279" s="14">
        <f>IFERROR(__xludf.DUMMYFUNCTION("min(filter(Scores!B282:AX282,Scores!B282:AX282&gt;0))"),86.0)</f>
        <v>86</v>
      </c>
      <c r="C279" s="14">
        <v>2414.0</v>
      </c>
      <c r="D279" s="51" t="str">
        <f t="array" ref="D279">if(B279,if(countif(Scores!B282:AX282,B279)=1,concat("💎",XLOOKUP(B279,Scores!B282:AX282,Scores!B$1:AX$1)),concat("🥇 x",countif(Scores!B282:AX282,B279))),"")</f>
        <v>🥇 x2</v>
      </c>
      <c r="E279" s="14">
        <f>if(countif(Scores!B282:AX282,B279)=1,F279,-1)</f>
        <v>-1</v>
      </c>
      <c r="F279" s="14">
        <f t="shared" si="1"/>
        <v>86</v>
      </c>
      <c r="G279" s="14">
        <f>IFERROR(__xludf.DUMMYFUNCTION("if(iferror(small(filter(Scores!B282:AX282,Scores!B282:AX282&gt;0),2),-1)&lt;&gt;F279,iferror(small(filter(Scores!B282:AX282,Scores!B282:AX282&gt;0),2),-1),-1)"),-1.0)</f>
        <v>-1</v>
      </c>
      <c r="H279" s="14">
        <f>IFERROR(__xludf.DUMMYFUNCTION("if(iferror(small(filter(Scores!B282:AX282,Scores!B282:AX282&gt;0),3),-1)&lt;&gt;iferror(small(filter(Scores!B282:AX282,Scores!B282:AX282&gt;0),2),-1),iferror(small(filter(Scores!B282:AX282,Scores!B282:AX282&gt;0),3),-1),-1)"),90.0)</f>
        <v>90</v>
      </c>
      <c r="I279" s="14">
        <f>IFERROR(__xludf.DUMMYFUNCTION("IFERROR(COLUMNS(filter(Scores!B282:AE282,Scores!B282:AE282)),"""")"),39.0)</f>
        <v>39</v>
      </c>
      <c r="J279" s="14">
        <f>COUNTIF(Scores!B282:AX282,B279)</f>
        <v>2</v>
      </c>
      <c r="K279" s="21">
        <f>IFERROR(__xludf.DUMMYFUNCTION("""COMPUTED_VALUE"""),271.0)</f>
        <v>271</v>
      </c>
      <c r="L279" s="36"/>
      <c r="S279" s="21">
        <v>239.0</v>
      </c>
      <c r="T279" s="14">
        <v>99.0</v>
      </c>
      <c r="U279" s="14">
        <v>2401.0</v>
      </c>
      <c r="W279" s="21">
        <v>393.0</v>
      </c>
      <c r="X279" s="14">
        <v>63.0</v>
      </c>
      <c r="Y279" s="14">
        <v>2437.0</v>
      </c>
      <c r="AA279" s="21">
        <v>353.0</v>
      </c>
      <c r="AB279" s="14">
        <v>42.0</v>
      </c>
      <c r="AC279" s="14">
        <v>83.0</v>
      </c>
    </row>
    <row r="280">
      <c r="A280" s="27">
        <f>HYPERLINK("https://arcprize.org/play?task=aedd82e4", 272)</f>
        <v>272</v>
      </c>
      <c r="B280" s="14">
        <f>IFERROR(__xludf.DUMMYFUNCTION("min(filter(Scores!B283:AX283,Scores!B283:AX283&gt;0))"),71.0)</f>
        <v>71</v>
      </c>
      <c r="C280" s="14">
        <v>2429.0</v>
      </c>
      <c r="D280" s="51" t="str">
        <f t="array" ref="D280">if(B280,if(countif(Scores!B283:AX283,B280)=1,concat("💎",XLOOKUP(B280,Scores!B283:AX283,Scores!B$1:AX$1)),concat("🥇 x",countif(Scores!B283:AX283,B280))),"")</f>
        <v>💎ox jam</v>
      </c>
      <c r="E280" s="14">
        <f>if(countif(Scores!B283:AX283,B280)=1,F280,-1)</f>
        <v>71</v>
      </c>
      <c r="F280" s="14">
        <f t="shared" si="1"/>
        <v>71</v>
      </c>
      <c r="G280" s="14">
        <f>IFERROR(__xludf.DUMMYFUNCTION("if(iferror(small(filter(Scores!B283:AX283,Scores!B283:AX283&gt;0),2),-1)&lt;&gt;F280,iferror(small(filter(Scores!B283:AX283,Scores!B283:AX283&gt;0),2),-1),-1)"),87.0)</f>
        <v>87</v>
      </c>
      <c r="H280" s="14">
        <f>IFERROR(__xludf.DUMMYFUNCTION("if(iferror(small(filter(Scores!B283:AX283,Scores!B283:AX283&gt;0),3),-1)&lt;&gt;iferror(small(filter(Scores!B283:AX283,Scores!B283:AX283&gt;0),2),-1),iferror(small(filter(Scores!B283:AX283,Scores!B283:AX283&gt;0),3),-1),-1)"),88.0)</f>
        <v>88</v>
      </c>
      <c r="I280" s="14">
        <f>IFERROR(__xludf.DUMMYFUNCTION("IFERROR(COLUMNS(filter(Scores!B283:AE283,Scores!B283:AE283)),"""")"),40.0)</f>
        <v>40</v>
      </c>
      <c r="J280" s="14">
        <f>COUNTIF(Scores!B283:AX283,B280)</f>
        <v>1</v>
      </c>
      <c r="K280" s="21">
        <f>IFERROR(__xludf.DUMMYFUNCTION("""COMPUTED_VALUE"""),272.0)</f>
        <v>272</v>
      </c>
      <c r="L280" s="36"/>
      <c r="S280" s="21">
        <v>71.0</v>
      </c>
      <c r="T280" s="14">
        <v>100.0</v>
      </c>
      <c r="U280" s="14">
        <v>2400.0</v>
      </c>
      <c r="W280" s="21">
        <v>7.0</v>
      </c>
      <c r="X280" s="14">
        <v>62.0</v>
      </c>
      <c r="Y280" s="14">
        <v>2438.0</v>
      </c>
      <c r="AA280" s="21">
        <v>65.0</v>
      </c>
      <c r="AB280" s="14">
        <v>42.0</v>
      </c>
      <c r="AC280" s="14">
        <v>82.0</v>
      </c>
    </row>
    <row r="281">
      <c r="A281" s="27">
        <f>HYPERLINK("https://arcprize.org/play?task=af902bf9", 273)</f>
        <v>273</v>
      </c>
      <c r="B281" s="14">
        <f>IFERROR(__xludf.DUMMYFUNCTION("min(filter(Scores!B284:AX284,Scores!B284:AX284&gt;0))"),75.0)</f>
        <v>75</v>
      </c>
      <c r="C281" s="14">
        <v>2425.0</v>
      </c>
      <c r="D281" s="51" t="str">
        <f t="array" ref="D281">if(B281,if(countif(Scores!B284:AX284,B281)=1,concat("💎",XLOOKUP(B281,Scores!B284:AX284,Scores!B$1:AX$1)),concat("🥇 x",countif(Scores!B284:AX284,B281))),"")</f>
        <v>💎Code Golf International</v>
      </c>
      <c r="E281" s="14">
        <f>if(countif(Scores!B284:AX284,B281)=1,F281,-1)</f>
        <v>75</v>
      </c>
      <c r="F281" s="14">
        <f t="shared" si="1"/>
        <v>75</v>
      </c>
      <c r="G281" s="14">
        <f>IFERROR(__xludf.DUMMYFUNCTION("if(iferror(small(filter(Scores!B284:AX284,Scores!B284:AX284&gt;0),2),-1)&lt;&gt;F281,iferror(small(filter(Scores!B284:AX284,Scores!B284:AX284&gt;0),2),-1),-1)"),81.0)</f>
        <v>81</v>
      </c>
      <c r="H281" s="14">
        <f>IFERROR(__xludf.DUMMYFUNCTION("if(iferror(small(filter(Scores!B284:AX284,Scores!B284:AX284&gt;0),3),-1)&lt;&gt;iferror(small(filter(Scores!B284:AX284,Scores!B284:AX284&gt;0),2),-1),iferror(small(filter(Scores!B284:AX284,Scores!B284:AX284&gt;0),3),-1),-1)"),85.0)</f>
        <v>85</v>
      </c>
      <c r="I281" s="14">
        <f>IFERROR(__xludf.DUMMYFUNCTION("IFERROR(COLUMNS(filter(Scores!B284:AE284,Scores!B284:AE284)),"""")"),36.0)</f>
        <v>36</v>
      </c>
      <c r="J281" s="14">
        <f>COUNTIF(Scores!B284:AX284,B281)</f>
        <v>1</v>
      </c>
      <c r="K281" s="21">
        <f>IFERROR(__xludf.DUMMYFUNCTION("""COMPUTED_VALUE"""),273.0)</f>
        <v>273</v>
      </c>
      <c r="L281" s="36"/>
      <c r="S281" s="21">
        <v>151.0</v>
      </c>
      <c r="T281" s="14">
        <v>100.0</v>
      </c>
      <c r="U281" s="14">
        <v>2400.0</v>
      </c>
      <c r="W281" s="21">
        <v>24.0</v>
      </c>
      <c r="X281" s="14">
        <v>62.0</v>
      </c>
      <c r="Y281" s="14">
        <v>2438.0</v>
      </c>
      <c r="AA281" s="21">
        <v>49.0</v>
      </c>
      <c r="AB281" s="14">
        <v>42.0</v>
      </c>
      <c r="AC281" s="14">
        <v>81.0</v>
      </c>
    </row>
    <row r="282">
      <c r="A282" s="27">
        <f>HYPERLINK("https://arcprize.org/play?task=b0c4d837", 274)</f>
        <v>274</v>
      </c>
      <c r="B282" s="14">
        <f>IFERROR(__xludf.DUMMYFUNCTION("min(filter(Scores!B285:AX285,Scores!B285:AX285&gt;0))"),65.0)</f>
        <v>65</v>
      </c>
      <c r="C282" s="14">
        <v>2435.0</v>
      </c>
      <c r="D282" s="51" t="str">
        <f t="array" ref="D282">if(B282,if(countif(Scores!B285:AX285,B282)=1,concat("💎",XLOOKUP(B282,Scores!B285:AX285,Scores!B$1:AX$1)),concat("🥇 x",countif(Scores!B285:AX285,B282))),"")</f>
        <v>💎lv1.dev</v>
      </c>
      <c r="E282" s="14">
        <f>if(countif(Scores!B285:AX285,B282)=1,F282,-1)</f>
        <v>65</v>
      </c>
      <c r="F282" s="14">
        <f t="shared" si="1"/>
        <v>65</v>
      </c>
      <c r="G282" s="14">
        <f>IFERROR(__xludf.DUMMYFUNCTION("if(iferror(small(filter(Scores!B285:AX285,Scores!B285:AX285&gt;0),2),-1)&lt;&gt;F282,iferror(small(filter(Scores!B285:AX285,Scores!B285:AX285&gt;0),2),-1),-1)"),67.0)</f>
        <v>67</v>
      </c>
      <c r="H282" s="14">
        <f>IFERROR(__xludf.DUMMYFUNCTION("if(iferror(small(filter(Scores!B285:AX285,Scores!B285:AX285&gt;0),3),-1)&lt;&gt;iferror(small(filter(Scores!B285:AX285,Scores!B285:AX285&gt;0),2),-1),iferror(small(filter(Scores!B285:AX285,Scores!B285:AX285&gt;0),3),-1),-1)"),70.0)</f>
        <v>70</v>
      </c>
      <c r="I282" s="14">
        <f>IFERROR(__xludf.DUMMYFUNCTION("IFERROR(COLUMNS(filter(Scores!B285:AE285,Scores!B285:AE285)),"""")"),41.0)</f>
        <v>41</v>
      </c>
      <c r="J282" s="14">
        <f>COUNTIF(Scores!B285:AX285,B282)</f>
        <v>1</v>
      </c>
      <c r="K282" s="21">
        <f>IFERROR(__xludf.DUMMYFUNCTION("""COMPUTED_VALUE"""),274.0)</f>
        <v>274</v>
      </c>
      <c r="L282" s="36"/>
      <c r="S282" s="21">
        <v>160.0</v>
      </c>
      <c r="T282" s="14">
        <v>100.0</v>
      </c>
      <c r="U282" s="14">
        <v>2400.0</v>
      </c>
      <c r="W282" s="21">
        <v>61.0</v>
      </c>
      <c r="X282" s="14">
        <v>62.0</v>
      </c>
      <c r="Y282" s="14">
        <v>2438.0</v>
      </c>
      <c r="AA282" s="21">
        <v>81.0</v>
      </c>
      <c r="AB282" s="14">
        <v>42.0</v>
      </c>
      <c r="AC282" s="14">
        <v>81.0</v>
      </c>
    </row>
    <row r="283">
      <c r="A283" s="27">
        <f>HYPERLINK("https://arcprize.org/play?task=b190f7f5", 275)</f>
        <v>275</v>
      </c>
      <c r="B283" s="14">
        <f>IFERROR(__xludf.DUMMYFUNCTION("min(filter(Scores!B286:AX286,Scores!B286:AX286&gt;0))"),126.0)</f>
        <v>126</v>
      </c>
      <c r="C283" s="14">
        <v>2374.0</v>
      </c>
      <c r="D283" s="51" t="str">
        <f t="array" ref="D283">if(B283,if(countif(Scores!B286:AX286,B283)=1,concat("💎",XLOOKUP(B283,Scores!B286:AX286,Scores!B$1:AX$1)),concat("🥇 x",countif(Scores!B286:AX286,B283))),"")</f>
        <v>💎lv1.dev</v>
      </c>
      <c r="E283" s="14">
        <f>if(countif(Scores!B286:AX286,B283)=1,F283,-1)</f>
        <v>126</v>
      </c>
      <c r="F283" s="14">
        <f t="shared" si="1"/>
        <v>126</v>
      </c>
      <c r="G283" s="14">
        <f>IFERROR(__xludf.DUMMYFUNCTION("if(iferror(small(filter(Scores!B286:AX286,Scores!B286:AX286&gt;0),2),-1)&lt;&gt;F283,iferror(small(filter(Scores!B286:AX286,Scores!B286:AX286&gt;0),2),-1),-1)"),130.0)</f>
        <v>130</v>
      </c>
      <c r="H283" s="14">
        <f>IFERROR(__xludf.DUMMYFUNCTION("if(iferror(small(filter(Scores!B286:AX286,Scores!B286:AX286&gt;0),3),-1)&lt;&gt;iferror(small(filter(Scores!B286:AX286,Scores!B286:AX286&gt;0),2),-1),iferror(small(filter(Scores!B286:AX286,Scores!B286:AX286&gt;0),3),-1),-1)"),131.0)</f>
        <v>131</v>
      </c>
      <c r="I283" s="14">
        <f>IFERROR(__xludf.DUMMYFUNCTION("IFERROR(COLUMNS(filter(Scores!B286:AE286,Scores!B286:AE286)),"""")"),38.0)</f>
        <v>38</v>
      </c>
      <c r="J283" s="14">
        <f>COUNTIF(Scores!B286:AX286,B283)</f>
        <v>1</v>
      </c>
      <c r="K283" s="21">
        <f>IFERROR(__xludf.DUMMYFUNCTION("""COMPUTED_VALUE"""),275.0)</f>
        <v>275</v>
      </c>
      <c r="L283" s="36"/>
      <c r="S283" s="21">
        <v>323.0</v>
      </c>
      <c r="T283" s="14">
        <v>100.0</v>
      </c>
      <c r="U283" s="14">
        <v>2400.0</v>
      </c>
      <c r="W283" s="21">
        <v>84.0</v>
      </c>
      <c r="X283" s="14">
        <v>62.0</v>
      </c>
      <c r="Y283" s="14">
        <v>2438.0</v>
      </c>
      <c r="AA283" s="21">
        <v>55.0</v>
      </c>
      <c r="AB283" s="14">
        <v>42.0</v>
      </c>
      <c r="AC283" s="14">
        <v>77.0</v>
      </c>
    </row>
    <row r="284">
      <c r="A284" s="27">
        <f>HYPERLINK("https://arcprize.org/play?task=b1948b0a", 276)</f>
        <v>276</v>
      </c>
      <c r="B284" s="14">
        <f>IFERROR(__xludf.DUMMYFUNCTION("min(filter(Scores!B287:AX287,Scores!B287:AX287&gt;0))"),37.0)</f>
        <v>37</v>
      </c>
      <c r="C284" s="14">
        <v>2463.0</v>
      </c>
      <c r="D284" s="51" t="str">
        <f t="array" ref="D284">if(B284,if(countif(Scores!B287:AX287,B284)=1,concat("💎",XLOOKUP(B284,Scores!B287:AX287,Scores!B$1:AX$1)),concat("🥇 x",countif(Scores!B287:AX287,B284))),"")</f>
        <v>💎Code Golf International</v>
      </c>
      <c r="E284" s="14">
        <f>if(countif(Scores!B287:AX287,B284)=1,F284,-1)</f>
        <v>37</v>
      </c>
      <c r="F284" s="14">
        <f t="shared" si="1"/>
        <v>37</v>
      </c>
      <c r="G284" s="14">
        <f>IFERROR(__xludf.DUMMYFUNCTION("if(iferror(small(filter(Scores!B287:AX287,Scores!B287:AX287&gt;0),2),-1)&lt;&gt;F284,iferror(small(filter(Scores!B287:AX287,Scores!B287:AX287&gt;0),2),-1),-1)"),38.0)</f>
        <v>38</v>
      </c>
      <c r="H284" s="14">
        <f>IFERROR(__xludf.DUMMYFUNCTION("if(iferror(small(filter(Scores!B287:AX287,Scores!B287:AX287&gt;0),3),-1)&lt;&gt;iferror(small(filter(Scores!B287:AX287,Scores!B287:AX287&gt;0),2),-1),iferror(small(filter(Scores!B287:AX287,Scores!B287:AX287&gt;0),3),-1),-1)"),-1.0)</f>
        <v>-1</v>
      </c>
      <c r="I284" s="14">
        <f>IFERROR(__xludf.DUMMYFUNCTION("IFERROR(COLUMNS(filter(Scores!B287:AE287,Scores!B287:AE287)),"""")"),45.0)</f>
        <v>45</v>
      </c>
      <c r="J284" s="14">
        <f>COUNTIF(Scores!B287:AX287,B284)</f>
        <v>1</v>
      </c>
      <c r="K284" s="21">
        <f>IFERROR(__xludf.DUMMYFUNCTION("""COMPUTED_VALUE"""),276.0)</f>
        <v>276</v>
      </c>
      <c r="L284" s="36"/>
      <c r="S284" s="21">
        <v>37.0</v>
      </c>
      <c r="T284" s="14">
        <v>101.0</v>
      </c>
      <c r="U284" s="14">
        <v>2399.0</v>
      </c>
      <c r="W284" s="21">
        <v>91.0</v>
      </c>
      <c r="X284" s="14">
        <v>62.0</v>
      </c>
      <c r="Y284" s="14">
        <v>2438.0</v>
      </c>
      <c r="AA284" s="21">
        <v>4.0</v>
      </c>
      <c r="AB284" s="14">
        <v>42.0</v>
      </c>
      <c r="AC284" s="14">
        <v>73.0</v>
      </c>
    </row>
    <row r="285">
      <c r="A285" s="27">
        <f>HYPERLINK("https://arcprize.org/play?task=b230c067", 277)</f>
        <v>277</v>
      </c>
      <c r="B285" s="14">
        <f>IFERROR(__xludf.DUMMYFUNCTION("min(filter(Scores!B288:AX288,Scores!B288:AX288&gt;0))"),155.0)</f>
        <v>155</v>
      </c>
      <c r="C285" s="14">
        <v>2345.0</v>
      </c>
      <c r="D285" s="51" t="str">
        <f t="array" ref="D285">if(B285,if(countif(Scores!B288:AX288,B285)=1,concat("💎",XLOOKUP(B285,Scores!B288:AX288,Scores!B$1:AX$1)),concat("🥇 x",countif(Scores!B288:AX288,B285))),"")</f>
        <v>💎ox jam</v>
      </c>
      <c r="E285" s="14">
        <f>if(countif(Scores!B288:AX288,B285)=1,F285,-1)</f>
        <v>155</v>
      </c>
      <c r="F285" s="14">
        <f t="shared" si="1"/>
        <v>155</v>
      </c>
      <c r="G285" s="14">
        <f>IFERROR(__xludf.DUMMYFUNCTION("if(iferror(small(filter(Scores!B288:AX288,Scores!B288:AX288&gt;0),2),-1)&lt;&gt;F285,iferror(small(filter(Scores!B288:AX288,Scores!B288:AX288&gt;0),2),-1),-1)"),157.0)</f>
        <v>157</v>
      </c>
      <c r="H285" s="14">
        <f>IFERROR(__xludf.DUMMYFUNCTION("if(iferror(small(filter(Scores!B288:AX288,Scores!B288:AX288&gt;0),3),-1)&lt;&gt;iferror(small(filter(Scores!B288:AX288,Scores!B288:AX288&gt;0),2),-1),iferror(small(filter(Scores!B288:AX288,Scores!B288:AX288&gt;0),3),-1),-1)"),159.0)</f>
        <v>159</v>
      </c>
      <c r="I285" s="14">
        <f>IFERROR(__xludf.DUMMYFUNCTION("IFERROR(COLUMNS(filter(Scores!B288:AE288,Scores!B288:AE288)),"""")"),34.0)</f>
        <v>34</v>
      </c>
      <c r="J285" s="14">
        <f>COUNTIF(Scores!B288:AX288,B285)</f>
        <v>1</v>
      </c>
      <c r="K285" s="21">
        <f>IFERROR(__xludf.DUMMYFUNCTION("""COMPUTED_VALUE"""),277.0)</f>
        <v>277</v>
      </c>
      <c r="L285" s="36"/>
      <c r="S285" s="21">
        <v>119.0</v>
      </c>
      <c r="T285" s="14">
        <v>102.0</v>
      </c>
      <c r="U285" s="14">
        <v>2398.0</v>
      </c>
      <c r="W285" s="21">
        <v>303.0</v>
      </c>
      <c r="X285" s="14">
        <v>62.0</v>
      </c>
      <c r="Y285" s="14">
        <v>2438.0</v>
      </c>
      <c r="AA285" s="21">
        <v>229.0</v>
      </c>
      <c r="AB285" s="14">
        <v>42.0</v>
      </c>
      <c r="AC285" s="14">
        <v>73.0</v>
      </c>
    </row>
    <row r="286">
      <c r="A286" s="27">
        <f>HYPERLINK("https://arcprize.org/play?task=b27ca6d3", 278)</f>
        <v>278</v>
      </c>
      <c r="B286" s="14">
        <f>IFERROR(__xludf.DUMMYFUNCTION("min(filter(Scores!B289:AX289,Scores!B289:AX289&gt;0))"),104.0)</f>
        <v>104</v>
      </c>
      <c r="C286" s="14">
        <v>2396.0</v>
      </c>
      <c r="D286" s="51" t="str">
        <f t="array" ref="D286">if(B286,if(countif(Scores!B289:AX289,B286)=1,concat("💎",XLOOKUP(B286,Scores!B289:AX289,Scores!B$1:AX$1)),concat("🥇 x",countif(Scores!B289:AX289,B286))),"")</f>
        <v>💎intgrah jimboko awu macaque sammyuri</v>
      </c>
      <c r="E286" s="14">
        <f>if(countif(Scores!B289:AX289,B286)=1,F286,-1)</f>
        <v>104</v>
      </c>
      <c r="F286" s="14">
        <f t="shared" si="1"/>
        <v>104</v>
      </c>
      <c r="G286" s="14">
        <f>IFERROR(__xludf.DUMMYFUNCTION("if(iferror(small(filter(Scores!B289:AX289,Scores!B289:AX289&gt;0),2),-1)&lt;&gt;F286,iferror(small(filter(Scores!B289:AX289,Scores!B289:AX289&gt;0),2),-1),-1)"),110.0)</f>
        <v>110</v>
      </c>
      <c r="H286" s="14">
        <f>IFERROR(__xludf.DUMMYFUNCTION("if(iferror(small(filter(Scores!B289:AX289,Scores!B289:AX289&gt;0),3),-1)&lt;&gt;iferror(small(filter(Scores!B289:AX289,Scores!B289:AX289&gt;0),2),-1),iferror(small(filter(Scores!B289:AX289,Scores!B289:AX289&gt;0),3),-1),-1)"),112.0)</f>
        <v>112</v>
      </c>
      <c r="I286" s="14">
        <f>IFERROR(__xludf.DUMMYFUNCTION("IFERROR(COLUMNS(filter(Scores!B289:AE289,Scores!B289:AE289)),"""")"),38.0)</f>
        <v>38</v>
      </c>
      <c r="J286" s="14">
        <f>COUNTIF(Scores!B289:AX289,B286)</f>
        <v>1</v>
      </c>
      <c r="K286" s="21">
        <f>IFERROR(__xludf.DUMMYFUNCTION("""COMPUTED_VALUE"""),278.0)</f>
        <v>278</v>
      </c>
      <c r="L286" s="36"/>
      <c r="S286" s="21">
        <v>371.0</v>
      </c>
      <c r="T286" s="14">
        <v>102.0</v>
      </c>
      <c r="U286" s="14">
        <v>2398.0</v>
      </c>
      <c r="W286" s="21">
        <v>338.0</v>
      </c>
      <c r="X286" s="14">
        <v>62.0</v>
      </c>
      <c r="Y286" s="14">
        <v>2438.0</v>
      </c>
      <c r="AA286" s="21">
        <v>33.0</v>
      </c>
      <c r="AB286" s="14">
        <v>42.0</v>
      </c>
      <c r="AC286" s="14">
        <v>71.0</v>
      </c>
    </row>
    <row r="287">
      <c r="A287" s="27">
        <f>HYPERLINK("https://arcprize.org/play?task=b2862040", 279)</f>
        <v>279</v>
      </c>
      <c r="B287" s="14">
        <f>IFERROR(__xludf.DUMMYFUNCTION("min(filter(Scores!B290:AX290,Scores!B290:AX290&gt;0))"),106.0)</f>
        <v>106</v>
      </c>
      <c r="C287" s="14">
        <v>2394.0</v>
      </c>
      <c r="D287" s="51" t="str">
        <f t="array" ref="D287">if(B287,if(countif(Scores!B290:AX290,B287)=1,concat("💎",XLOOKUP(B287,Scores!B290:AX290,Scores!B$1:AX$1)),concat("🥇 x",countif(Scores!B290:AX290,B287))),"")</f>
        <v>🥇 x2</v>
      </c>
      <c r="E287" s="14">
        <f>if(countif(Scores!B290:AX290,B287)=1,F287,-1)</f>
        <v>-1</v>
      </c>
      <c r="F287" s="14">
        <f t="shared" si="1"/>
        <v>106</v>
      </c>
      <c r="G287" s="14">
        <f>IFERROR(__xludf.DUMMYFUNCTION("if(iferror(small(filter(Scores!B290:AX290,Scores!B290:AX290&gt;0),2),-1)&lt;&gt;F287,iferror(small(filter(Scores!B290:AX290,Scores!B290:AX290&gt;0),2),-1),-1)"),-1.0)</f>
        <v>-1</v>
      </c>
      <c r="H287" s="14">
        <f>IFERROR(__xludf.DUMMYFUNCTION("if(iferror(small(filter(Scores!B290:AX290,Scores!B290:AX290&gt;0),3),-1)&lt;&gt;iferror(small(filter(Scores!B290:AX290,Scores!B290:AX290&gt;0),2),-1),iferror(small(filter(Scores!B290:AX290,Scores!B290:AX290&gt;0),3),-1),-1)"),107.0)</f>
        <v>107</v>
      </c>
      <c r="I287" s="14">
        <f>IFERROR(__xludf.DUMMYFUNCTION("IFERROR(COLUMNS(filter(Scores!B290:AE290,Scores!B290:AE290)),"""")"),34.0)</f>
        <v>34</v>
      </c>
      <c r="J287" s="14">
        <f>COUNTIF(Scores!B290:AX290,B287)</f>
        <v>2</v>
      </c>
      <c r="K287" s="21">
        <f>IFERROR(__xludf.DUMMYFUNCTION("""COMPUTED_VALUE"""),279.0)</f>
        <v>279</v>
      </c>
      <c r="L287" s="36"/>
      <c r="S287" s="21">
        <v>19.0</v>
      </c>
      <c r="T287" s="14">
        <v>103.0</v>
      </c>
      <c r="U287" s="14">
        <v>2397.0</v>
      </c>
      <c r="W287" s="21">
        <v>399.0</v>
      </c>
      <c r="X287" s="14">
        <v>62.0</v>
      </c>
      <c r="Y287" s="14">
        <v>2438.0</v>
      </c>
      <c r="AA287" s="21">
        <v>95.0</v>
      </c>
      <c r="AB287" s="14">
        <v>42.0</v>
      </c>
      <c r="AC287" s="14">
        <v>70.0</v>
      </c>
    </row>
    <row r="288">
      <c r="A288" s="27">
        <f>HYPERLINK("https://arcprize.org/play?task=b527c5c6", 280)</f>
        <v>280</v>
      </c>
      <c r="B288" s="14">
        <f>IFERROR(__xludf.DUMMYFUNCTION("min(filter(Scores!B291:AX291,Scores!B291:AX291&gt;0))"),145.0)</f>
        <v>145</v>
      </c>
      <c r="C288" s="14">
        <v>2355.0</v>
      </c>
      <c r="D288" s="51" t="str">
        <f t="array" ref="D288">if(B288,if(countif(Scores!B291:AX291,B288)=1,concat("💎",XLOOKUP(B288,Scores!B291:AX291,Scores!B$1:AX$1)),concat("🥇 x",countif(Scores!B291:AX291,B288))),"")</f>
        <v>💎Code Golf International</v>
      </c>
      <c r="E288" s="14">
        <f>if(countif(Scores!B291:AX291,B288)=1,F288,-1)</f>
        <v>145</v>
      </c>
      <c r="F288" s="14">
        <f t="shared" si="1"/>
        <v>145</v>
      </c>
      <c r="G288" s="14">
        <f>IFERROR(__xludf.DUMMYFUNCTION("if(iferror(small(filter(Scores!B291:AX291,Scores!B291:AX291&gt;0),2),-1)&lt;&gt;F288,iferror(small(filter(Scores!B291:AX291,Scores!B291:AX291&gt;0),2),-1),-1)"),163.0)</f>
        <v>163</v>
      </c>
      <c r="H288" s="14">
        <f>IFERROR(__xludf.DUMMYFUNCTION("if(iferror(small(filter(Scores!B291:AX291,Scores!B291:AX291&gt;0),3),-1)&lt;&gt;iferror(small(filter(Scores!B291:AX291,Scores!B291:AX291&gt;0),2),-1),iferror(small(filter(Scores!B291:AX291,Scores!B291:AX291&gt;0),3),-1),-1)"),168.0)</f>
        <v>168</v>
      </c>
      <c r="I288" s="14">
        <f>IFERROR(__xludf.DUMMYFUNCTION("IFERROR(COLUMNS(filter(Scores!B291:AE291,Scores!B291:AE291)),"""")"),36.0)</f>
        <v>36</v>
      </c>
      <c r="J288" s="14">
        <f>COUNTIF(Scores!B291:AX291,B288)</f>
        <v>1</v>
      </c>
      <c r="K288" s="21">
        <f>IFERROR(__xludf.DUMMYFUNCTION("""COMPUTED_VALUE"""),280.0)</f>
        <v>280</v>
      </c>
      <c r="L288" s="36"/>
      <c r="S288" s="21">
        <v>29.0</v>
      </c>
      <c r="T288" s="14">
        <v>103.0</v>
      </c>
      <c r="U288" s="14">
        <v>2397.0</v>
      </c>
      <c r="W288" s="21">
        <v>130.0</v>
      </c>
      <c r="X288" s="14">
        <v>61.0</v>
      </c>
      <c r="Y288" s="14">
        <v>2439.0</v>
      </c>
      <c r="AA288" s="21">
        <v>327.0</v>
      </c>
      <c r="AB288" s="14">
        <v>42.0</v>
      </c>
      <c r="AC288" s="14">
        <v>67.0</v>
      </c>
    </row>
    <row r="289">
      <c r="A289" s="27">
        <f>HYPERLINK("https://arcprize.org/play?task=b548a754", 281)</f>
        <v>281</v>
      </c>
      <c r="B289" s="14">
        <f>IFERROR(__xludf.DUMMYFUNCTION("min(filter(Scores!B292:AX292,Scores!B292:AX292&gt;0))"),103.0)</f>
        <v>103</v>
      </c>
      <c r="C289" s="14">
        <v>2397.0</v>
      </c>
      <c r="D289" s="51" t="str">
        <f t="array" ref="D289">if(B289,if(countif(Scores!B292:AX292,B289)=1,concat("💎",XLOOKUP(B289,Scores!B292:AX292,Scores!B$1:AX$1)),concat("🥇 x",countif(Scores!B292:AX292,B289))),"")</f>
        <v>💎ox jam</v>
      </c>
      <c r="E289" s="14">
        <f>if(countif(Scores!B292:AX292,B289)=1,F289,-1)</f>
        <v>103</v>
      </c>
      <c r="F289" s="14">
        <f t="shared" si="1"/>
        <v>103</v>
      </c>
      <c r="G289" s="14">
        <f>IFERROR(__xludf.DUMMYFUNCTION("if(iferror(small(filter(Scores!B292:AX292,Scores!B292:AX292&gt;0),2),-1)&lt;&gt;F289,iferror(small(filter(Scores!B292:AX292,Scores!B292:AX292&gt;0),2),-1),-1)"),123.0)</f>
        <v>123</v>
      </c>
      <c r="H289" s="14">
        <f>IFERROR(__xludf.DUMMYFUNCTION("if(iferror(small(filter(Scores!B292:AX292,Scores!B292:AX292&gt;0),3),-1)&lt;&gt;iferror(small(filter(Scores!B292:AX292,Scores!B292:AX292&gt;0),2),-1),iferror(small(filter(Scores!B292:AX292,Scores!B292:AX292&gt;0),3),-1),-1)"),124.0)</f>
        <v>124</v>
      </c>
      <c r="I289" s="14">
        <f>IFERROR(__xludf.DUMMYFUNCTION("IFERROR(COLUMNS(filter(Scores!B292:AE292,Scores!B292:AE292)),"""")"),35.0)</f>
        <v>35</v>
      </c>
      <c r="J289" s="14">
        <f>COUNTIF(Scores!B292:AX292,B289)</f>
        <v>1</v>
      </c>
      <c r="K289" s="21">
        <f>IFERROR(__xludf.DUMMYFUNCTION("""COMPUTED_VALUE"""),281.0)</f>
        <v>281</v>
      </c>
      <c r="L289" s="36"/>
      <c r="S289" s="21">
        <v>138.0</v>
      </c>
      <c r="T289" s="14">
        <v>103.0</v>
      </c>
      <c r="U289" s="14">
        <v>2397.0</v>
      </c>
      <c r="W289" s="21">
        <v>166.0</v>
      </c>
      <c r="X289" s="14">
        <v>61.0</v>
      </c>
      <c r="Y289" s="14">
        <v>2439.0</v>
      </c>
      <c r="AA289" s="21">
        <v>290.0</v>
      </c>
      <c r="AB289" s="14">
        <v>42.0</v>
      </c>
      <c r="AC289" s="14">
        <v>65.0</v>
      </c>
    </row>
    <row r="290">
      <c r="A290" s="27">
        <f>HYPERLINK("https://arcprize.org/play?task=b60334d2", 282)</f>
        <v>282</v>
      </c>
      <c r="B290" s="14">
        <f>IFERROR(__xludf.DUMMYFUNCTION("min(filter(Scores!B293:AX293,Scores!B293:AX293&gt;0))"),74.0)</f>
        <v>74</v>
      </c>
      <c r="C290" s="14">
        <v>2426.0</v>
      </c>
      <c r="D290" s="51" t="str">
        <f t="array" ref="D290">if(B290,if(countif(Scores!B293:AX293,B290)=1,concat("💎",XLOOKUP(B290,Scores!B293:AX293,Scores!B$1:AX$1)),concat("🥇 x",countif(Scores!B293:AX293,B290))),"")</f>
        <v>💎Code Golf International</v>
      </c>
      <c r="E290" s="14">
        <f>if(countif(Scores!B293:AX293,B290)=1,F290,-1)</f>
        <v>74</v>
      </c>
      <c r="F290" s="14">
        <f t="shared" si="1"/>
        <v>74</v>
      </c>
      <c r="G290" s="14">
        <f>IFERROR(__xludf.DUMMYFUNCTION("if(iferror(small(filter(Scores!B293:AX293,Scores!B293:AX293&gt;0),2),-1)&lt;&gt;F290,iferror(small(filter(Scores!B293:AX293,Scores!B293:AX293&gt;0),2),-1),-1)"),76.0)</f>
        <v>76</v>
      </c>
      <c r="H290" s="14">
        <f>IFERROR(__xludf.DUMMYFUNCTION("if(iferror(small(filter(Scores!B293:AX293,Scores!B293:AX293&gt;0),3),-1)&lt;&gt;iferror(small(filter(Scores!B293:AX293,Scores!B293:AX293&gt;0),2),-1),iferror(small(filter(Scores!B293:AX293,Scores!B293:AX293&gt;0),3),-1),-1)"),83.0)</f>
        <v>83</v>
      </c>
      <c r="I290" s="14">
        <f>IFERROR(__xludf.DUMMYFUNCTION("IFERROR(COLUMNS(filter(Scores!B293:AE293,Scores!B293:AE293)),"""")"),40.0)</f>
        <v>40</v>
      </c>
      <c r="J290" s="14">
        <f>COUNTIF(Scores!B293:AX293,B290)</f>
        <v>1</v>
      </c>
      <c r="K290" s="21">
        <f>IFERROR(__xludf.DUMMYFUNCTION("""COMPUTED_VALUE"""),282.0)</f>
        <v>282</v>
      </c>
      <c r="L290" s="36"/>
      <c r="S290" s="21">
        <v>159.0</v>
      </c>
      <c r="T290" s="14">
        <v>103.0</v>
      </c>
      <c r="U290" s="14">
        <v>2397.0</v>
      </c>
      <c r="W290" s="21">
        <v>176.0</v>
      </c>
      <c r="X290" s="14">
        <v>61.0</v>
      </c>
      <c r="Y290" s="14">
        <v>2439.0</v>
      </c>
      <c r="AA290" s="21">
        <v>334.0</v>
      </c>
      <c r="AB290" s="14">
        <v>42.0</v>
      </c>
      <c r="AC290" s="14">
        <v>65.0</v>
      </c>
    </row>
    <row r="291">
      <c r="A291" s="27">
        <f>HYPERLINK("https://arcprize.org/play?task=b6afb2da", 283)</f>
        <v>283</v>
      </c>
      <c r="B291" s="14">
        <f>IFERROR(__xludf.DUMMYFUNCTION("min(filter(Scores!B294:AX294,Scores!B294:AX294&gt;0))"),72.0)</f>
        <v>72</v>
      </c>
      <c r="C291" s="14">
        <v>2428.0</v>
      </c>
      <c r="D291" s="51" t="str">
        <f t="array" ref="D291">if(B291,if(countif(Scores!B294:AX294,B291)=1,concat("💎",XLOOKUP(B291,Scores!B294:AX294,Scores!B$1:AX$1)),concat("🥇 x",countif(Scores!B294:AX294,B291))),"")</f>
        <v>💎ox jam</v>
      </c>
      <c r="E291" s="14">
        <f>if(countif(Scores!B294:AX294,B291)=1,F291,-1)</f>
        <v>72</v>
      </c>
      <c r="F291" s="14">
        <f t="shared" si="1"/>
        <v>72</v>
      </c>
      <c r="G291" s="14">
        <f>IFERROR(__xludf.DUMMYFUNCTION("if(iferror(small(filter(Scores!B294:AX294,Scores!B294:AX294&gt;0),2),-1)&lt;&gt;F291,iferror(small(filter(Scores!B294:AX294,Scores!B294:AX294&gt;0),2),-1),-1)"),79.0)</f>
        <v>79</v>
      </c>
      <c r="H291" s="14">
        <f>IFERROR(__xludf.DUMMYFUNCTION("if(iferror(small(filter(Scores!B294:AX294,Scores!B294:AX294&gt;0),3),-1)&lt;&gt;iferror(small(filter(Scores!B294:AX294,Scores!B294:AX294&gt;0),2),-1),iferror(small(filter(Scores!B294:AX294,Scores!B294:AX294&gt;0),3),-1),-1)"),82.0)</f>
        <v>82</v>
      </c>
      <c r="I291" s="14">
        <f>IFERROR(__xludf.DUMMYFUNCTION("IFERROR(COLUMNS(filter(Scores!B294:AE294,Scores!B294:AE294)),"""")"),38.0)</f>
        <v>38</v>
      </c>
      <c r="J291" s="14">
        <f>COUNTIF(Scores!B294:AX294,B291)</f>
        <v>1</v>
      </c>
      <c r="K291" s="21">
        <f>IFERROR(__xludf.DUMMYFUNCTION("""COMPUTED_VALUE"""),283.0)</f>
        <v>283</v>
      </c>
      <c r="L291" s="36"/>
      <c r="S291" s="21">
        <v>190.0</v>
      </c>
      <c r="T291" s="14">
        <v>103.0</v>
      </c>
      <c r="U291" s="14">
        <v>2397.0</v>
      </c>
      <c r="W291" s="21">
        <v>214.0</v>
      </c>
      <c r="X291" s="14">
        <v>61.0</v>
      </c>
      <c r="Y291" s="14">
        <v>2439.0</v>
      </c>
      <c r="AA291" s="21">
        <v>114.0</v>
      </c>
      <c r="AB291" s="14">
        <v>42.0</v>
      </c>
      <c r="AC291" s="14">
        <v>64.0</v>
      </c>
    </row>
    <row r="292">
      <c r="A292" s="27">
        <f>HYPERLINK("https://arcprize.org/play?task=b7249182", 284)</f>
        <v>284</v>
      </c>
      <c r="B292" s="14">
        <f>IFERROR(__xludf.DUMMYFUNCTION("min(filter(Scores!B295:AX295,Scores!B295:AX295&gt;0))"),195.0)</f>
        <v>195</v>
      </c>
      <c r="C292" s="14">
        <v>2305.0</v>
      </c>
      <c r="D292" s="51" t="str">
        <f t="array" ref="D292">if(B292,if(countif(Scores!B295:AX295,B292)=1,concat("💎",XLOOKUP(B292,Scores!B295:AX295,Scores!B$1:AX$1)),concat("🥇 x",countif(Scores!B295:AX295,B292))),"")</f>
        <v>💎jailctf merger</v>
      </c>
      <c r="E292" s="14">
        <f>if(countif(Scores!B295:AX295,B292)=1,F292,-1)</f>
        <v>195</v>
      </c>
      <c r="F292" s="14">
        <f t="shared" si="1"/>
        <v>195</v>
      </c>
      <c r="G292" s="14">
        <f>IFERROR(__xludf.DUMMYFUNCTION("if(iferror(small(filter(Scores!B295:AX295,Scores!B295:AX295&gt;0),2),-1)&lt;&gt;F292,iferror(small(filter(Scores!B295:AX295,Scores!B295:AX295&gt;0),2),-1),-1)"),204.0)</f>
        <v>204</v>
      </c>
      <c r="H292" s="14">
        <f>IFERROR(__xludf.DUMMYFUNCTION("if(iferror(small(filter(Scores!B295:AX295,Scores!B295:AX295&gt;0),3),-1)&lt;&gt;iferror(small(filter(Scores!B295:AX295,Scores!B295:AX295&gt;0),2),-1),iferror(small(filter(Scores!B295:AX295,Scores!B295:AX295&gt;0),3),-1),-1)"),205.0)</f>
        <v>205</v>
      </c>
      <c r="I292" s="14">
        <f>IFERROR(__xludf.DUMMYFUNCTION("IFERROR(COLUMNS(filter(Scores!B295:AE295,Scores!B295:AE295)),"""")"),35.0)</f>
        <v>35</v>
      </c>
      <c r="J292" s="14">
        <f>COUNTIF(Scores!B295:AX295,B292)</f>
        <v>1</v>
      </c>
      <c r="K292" s="21">
        <f>IFERROR(__xludf.DUMMYFUNCTION("""COMPUTED_VALUE"""),284.0)</f>
        <v>284</v>
      </c>
      <c r="L292" s="36"/>
      <c r="S292" s="21">
        <v>281.0</v>
      </c>
      <c r="T292" s="14">
        <v>103.0</v>
      </c>
      <c r="U292" s="14">
        <v>2397.0</v>
      </c>
      <c r="W292" s="21">
        <v>235.0</v>
      </c>
      <c r="X292" s="14">
        <v>61.0</v>
      </c>
      <c r="Y292" s="14">
        <v>2439.0</v>
      </c>
      <c r="AA292" s="21">
        <v>269.0</v>
      </c>
      <c r="AB292" s="14">
        <v>42.0</v>
      </c>
      <c r="AC292" s="14">
        <v>63.0</v>
      </c>
    </row>
    <row r="293">
      <c r="A293" s="27">
        <f>HYPERLINK("https://arcprize.org/play?task=b775ac94", 285)</f>
        <v>285</v>
      </c>
      <c r="B293" s="14">
        <f>IFERROR(__xludf.DUMMYFUNCTION("min(filter(Scores!B296:AX296,Scores!B296:AX296&gt;0))"),226.0)</f>
        <v>226</v>
      </c>
      <c r="C293" s="14">
        <v>2274.0</v>
      </c>
      <c r="D293" s="51" t="str">
        <f t="array" ref="D293">if(B293,if(countif(Scores!B296:AX296,B293)=1,concat("💎",XLOOKUP(B293,Scores!B296:AX296,Scores!B$1:AX$1)),concat("🥇 x",countif(Scores!B296:AX296,B293))),"")</f>
        <v>💎Code Golf International</v>
      </c>
      <c r="E293" s="14">
        <f>if(countif(Scores!B296:AX296,B293)=1,F293,-1)</f>
        <v>226</v>
      </c>
      <c r="F293" s="14">
        <f t="shared" si="1"/>
        <v>226</v>
      </c>
      <c r="G293" s="14">
        <f>IFERROR(__xludf.DUMMYFUNCTION("if(iferror(small(filter(Scores!B296:AX296,Scores!B296:AX296&gt;0),2),-1)&lt;&gt;F293,iferror(small(filter(Scores!B296:AX296,Scores!B296:AX296&gt;0),2),-1),-1)"),234.0)</f>
        <v>234</v>
      </c>
      <c r="H293" s="14">
        <f>IFERROR(__xludf.DUMMYFUNCTION("if(iferror(small(filter(Scores!B296:AX296,Scores!B296:AX296&gt;0),3),-1)&lt;&gt;iferror(small(filter(Scores!B296:AX296,Scores!B296:AX296&gt;0),2),-1),iferror(small(filter(Scores!B296:AX296,Scores!B296:AX296&gt;0),3),-1),-1)"),248.0)</f>
        <v>248</v>
      </c>
      <c r="I293" s="14">
        <f>IFERROR(__xludf.DUMMYFUNCTION("IFERROR(COLUMNS(filter(Scores!B296:AE296,Scores!B296:AE296)),"""")"),33.0)</f>
        <v>33</v>
      </c>
      <c r="J293" s="14">
        <f>COUNTIF(Scores!B296:AX296,B293)</f>
        <v>1</v>
      </c>
      <c r="K293" s="21">
        <f>IFERROR(__xludf.DUMMYFUNCTION("""COMPUTED_VALUE"""),285.0)</f>
        <v>285</v>
      </c>
      <c r="L293" s="36"/>
      <c r="S293" s="21">
        <v>374.0</v>
      </c>
      <c r="T293" s="14">
        <v>103.0</v>
      </c>
      <c r="U293" s="14">
        <v>2397.0</v>
      </c>
      <c r="W293" s="21">
        <v>244.0</v>
      </c>
      <c r="X293" s="14">
        <v>61.0</v>
      </c>
      <c r="Y293" s="14">
        <v>2439.0</v>
      </c>
      <c r="AA293" s="21">
        <v>393.0</v>
      </c>
      <c r="AB293" s="14">
        <v>42.0</v>
      </c>
      <c r="AC293" s="14">
        <v>63.0</v>
      </c>
    </row>
    <row r="294">
      <c r="A294" s="27">
        <f>HYPERLINK("https://arcprize.org/play?task=b782dc8a", 286)</f>
        <v>286</v>
      </c>
      <c r="B294" s="14">
        <f>IFERROR(__xludf.DUMMYFUNCTION("min(filter(Scores!B297:AX297,Scores!B297:AX297&gt;0))"),104.0)</f>
        <v>104</v>
      </c>
      <c r="C294" s="14">
        <v>2396.0</v>
      </c>
      <c r="D294" s="51" t="str">
        <f t="array" ref="D294">if(B294,if(countif(Scores!B297:AX297,B294)=1,concat("💎",XLOOKUP(B294,Scores!B297:AX297,Scores!B$1:AX$1)),concat("🥇 x",countif(Scores!B297:AX297,B294))),"")</f>
        <v>💎ox jam</v>
      </c>
      <c r="E294" s="14">
        <f>if(countif(Scores!B297:AX297,B294)=1,F294,-1)</f>
        <v>104</v>
      </c>
      <c r="F294" s="14">
        <f t="shared" si="1"/>
        <v>104</v>
      </c>
      <c r="G294" s="14">
        <f>IFERROR(__xludf.DUMMYFUNCTION("if(iferror(small(filter(Scores!B297:AX297,Scores!B297:AX297&gt;0),2),-1)&lt;&gt;F294,iferror(small(filter(Scores!B297:AX297,Scores!B297:AX297&gt;0),2),-1),-1)"),105.0)</f>
        <v>105</v>
      </c>
      <c r="H294" s="14">
        <f>IFERROR(__xludf.DUMMYFUNCTION("if(iferror(small(filter(Scores!B297:AX297,Scores!B297:AX297&gt;0),3),-1)&lt;&gt;iferror(small(filter(Scores!B297:AX297,Scores!B297:AX297&gt;0),2),-1),iferror(small(filter(Scores!B297:AX297,Scores!B297:AX297&gt;0),3),-1),-1)"),106.0)</f>
        <v>106</v>
      </c>
      <c r="I294" s="14">
        <f>IFERROR(__xludf.DUMMYFUNCTION("IFERROR(COLUMNS(filter(Scores!B297:AE297,Scores!B297:AE297)),"""")"),36.0)</f>
        <v>36</v>
      </c>
      <c r="J294" s="14">
        <f>COUNTIF(Scores!B297:AX297,B294)</f>
        <v>1</v>
      </c>
      <c r="K294" s="21">
        <f>IFERROR(__xludf.DUMMYFUNCTION("""COMPUTED_VALUE"""),286.0)</f>
        <v>286</v>
      </c>
      <c r="L294" s="36"/>
      <c r="S294" s="21">
        <v>246.0</v>
      </c>
      <c r="T294" s="14">
        <v>104.0</v>
      </c>
      <c r="U294" s="14">
        <v>2396.0</v>
      </c>
      <c r="W294" s="21">
        <v>258.0</v>
      </c>
      <c r="X294" s="14">
        <v>61.0</v>
      </c>
      <c r="Y294" s="14">
        <v>2439.0</v>
      </c>
      <c r="AA294" s="21">
        <v>61.0</v>
      </c>
      <c r="AB294" s="14">
        <v>42.0</v>
      </c>
      <c r="AC294" s="14">
        <v>62.0</v>
      </c>
    </row>
    <row r="295">
      <c r="A295" s="27">
        <f>HYPERLINK("https://arcprize.org/play?task=b8825c91", 287)</f>
        <v>287</v>
      </c>
      <c r="B295" s="14">
        <f>IFERROR(__xludf.DUMMYFUNCTION("min(filter(Scores!B298:AX298,Scores!B298:AX298&gt;0))"),53.0)</f>
        <v>53</v>
      </c>
      <c r="C295" s="14">
        <v>2447.0</v>
      </c>
      <c r="D295" s="51" t="str">
        <f t="array" ref="D295">if(B295,if(countif(Scores!B298:AX298,B295)=1,concat("💎",XLOOKUP(B295,Scores!B298:AX298,Scores!B$1:AX$1)),concat("🥇 x",countif(Scores!B298:AX298,B295))),"")</f>
        <v>💎Code Golf International</v>
      </c>
      <c r="E295" s="14">
        <f>if(countif(Scores!B298:AX298,B295)=1,F295,-1)</f>
        <v>53</v>
      </c>
      <c r="F295" s="14">
        <f t="shared" si="1"/>
        <v>53</v>
      </c>
      <c r="G295" s="14">
        <f>IFERROR(__xludf.DUMMYFUNCTION("if(iferror(small(filter(Scores!B298:AX298,Scores!B298:AX298&gt;0),2),-1)&lt;&gt;F295,iferror(small(filter(Scores!B298:AX298,Scores!B298:AX298&gt;0),2),-1),-1)"),55.0)</f>
        <v>55</v>
      </c>
      <c r="H295" s="14">
        <f>IFERROR(__xludf.DUMMYFUNCTION("if(iferror(small(filter(Scores!B298:AX298,Scores!B298:AX298&gt;0),3),-1)&lt;&gt;iferror(small(filter(Scores!B298:AX298,Scores!B298:AX298&gt;0),2),-1),iferror(small(filter(Scores!B298:AX298,Scores!B298:AX298&gt;0),3),-1),-1)"),56.0)</f>
        <v>56</v>
      </c>
      <c r="I295" s="14">
        <f>IFERROR(__xludf.DUMMYFUNCTION("IFERROR(COLUMNS(filter(Scores!B298:AE298,Scores!B298:AE298)),"""")"),40.0)</f>
        <v>40</v>
      </c>
      <c r="J295" s="14">
        <f>COUNTIF(Scores!B298:AX298,B295)</f>
        <v>1</v>
      </c>
      <c r="K295" s="21">
        <f>IFERROR(__xludf.DUMMYFUNCTION("""COMPUTED_VALUE"""),287.0)</f>
        <v>287</v>
      </c>
      <c r="L295" s="36"/>
      <c r="S295" s="21">
        <v>265.0</v>
      </c>
      <c r="T295" s="14">
        <v>104.0</v>
      </c>
      <c r="U295" s="14">
        <v>2396.0</v>
      </c>
      <c r="W295" s="21">
        <v>313.0</v>
      </c>
      <c r="X295" s="14">
        <v>61.0</v>
      </c>
      <c r="Y295" s="14">
        <v>2439.0</v>
      </c>
      <c r="AA295" s="21">
        <v>166.0</v>
      </c>
      <c r="AB295" s="14">
        <v>42.0</v>
      </c>
      <c r="AC295" s="14">
        <v>61.0</v>
      </c>
    </row>
    <row r="296">
      <c r="A296" s="27">
        <f>HYPERLINK("https://arcprize.org/play?task=b8cdaf2b", 288)</f>
        <v>288</v>
      </c>
      <c r="B296" s="14">
        <f>IFERROR(__xludf.DUMMYFUNCTION("min(filter(Scores!B299:AX299,Scores!B299:AX299&gt;0))"),86.0)</f>
        <v>86</v>
      </c>
      <c r="C296" s="14">
        <v>2414.0</v>
      </c>
      <c r="D296" s="51" t="str">
        <f t="array" ref="D296">if(B296,if(countif(Scores!B299:AX299,B296)=1,concat("💎",XLOOKUP(B296,Scores!B299:AX299,Scores!B$1:AX$1)),concat("🥇 x",countif(Scores!B299:AX299,B296))),"")</f>
        <v>🥇 x4</v>
      </c>
      <c r="E296" s="14">
        <f>if(countif(Scores!B299:AX299,B296)=1,F296,-1)</f>
        <v>-1</v>
      </c>
      <c r="F296" s="14">
        <f t="shared" si="1"/>
        <v>86</v>
      </c>
      <c r="G296" s="14">
        <f>IFERROR(__xludf.DUMMYFUNCTION("if(iferror(small(filter(Scores!B299:AX299,Scores!B299:AX299&gt;0),2),-1)&lt;&gt;F296,iferror(small(filter(Scores!B299:AX299,Scores!B299:AX299&gt;0),2),-1),-1)"),-1.0)</f>
        <v>-1</v>
      </c>
      <c r="H296" s="14">
        <f>IFERROR(__xludf.DUMMYFUNCTION("if(iferror(small(filter(Scores!B299:AX299,Scores!B299:AX299&gt;0),3),-1)&lt;&gt;iferror(small(filter(Scores!B299:AX299,Scores!B299:AX299&gt;0),2),-1),iferror(small(filter(Scores!B299:AX299,Scores!B299:AX299&gt;0),3),-1),-1)"),-1.0)</f>
        <v>-1</v>
      </c>
      <c r="I296" s="14">
        <f>IFERROR(__xludf.DUMMYFUNCTION("IFERROR(COLUMNS(filter(Scores!B299:AE299,Scores!B299:AE299)),"""")"),35.0)</f>
        <v>35</v>
      </c>
      <c r="J296" s="14">
        <f>COUNTIF(Scores!B299:AX299,B296)</f>
        <v>4</v>
      </c>
      <c r="K296" s="21">
        <f>IFERROR(__xludf.DUMMYFUNCTION("""COMPUTED_VALUE"""),288.0)</f>
        <v>288</v>
      </c>
      <c r="L296" s="36"/>
      <c r="S296" s="21">
        <v>278.0</v>
      </c>
      <c r="T296" s="14">
        <v>104.0</v>
      </c>
      <c r="U296" s="14">
        <v>2396.0</v>
      </c>
      <c r="W296" s="21">
        <v>384.0</v>
      </c>
      <c r="X296" s="14">
        <v>61.0</v>
      </c>
      <c r="Y296" s="14">
        <v>2439.0</v>
      </c>
      <c r="AA296" s="21">
        <v>291.0</v>
      </c>
      <c r="AB296" s="14">
        <v>42.0</v>
      </c>
      <c r="AC296" s="14">
        <v>59.0</v>
      </c>
    </row>
    <row r="297">
      <c r="A297" s="27">
        <f>HYPERLINK("https://arcprize.org/play?task=b91ae062", 289)</f>
        <v>289</v>
      </c>
      <c r="B297" s="14">
        <f>IFERROR(__xludf.DUMMYFUNCTION("min(filter(Scores!B300:AX300,Scores!B300:AX300&gt;0))"),63.0)</f>
        <v>63</v>
      </c>
      <c r="C297" s="14">
        <v>2437.0</v>
      </c>
      <c r="D297" s="51" t="str">
        <f t="array" ref="D297">if(B297,if(countif(Scores!B300:AX300,B297)=1,concat("💎",XLOOKUP(B297,Scores!B300:AX300,Scores!B$1:AX$1)),concat("🥇 x",countif(Scores!B300:AX300,B297))),"")</f>
        <v>🥇 x4</v>
      </c>
      <c r="E297" s="14">
        <f>if(countif(Scores!B300:AX300,B297)=1,F297,-1)</f>
        <v>-1</v>
      </c>
      <c r="F297" s="14">
        <f t="shared" si="1"/>
        <v>63</v>
      </c>
      <c r="G297" s="14">
        <f>IFERROR(__xludf.DUMMYFUNCTION("if(iferror(small(filter(Scores!B300:AX300,Scores!B300:AX300&gt;0),2),-1)&lt;&gt;F297,iferror(small(filter(Scores!B300:AX300,Scores!B300:AX300&gt;0),2),-1),-1)"),-1.0)</f>
        <v>-1</v>
      </c>
      <c r="H297" s="14">
        <f>IFERROR(__xludf.DUMMYFUNCTION("if(iferror(small(filter(Scores!B300:AX300,Scores!B300:AX300&gt;0),3),-1)&lt;&gt;iferror(small(filter(Scores!B300:AX300,Scores!B300:AX300&gt;0),2),-1),iferror(small(filter(Scores!B300:AX300,Scores!B300:AX300&gt;0),3),-1),-1)"),-1.0)</f>
        <v>-1</v>
      </c>
      <c r="I297" s="14">
        <f>IFERROR(__xludf.DUMMYFUNCTION("IFERROR(COLUMNS(filter(Scores!B300:AE300,Scores!B300:AE300)),"""")"),40.0)</f>
        <v>40</v>
      </c>
      <c r="J297" s="14">
        <f>COUNTIF(Scores!B300:AX300,B297)</f>
        <v>4</v>
      </c>
      <c r="K297" s="21">
        <f>IFERROR(__xludf.DUMMYFUNCTION("""COMPUTED_VALUE"""),289.0)</f>
        <v>289</v>
      </c>
      <c r="L297" s="36"/>
      <c r="S297" s="21">
        <v>286.0</v>
      </c>
      <c r="T297" s="14">
        <v>104.0</v>
      </c>
      <c r="U297" s="14">
        <v>2396.0</v>
      </c>
      <c r="W297" s="21">
        <v>388.0</v>
      </c>
      <c r="X297" s="14">
        <v>61.0</v>
      </c>
      <c r="Y297" s="14">
        <v>2439.0</v>
      </c>
      <c r="AA297" s="21">
        <v>127.0</v>
      </c>
      <c r="AB297" s="14">
        <v>42.0</v>
      </c>
      <c r="AC297" s="14">
        <v>57.0</v>
      </c>
    </row>
    <row r="298">
      <c r="A298" s="27">
        <f>HYPERLINK("https://arcprize.org/play?task=b94a9452", 290)</f>
        <v>290</v>
      </c>
      <c r="B298" s="14">
        <f>IFERROR(__xludf.DUMMYFUNCTION("min(filter(Scores!B301:AX301,Scores!B301:AX301&gt;0))"),65.0)</f>
        <v>65</v>
      </c>
      <c r="C298" s="14">
        <v>2435.0</v>
      </c>
      <c r="D298" s="51" t="str">
        <f t="array" ref="D298">if(B298,if(countif(Scores!B301:AX301,B298)=1,concat("💎",XLOOKUP(B298,Scores!B301:AX301,Scores!B$1:AX$1)),concat("🥇 x",countif(Scores!B301:AX301,B298))),"")</f>
        <v>💎Code Golf International</v>
      </c>
      <c r="E298" s="14">
        <f>if(countif(Scores!B301:AX301,B298)=1,F298,-1)</f>
        <v>65</v>
      </c>
      <c r="F298" s="14">
        <f t="shared" si="1"/>
        <v>65</v>
      </c>
      <c r="G298" s="14">
        <f>IFERROR(__xludf.DUMMYFUNCTION("if(iferror(small(filter(Scores!B301:AX301,Scores!B301:AX301&gt;0),2),-1)&lt;&gt;F298,iferror(small(filter(Scores!B301:AX301,Scores!B301:AX301&gt;0),2),-1),-1)"),67.0)</f>
        <v>67</v>
      </c>
      <c r="H298" s="14">
        <f>IFERROR(__xludf.DUMMYFUNCTION("if(iferror(small(filter(Scores!B301:AX301,Scores!B301:AX301&gt;0),3),-1)&lt;&gt;iferror(small(filter(Scores!B301:AX301,Scores!B301:AX301&gt;0),2),-1),iferror(small(filter(Scores!B301:AX301,Scores!B301:AX301&gt;0),3),-1),-1)"),68.0)</f>
        <v>68</v>
      </c>
      <c r="I298" s="14">
        <f>IFERROR(__xludf.DUMMYFUNCTION("IFERROR(COLUMNS(filter(Scores!B301:AE301,Scores!B301:AE301)),"""")"),42.0)</f>
        <v>42</v>
      </c>
      <c r="J298" s="14">
        <f>COUNTIF(Scores!B301:AX301,B298)</f>
        <v>1</v>
      </c>
      <c r="K298" s="21">
        <f>IFERROR(__xludf.DUMMYFUNCTION("""COMPUTED_VALUE"""),290.0)</f>
        <v>290</v>
      </c>
      <c r="L298" s="36"/>
      <c r="S298" s="21">
        <v>79.0</v>
      </c>
      <c r="T298" s="14">
        <v>105.0</v>
      </c>
      <c r="U298" s="14">
        <v>2395.0</v>
      </c>
      <c r="W298" s="21">
        <v>39.0</v>
      </c>
      <c r="X298" s="14">
        <v>60.0</v>
      </c>
      <c r="Y298" s="14">
        <v>2440.0</v>
      </c>
      <c r="AA298" s="21">
        <v>106.0</v>
      </c>
      <c r="AB298" s="14">
        <v>42.0</v>
      </c>
      <c r="AC298" s="14">
        <v>55.0</v>
      </c>
    </row>
    <row r="299">
      <c r="A299" s="27">
        <f>HYPERLINK("https://arcprize.org/play?task=b9b7f026", 291)</f>
        <v>291</v>
      </c>
      <c r="B299" s="14">
        <f>IFERROR(__xludf.DUMMYFUNCTION("min(filter(Scores!B302:AX302,Scores!B302:AX302&gt;0))"),59.0)</f>
        <v>59</v>
      </c>
      <c r="C299" s="14">
        <v>2441.0</v>
      </c>
      <c r="D299" s="51" t="str">
        <f t="array" ref="D299">if(B299,if(countif(Scores!B302:AX302,B299)=1,concat("💎",XLOOKUP(B299,Scores!B302:AX302,Scores!B$1:AX$1)),concat("🥇 x",countif(Scores!B302:AX302,B299))),"")</f>
        <v>💎ox jam</v>
      </c>
      <c r="E299" s="14">
        <f>if(countif(Scores!B302:AX302,B299)=1,F299,-1)</f>
        <v>59</v>
      </c>
      <c r="F299" s="14">
        <f t="shared" si="1"/>
        <v>59</v>
      </c>
      <c r="G299" s="14">
        <f>IFERROR(__xludf.DUMMYFUNCTION("if(iferror(small(filter(Scores!B302:AX302,Scores!B302:AX302&gt;0),2),-1)&lt;&gt;F299,iferror(small(filter(Scores!B302:AX302,Scores!B302:AX302&gt;0),2),-1),-1)"),61.0)</f>
        <v>61</v>
      </c>
      <c r="H299" s="14">
        <f>IFERROR(__xludf.DUMMYFUNCTION("if(iferror(small(filter(Scores!B302:AX302,Scores!B302:AX302&gt;0),3),-1)&lt;&gt;iferror(small(filter(Scores!B302:AX302,Scores!B302:AX302&gt;0),2),-1),iferror(small(filter(Scores!B302:AX302,Scores!B302:AX302&gt;0),3),-1),-1)"),-1.0)</f>
        <v>-1</v>
      </c>
      <c r="I299" s="14">
        <f>IFERROR(__xludf.DUMMYFUNCTION("IFERROR(COLUMNS(filter(Scores!B302:AE302,Scores!B302:AE302)),"""")"),42.0)</f>
        <v>42</v>
      </c>
      <c r="J299" s="14">
        <f>COUNTIF(Scores!B302:AX302,B299)</f>
        <v>1</v>
      </c>
      <c r="K299" s="21">
        <f>IFERROR(__xludf.DUMMYFUNCTION("""COMPUTED_VALUE"""),291.0)</f>
        <v>291</v>
      </c>
      <c r="L299" s="36"/>
      <c r="S299" s="21">
        <v>196.0</v>
      </c>
      <c r="T299" s="14">
        <v>105.0</v>
      </c>
      <c r="U299" s="14">
        <v>2395.0</v>
      </c>
      <c r="W299" s="21">
        <v>111.0</v>
      </c>
      <c r="X299" s="14">
        <v>60.0</v>
      </c>
      <c r="Y299" s="14">
        <v>2440.0</v>
      </c>
      <c r="AA299" s="21">
        <v>296.0</v>
      </c>
      <c r="AB299" s="14">
        <v>42.0</v>
      </c>
      <c r="AC299" s="14">
        <v>55.0</v>
      </c>
    </row>
    <row r="300">
      <c r="A300" s="27">
        <f>HYPERLINK("https://arcprize.org/play?task=ba26e723", 292)</f>
        <v>292</v>
      </c>
      <c r="B300" s="14">
        <f>IFERROR(__xludf.DUMMYFUNCTION("min(filter(Scores!B303:AX303,Scores!B303:AX303&gt;0))"),51.0)</f>
        <v>51</v>
      </c>
      <c r="C300" s="14">
        <v>2449.0</v>
      </c>
      <c r="D300" s="51" t="str">
        <f t="array" ref="D300">if(B300,if(countif(Scores!B303:AX303,B300)=1,concat("💎",XLOOKUP(B300,Scores!B303:AX303,Scores!B$1:AX$1)),concat("🥇 x",countif(Scores!B303:AX303,B300))),"")</f>
        <v>💎ox jam</v>
      </c>
      <c r="E300" s="14">
        <f>if(countif(Scores!B303:AX303,B300)=1,F300,-1)</f>
        <v>51</v>
      </c>
      <c r="F300" s="14">
        <f t="shared" si="1"/>
        <v>51</v>
      </c>
      <c r="G300" s="14">
        <f>IFERROR(__xludf.DUMMYFUNCTION("if(iferror(small(filter(Scores!B303:AX303,Scores!B303:AX303&gt;0),2),-1)&lt;&gt;F300,iferror(small(filter(Scores!B303:AX303,Scores!B303:AX303&gt;0),2),-1),-1)"),52.0)</f>
        <v>52</v>
      </c>
      <c r="H300" s="14">
        <f>IFERROR(__xludf.DUMMYFUNCTION("if(iferror(small(filter(Scores!B303:AX303,Scores!B303:AX303&gt;0),3),-1)&lt;&gt;iferror(small(filter(Scores!B303:AX303,Scores!B303:AX303&gt;0),2),-1),iferror(small(filter(Scores!B303:AX303,Scores!B303:AX303&gt;0),3),-1),-1)"),-1.0)</f>
        <v>-1</v>
      </c>
      <c r="I300" s="14">
        <f>IFERROR(__xludf.DUMMYFUNCTION("IFERROR(COLUMNS(filter(Scores!B303:AE303,Scores!B303:AE303)),"""")"),43.0)</f>
        <v>43</v>
      </c>
      <c r="J300" s="14">
        <f>COUNTIF(Scores!B303:AX303,B300)</f>
        <v>1</v>
      </c>
      <c r="K300" s="21">
        <f>IFERROR(__xludf.DUMMYFUNCTION("""COMPUTED_VALUE"""),292.0)</f>
        <v>292</v>
      </c>
      <c r="L300" s="36"/>
      <c r="S300" s="21">
        <v>335.0</v>
      </c>
      <c r="T300" s="14">
        <v>105.0</v>
      </c>
      <c r="U300" s="14">
        <v>2395.0</v>
      </c>
      <c r="W300" s="21">
        <v>186.0</v>
      </c>
      <c r="X300" s="14">
        <v>60.0</v>
      </c>
      <c r="Y300" s="14">
        <v>2440.0</v>
      </c>
      <c r="AA300" s="21">
        <v>236.0</v>
      </c>
      <c r="AB300" s="14">
        <v>42.0</v>
      </c>
      <c r="AC300" s="14">
        <v>54.0</v>
      </c>
    </row>
    <row r="301">
      <c r="A301" s="27">
        <f>HYPERLINK("https://arcprize.org/play?task=ba97ae07", 293)</f>
        <v>293</v>
      </c>
      <c r="B301" s="14">
        <f>IFERROR(__xludf.DUMMYFUNCTION("min(filter(Scores!B304:AX304,Scores!B304:AX304&gt;0))"),59.0)</f>
        <v>59</v>
      </c>
      <c r="C301" s="14">
        <v>2441.0</v>
      </c>
      <c r="D301" s="51" t="str">
        <f t="array" ref="D301">if(B301,if(countif(Scores!B304:AX304,B301)=1,concat("💎",XLOOKUP(B301,Scores!B304:AX304,Scores!B$1:AX$1)),concat("🥇 x",countif(Scores!B304:AX304,B301))),"")</f>
        <v>💎jailctf merger</v>
      </c>
      <c r="E301" s="14">
        <f>if(countif(Scores!B304:AX304,B301)=1,F301,-1)</f>
        <v>59</v>
      </c>
      <c r="F301" s="14">
        <f t="shared" si="1"/>
        <v>59</v>
      </c>
      <c r="G301" s="14">
        <f>IFERROR(__xludf.DUMMYFUNCTION("if(iferror(small(filter(Scores!B304:AX304,Scores!B304:AX304&gt;0),2),-1)&lt;&gt;F301,iferror(small(filter(Scores!B304:AX304,Scores!B304:AX304&gt;0),2),-1),-1)"),60.0)</f>
        <v>60</v>
      </c>
      <c r="H301" s="14">
        <f>IFERROR(__xludf.DUMMYFUNCTION("if(iferror(small(filter(Scores!B304:AX304,Scores!B304:AX304&gt;0),3),-1)&lt;&gt;iferror(small(filter(Scores!B304:AX304,Scores!B304:AX304&gt;0),2),-1),iferror(small(filter(Scores!B304:AX304,Scores!B304:AX304&gt;0),3),-1),-1)"),-1.0)</f>
        <v>-1</v>
      </c>
      <c r="I301" s="14">
        <f>IFERROR(__xludf.DUMMYFUNCTION("IFERROR(COLUMNS(filter(Scores!B304:AE304,Scores!B304:AE304)),"""")"),41.0)</f>
        <v>41</v>
      </c>
      <c r="J301" s="14">
        <f>COUNTIF(Scores!B304:AX304,B301)</f>
        <v>1</v>
      </c>
      <c r="K301" s="21">
        <f>IFERROR(__xludf.DUMMYFUNCTION("""COMPUTED_VALUE"""),293.0)</f>
        <v>293</v>
      </c>
      <c r="L301" s="36"/>
      <c r="S301" s="21">
        <v>234.0</v>
      </c>
      <c r="T301" s="14">
        <v>106.0</v>
      </c>
      <c r="U301" s="14">
        <v>2394.0</v>
      </c>
      <c r="W301" s="21">
        <v>78.0</v>
      </c>
      <c r="X301" s="14">
        <v>59.0</v>
      </c>
      <c r="Y301" s="14">
        <v>2441.0</v>
      </c>
      <c r="AA301" s="21">
        <v>298.0</v>
      </c>
      <c r="AB301" s="14">
        <v>42.0</v>
      </c>
      <c r="AC301" s="14">
        <v>54.0</v>
      </c>
    </row>
    <row r="302">
      <c r="A302" s="27">
        <f>HYPERLINK("https://arcprize.org/play?task=bb43febb", 294)</f>
        <v>294</v>
      </c>
      <c r="B302" s="14">
        <f>IFERROR(__xludf.DUMMYFUNCTION("min(filter(Scores!B305:AX305,Scores!B305:AX305&gt;0))"),70.0)</f>
        <v>70</v>
      </c>
      <c r="C302" s="14">
        <v>2430.0</v>
      </c>
      <c r="D302" s="51" t="str">
        <f t="array" ref="D302">if(B302,if(countif(Scores!B305:AX305,B302)=1,concat("💎",XLOOKUP(B302,Scores!B305:AX305,Scores!B$1:AX$1)),concat("🥇 x",countif(Scores!B305:AX305,B302))),"")</f>
        <v>🥇 x9</v>
      </c>
      <c r="E302" s="14">
        <f>if(countif(Scores!B305:AX305,B302)=1,F302,-1)</f>
        <v>-1</v>
      </c>
      <c r="F302" s="14">
        <f t="shared" si="1"/>
        <v>70</v>
      </c>
      <c r="G302" s="14">
        <f>IFERROR(__xludf.DUMMYFUNCTION("if(iferror(small(filter(Scores!B305:AX305,Scores!B305:AX305&gt;0),2),-1)&lt;&gt;F302,iferror(small(filter(Scores!B305:AX305,Scores!B305:AX305&gt;0),2),-1),-1)"),-1.0)</f>
        <v>-1</v>
      </c>
      <c r="H302" s="14">
        <f>IFERROR(__xludf.DUMMYFUNCTION("if(iferror(small(filter(Scores!B305:AX305,Scores!B305:AX305&gt;0),3),-1)&lt;&gt;iferror(small(filter(Scores!B305:AX305,Scores!B305:AX305&gt;0),2),-1),iferror(small(filter(Scores!B305:AX305,Scores!B305:AX305&gt;0),3),-1),-1)"),-1.0)</f>
        <v>-1</v>
      </c>
      <c r="I302" s="14">
        <f>IFERROR(__xludf.DUMMYFUNCTION("IFERROR(COLUMNS(filter(Scores!B305:AE305,Scores!B305:AE305)),"""")"),41.0)</f>
        <v>41</v>
      </c>
      <c r="J302" s="14">
        <f>COUNTIF(Scores!B305:AX305,B302)</f>
        <v>9</v>
      </c>
      <c r="K302" s="21">
        <f>IFERROR(__xludf.DUMMYFUNCTION("""COMPUTED_VALUE"""),294.0)</f>
        <v>294</v>
      </c>
      <c r="L302" s="36"/>
      <c r="S302" s="21">
        <v>263.0</v>
      </c>
      <c r="T302" s="14">
        <v>106.0</v>
      </c>
      <c r="U302" s="14">
        <v>2394.0</v>
      </c>
      <c r="W302" s="21">
        <v>291.0</v>
      </c>
      <c r="X302" s="14">
        <v>59.0</v>
      </c>
      <c r="Y302" s="14">
        <v>2441.0</v>
      </c>
      <c r="AA302" s="21">
        <v>252.0</v>
      </c>
      <c r="AB302" s="14">
        <v>42.0</v>
      </c>
      <c r="AC302" s="14">
        <v>53.0</v>
      </c>
    </row>
    <row r="303">
      <c r="A303" s="27">
        <f>HYPERLINK("https://arcprize.org/play?task=bbc9ae5d", 295)</f>
        <v>295</v>
      </c>
      <c r="B303" s="14">
        <f>IFERROR(__xludf.DUMMYFUNCTION("min(filter(Scores!B306:AX306,Scores!B306:AX306&gt;0))"),54.0)</f>
        <v>54</v>
      </c>
      <c r="C303" s="14">
        <v>2446.0</v>
      </c>
      <c r="D303" s="51" t="str">
        <f t="array" ref="D303">if(B303,if(countif(Scores!B306:AX306,B303)=1,concat("💎",XLOOKUP(B303,Scores!B306:AX306,Scores!B$1:AX$1)),concat("🥇 x",countif(Scores!B306:AX306,B303))),"")</f>
        <v>🥇 x9</v>
      </c>
      <c r="E303" s="14">
        <f>if(countif(Scores!B306:AX306,B303)=1,F303,-1)</f>
        <v>-1</v>
      </c>
      <c r="F303" s="14">
        <f t="shared" si="1"/>
        <v>54</v>
      </c>
      <c r="G303" s="14">
        <f>IFERROR(__xludf.DUMMYFUNCTION("if(iferror(small(filter(Scores!B306:AX306,Scores!B306:AX306&gt;0),2),-1)&lt;&gt;F303,iferror(small(filter(Scores!B306:AX306,Scores!B306:AX306&gt;0),2),-1),-1)"),-1.0)</f>
        <v>-1</v>
      </c>
      <c r="H303" s="14">
        <f>IFERROR(__xludf.DUMMYFUNCTION("if(iferror(small(filter(Scores!B306:AX306,Scores!B306:AX306&gt;0),3),-1)&lt;&gt;iferror(small(filter(Scores!B306:AX306,Scores!B306:AX306&gt;0),2),-1),iferror(small(filter(Scores!B306:AX306,Scores!B306:AX306&gt;0),3),-1),-1)"),-1.0)</f>
        <v>-1</v>
      </c>
      <c r="I303" s="14">
        <f>IFERROR(__xludf.DUMMYFUNCTION("IFERROR(COLUMNS(filter(Scores!B306:AE306,Scores!B306:AE306)),"""")"),41.0)</f>
        <v>41</v>
      </c>
      <c r="J303" s="14">
        <f>COUNTIF(Scores!B306:AX306,B303)</f>
        <v>9</v>
      </c>
      <c r="K303" s="21">
        <f>IFERROR(__xludf.DUMMYFUNCTION("""COMPUTED_VALUE"""),295.0)</f>
        <v>295</v>
      </c>
      <c r="L303" s="36"/>
      <c r="S303" s="21">
        <v>279.0</v>
      </c>
      <c r="T303" s="14">
        <v>106.0</v>
      </c>
      <c r="U303" s="14">
        <v>2394.0</v>
      </c>
      <c r="W303" s="21">
        <v>293.0</v>
      </c>
      <c r="X303" s="14">
        <v>59.0</v>
      </c>
      <c r="Y303" s="14">
        <v>2441.0</v>
      </c>
      <c r="AA303" s="21">
        <v>395.0</v>
      </c>
      <c r="AB303" s="14">
        <v>42.0</v>
      </c>
      <c r="AC303" s="14">
        <v>53.0</v>
      </c>
    </row>
    <row r="304">
      <c r="A304" s="27">
        <f>HYPERLINK("https://arcprize.org/play?task=bc1d5164", 296)</f>
        <v>296</v>
      </c>
      <c r="B304" s="14">
        <f>IFERROR(__xludf.DUMMYFUNCTION("min(filter(Scores!B307:AX307,Scores!B307:AX307&gt;0))"),55.0)</f>
        <v>55</v>
      </c>
      <c r="C304" s="14">
        <v>2445.0</v>
      </c>
      <c r="D304" s="51" t="str">
        <f t="array" ref="D304">if(B304,if(countif(Scores!B307:AX307,B304)=1,concat("💎",XLOOKUP(B304,Scores!B307:AX307,Scores!B$1:AX$1)),concat("🥇 x",countif(Scores!B307:AX307,B304))),"")</f>
        <v>💎Code Golf International</v>
      </c>
      <c r="E304" s="14">
        <f>if(countif(Scores!B307:AX307,B304)=1,F304,-1)</f>
        <v>55</v>
      </c>
      <c r="F304" s="14">
        <f t="shared" si="1"/>
        <v>55</v>
      </c>
      <c r="G304" s="14">
        <f>IFERROR(__xludf.DUMMYFUNCTION("if(iferror(small(filter(Scores!B307:AX307,Scores!B307:AX307&gt;0),2),-1)&lt;&gt;F304,iferror(small(filter(Scores!B307:AX307,Scores!B307:AX307&gt;0),2),-1),-1)"),60.0)</f>
        <v>60</v>
      </c>
      <c r="H304" s="14">
        <f>IFERROR(__xludf.DUMMYFUNCTION("if(iferror(small(filter(Scores!B307:AX307,Scores!B307:AX307&gt;0),3),-1)&lt;&gt;iferror(small(filter(Scores!B307:AX307,Scores!B307:AX307&gt;0),2),-1),iferror(small(filter(Scores!B307:AX307,Scores!B307:AX307&gt;0),3),-1),-1)"),-1.0)</f>
        <v>-1</v>
      </c>
      <c r="I304" s="14">
        <f>IFERROR(__xludf.DUMMYFUNCTION("IFERROR(COLUMNS(filter(Scores!B307:AE307,Scores!B307:AE307)),"""")"),42.0)</f>
        <v>42</v>
      </c>
      <c r="J304" s="14">
        <f>COUNTIF(Scores!B307:AX307,B304)</f>
        <v>1</v>
      </c>
      <c r="K304" s="21">
        <f>IFERROR(__xludf.DUMMYFUNCTION("""COMPUTED_VALUE"""),296.0)</f>
        <v>296</v>
      </c>
      <c r="L304" s="36"/>
      <c r="S304" s="21">
        <v>342.0</v>
      </c>
      <c r="T304" s="14">
        <v>106.0</v>
      </c>
      <c r="U304" s="14">
        <v>2394.0</v>
      </c>
      <c r="W304" s="21">
        <v>1.0</v>
      </c>
      <c r="X304" s="14">
        <v>58.0</v>
      </c>
      <c r="Y304" s="14">
        <v>2442.0</v>
      </c>
      <c r="AA304" s="21">
        <v>317.0</v>
      </c>
      <c r="AB304" s="14">
        <v>42.0</v>
      </c>
      <c r="AC304" s="14">
        <v>43.0</v>
      </c>
    </row>
    <row r="305">
      <c r="A305" s="27">
        <f>HYPERLINK("https://arcprize.org/play?task=bd4472b8", 297)</f>
        <v>297</v>
      </c>
      <c r="B305" s="14">
        <f>IFERROR(__xludf.DUMMYFUNCTION("min(filter(Scores!B308:AX308,Scores!B308:AX308&gt;0))"),43.0)</f>
        <v>43</v>
      </c>
      <c r="C305" s="14">
        <v>2457.0</v>
      </c>
      <c r="D305" s="51" t="str">
        <f t="array" ref="D305">if(B305,if(countif(Scores!B308:AX308,B305)=1,concat("💎",XLOOKUP(B305,Scores!B308:AX308,Scores!B$1:AX$1)),concat("🥇 x",countif(Scores!B308:AX308,B305))),"")</f>
        <v>🥇 x15</v>
      </c>
      <c r="E305" s="14">
        <f>if(countif(Scores!B308:AX308,B305)=1,F305,-1)</f>
        <v>-1</v>
      </c>
      <c r="F305" s="14">
        <f t="shared" si="1"/>
        <v>43</v>
      </c>
      <c r="G305" s="14">
        <f>IFERROR(__xludf.DUMMYFUNCTION("if(iferror(small(filter(Scores!B308:AX308,Scores!B308:AX308&gt;0),2),-1)&lt;&gt;F305,iferror(small(filter(Scores!B308:AX308,Scores!B308:AX308&gt;0),2),-1),-1)"),-1.0)</f>
        <v>-1</v>
      </c>
      <c r="H305" s="14">
        <f>IFERROR(__xludf.DUMMYFUNCTION("if(iferror(small(filter(Scores!B308:AX308,Scores!B308:AX308&gt;0),3),-1)&lt;&gt;iferror(small(filter(Scores!B308:AX308,Scores!B308:AX308&gt;0),2),-1),iferror(small(filter(Scores!B308:AX308,Scores!B308:AX308&gt;0),3),-1),-1)"),-1.0)</f>
        <v>-1</v>
      </c>
      <c r="I305" s="14">
        <f>IFERROR(__xludf.DUMMYFUNCTION("IFERROR(COLUMNS(filter(Scores!B308:AE308,Scores!B308:AE308)),"""")"),44.0)</f>
        <v>44</v>
      </c>
      <c r="J305" s="14">
        <f>COUNTIF(Scores!B308:AX308,B305)</f>
        <v>15</v>
      </c>
      <c r="K305" s="21">
        <f>IFERROR(__xludf.DUMMYFUNCTION("""COMPUTED_VALUE"""),297.0)</f>
        <v>297</v>
      </c>
      <c r="L305" s="36"/>
      <c r="S305" s="21">
        <v>185.0</v>
      </c>
      <c r="T305" s="14">
        <v>107.0</v>
      </c>
      <c r="U305" s="14">
        <v>2393.0</v>
      </c>
      <c r="W305" s="21">
        <v>3.0</v>
      </c>
      <c r="X305" s="14">
        <v>58.0</v>
      </c>
      <c r="Y305" s="14">
        <v>2442.0</v>
      </c>
      <c r="AA305" s="21">
        <v>315.0</v>
      </c>
      <c r="AB305" s="14">
        <v>43.0</v>
      </c>
      <c r="AC305" s="14">
        <v>63.0</v>
      </c>
    </row>
    <row r="306">
      <c r="A306" s="27">
        <f>HYPERLINK("https://arcprize.org/play?task=bda2d7a6", 298)</f>
        <v>298</v>
      </c>
      <c r="B306" s="14">
        <f>IFERROR(__xludf.DUMMYFUNCTION("min(filter(Scores!B309:AX309,Scores!B309:AX309&gt;0))"),54.0)</f>
        <v>54</v>
      </c>
      <c r="C306" s="14">
        <v>2446.0</v>
      </c>
      <c r="D306" s="51" t="str">
        <f t="array" ref="D306">if(B306,if(countif(Scores!B309:AX309,B306)=1,concat("💎",XLOOKUP(B306,Scores!B309:AX309,Scores!B$1:AX$1)),concat("🥇 x",countif(Scores!B309:AX309,B306))),"")</f>
        <v>💎LogicLynx</v>
      </c>
      <c r="E306" s="14">
        <f>if(countif(Scores!B309:AX309,B306)=1,F306,-1)</f>
        <v>54</v>
      </c>
      <c r="F306" s="14">
        <f t="shared" si="1"/>
        <v>54</v>
      </c>
      <c r="G306" s="14">
        <f>IFERROR(__xludf.DUMMYFUNCTION("if(iferror(small(filter(Scores!B309:AX309,Scores!B309:AX309&gt;0),2),-1)&lt;&gt;F306,iferror(small(filter(Scores!B309:AX309,Scores!B309:AX309&gt;0),2),-1),-1)"),55.0)</f>
        <v>55</v>
      </c>
      <c r="H306" s="14">
        <f>IFERROR(__xludf.DUMMYFUNCTION("if(iferror(small(filter(Scores!B309:AX309,Scores!B309:AX309&gt;0),3),-1)&lt;&gt;iferror(small(filter(Scores!B309:AX309,Scores!B309:AX309&gt;0),2),-1),iferror(small(filter(Scores!B309:AX309,Scores!B309:AX309&gt;0),3),-1),-1)"),-1.0)</f>
        <v>-1</v>
      </c>
      <c r="I306" s="14">
        <f>IFERROR(__xludf.DUMMYFUNCTION("IFERROR(COLUMNS(filter(Scores!B309:AE309,Scores!B309:AE309)),"""")"),42.0)</f>
        <v>42</v>
      </c>
      <c r="J306" s="14">
        <f>COUNTIF(Scores!B309:AX309,B306)</f>
        <v>1</v>
      </c>
      <c r="K306" s="21">
        <f>IFERROR(__xludf.DUMMYFUNCTION("""COMPUTED_VALUE"""),298.0)</f>
        <v>298</v>
      </c>
      <c r="L306" s="36"/>
      <c r="S306" s="21">
        <v>198.0</v>
      </c>
      <c r="T306" s="14">
        <v>107.0</v>
      </c>
      <c r="U306" s="14">
        <v>2393.0</v>
      </c>
      <c r="W306" s="21">
        <v>146.0</v>
      </c>
      <c r="X306" s="14">
        <v>58.0</v>
      </c>
      <c r="Y306" s="14">
        <v>2442.0</v>
      </c>
      <c r="AA306" s="21">
        <v>391.0</v>
      </c>
      <c r="AB306" s="14">
        <v>43.0</v>
      </c>
      <c r="AC306" s="14">
        <v>63.0</v>
      </c>
    </row>
    <row r="307">
      <c r="A307" s="27">
        <f>HYPERLINK("https://arcprize.org/play?task=bdad9b1f", 299)</f>
        <v>299</v>
      </c>
      <c r="B307" s="14">
        <f>IFERROR(__xludf.DUMMYFUNCTION("min(filter(Scores!B310:AX310,Scores!B310:AX310&gt;0))"),54.0)</f>
        <v>54</v>
      </c>
      <c r="C307" s="14">
        <v>2446.0</v>
      </c>
      <c r="D307" s="51" t="str">
        <f t="array" ref="D307">if(B307,if(countif(Scores!B310:AX310,B307)=1,concat("💎",XLOOKUP(B307,Scores!B310:AX310,Scores!B$1:AX$1)),concat("🥇 x",countif(Scores!B310:AX310,B307))),"")</f>
        <v>🥇 x13</v>
      </c>
      <c r="E307" s="14">
        <f>if(countif(Scores!B310:AX310,B307)=1,F307,-1)</f>
        <v>-1</v>
      </c>
      <c r="F307" s="14">
        <f t="shared" si="1"/>
        <v>54</v>
      </c>
      <c r="G307" s="14">
        <f>IFERROR(__xludf.DUMMYFUNCTION("if(iferror(small(filter(Scores!B310:AX310,Scores!B310:AX310&gt;0),2),-1)&lt;&gt;F307,iferror(small(filter(Scores!B310:AX310,Scores!B310:AX310&gt;0),2),-1),-1)"),-1.0)</f>
        <v>-1</v>
      </c>
      <c r="H307" s="14">
        <f>IFERROR(__xludf.DUMMYFUNCTION("if(iferror(small(filter(Scores!B310:AX310,Scores!B310:AX310&gt;0),3),-1)&lt;&gt;iferror(small(filter(Scores!B310:AX310,Scores!B310:AX310&gt;0),2),-1),iferror(small(filter(Scores!B310:AX310,Scores!B310:AX310&gt;0),3),-1),-1)"),-1.0)</f>
        <v>-1</v>
      </c>
      <c r="I307" s="14">
        <f>IFERROR(__xludf.DUMMYFUNCTION("IFERROR(COLUMNS(filter(Scores!B310:AE310,Scores!B310:AE310)),"""")"),41.0)</f>
        <v>41</v>
      </c>
      <c r="J307" s="14">
        <f>COUNTIF(Scores!B310:AX310,B307)</f>
        <v>13</v>
      </c>
      <c r="K307" s="21">
        <f>IFERROR(__xludf.DUMMYFUNCTION("""COMPUTED_VALUE"""),299.0)</f>
        <v>299</v>
      </c>
      <c r="L307" s="36"/>
      <c r="S307" s="21">
        <v>169.0</v>
      </c>
      <c r="T307" s="14">
        <v>108.0</v>
      </c>
      <c r="U307" s="14">
        <v>2392.0</v>
      </c>
      <c r="W307" s="21">
        <v>332.0</v>
      </c>
      <c r="X307" s="14">
        <v>58.0</v>
      </c>
      <c r="Y307" s="14">
        <v>2442.0</v>
      </c>
      <c r="AA307" s="21">
        <v>303.0</v>
      </c>
      <c r="AB307" s="14">
        <v>43.0</v>
      </c>
      <c r="AC307" s="14">
        <v>62.0</v>
      </c>
    </row>
    <row r="308">
      <c r="A308" s="27">
        <f>HYPERLINK("https://arcprize.org/play?task=be94b721", 300)</f>
        <v>300</v>
      </c>
      <c r="B308" s="14">
        <f>IFERROR(__xludf.DUMMYFUNCTION("min(filter(Scores!B311:AX311,Scores!B311:AX311&gt;0))"),87.0)</f>
        <v>87</v>
      </c>
      <c r="C308" s="14">
        <v>2413.0</v>
      </c>
      <c r="D308" s="51" t="str">
        <f t="array" ref="D308">if(B308,if(countif(Scores!B311:AX311,B308)=1,concat("💎",XLOOKUP(B308,Scores!B311:AX311,Scores!B$1:AX$1)),concat("🥇 x",countif(Scores!B311:AX311,B308))),"")</f>
        <v>🥇 x4</v>
      </c>
      <c r="E308" s="14">
        <f>if(countif(Scores!B311:AX311,B308)=1,F308,-1)</f>
        <v>-1</v>
      </c>
      <c r="F308" s="14">
        <f t="shared" si="1"/>
        <v>87</v>
      </c>
      <c r="G308" s="14">
        <f>IFERROR(__xludf.DUMMYFUNCTION("if(iferror(small(filter(Scores!B311:AX311,Scores!B311:AX311&gt;0),2),-1)&lt;&gt;F308,iferror(small(filter(Scores!B311:AX311,Scores!B311:AX311&gt;0),2),-1),-1)"),-1.0)</f>
        <v>-1</v>
      </c>
      <c r="H308" s="14">
        <f>IFERROR(__xludf.DUMMYFUNCTION("if(iferror(small(filter(Scores!B311:AX311,Scores!B311:AX311&gt;0),3),-1)&lt;&gt;iferror(small(filter(Scores!B311:AX311,Scores!B311:AX311&gt;0),2),-1),iferror(small(filter(Scores!B311:AX311,Scores!B311:AX311&gt;0),3),-1),-1)"),-1.0)</f>
        <v>-1</v>
      </c>
      <c r="I308" s="14">
        <f>IFERROR(__xludf.DUMMYFUNCTION("IFERROR(COLUMNS(filter(Scores!B311:AE311,Scores!B311:AE311)),"""")"),42.0)</f>
        <v>42</v>
      </c>
      <c r="J308" s="14">
        <f>COUNTIF(Scores!B311:AX311,B308)</f>
        <v>4</v>
      </c>
      <c r="K308" s="21">
        <f>IFERROR(__xludf.DUMMYFUNCTION("""COMPUTED_VALUE"""),300.0)</f>
        <v>300</v>
      </c>
      <c r="L308" s="36"/>
      <c r="S308" s="21">
        <v>341.0</v>
      </c>
      <c r="T308" s="14">
        <v>108.0</v>
      </c>
      <c r="U308" s="14">
        <v>2392.0</v>
      </c>
      <c r="W308" s="21">
        <v>14.0</v>
      </c>
      <c r="X308" s="14">
        <v>57.0</v>
      </c>
      <c r="Y308" s="14">
        <v>2443.0</v>
      </c>
      <c r="AA308" s="21">
        <v>399.0</v>
      </c>
      <c r="AB308" s="14">
        <v>43.0</v>
      </c>
      <c r="AC308" s="14">
        <v>62.0</v>
      </c>
    </row>
    <row r="309">
      <c r="A309" s="27">
        <f>HYPERLINK("https://arcprize.org/play?task=beb8660c", 301)</f>
        <v>301</v>
      </c>
      <c r="B309" s="14">
        <f>IFERROR(__xludf.DUMMYFUNCTION("min(filter(Scores!B312:AX312,Scores!B312:AX312&gt;0))"),31.0)</f>
        <v>31</v>
      </c>
      <c r="C309" s="14">
        <v>2469.0</v>
      </c>
      <c r="D309" s="51" t="str">
        <f t="array" ref="D309">if(B309,if(countif(Scores!B312:AX312,B309)=1,concat("💎",XLOOKUP(B309,Scores!B312:AX312,Scores!B$1:AX$1)),concat("🥇 x",countif(Scores!B312:AX312,B309))),"")</f>
        <v>🥇 x29</v>
      </c>
      <c r="E309" s="14">
        <f>if(countif(Scores!B312:AX312,B309)=1,F309,-1)</f>
        <v>-1</v>
      </c>
      <c r="F309" s="14">
        <f t="shared" si="1"/>
        <v>31</v>
      </c>
      <c r="G309" s="14">
        <f>IFERROR(__xludf.DUMMYFUNCTION("if(iferror(small(filter(Scores!B312:AX312,Scores!B312:AX312&gt;0),2),-1)&lt;&gt;F309,iferror(small(filter(Scores!B312:AX312,Scores!B312:AX312&gt;0),2),-1),-1)"),-1.0)</f>
        <v>-1</v>
      </c>
      <c r="H309" s="14">
        <f>IFERROR(__xludf.DUMMYFUNCTION("if(iferror(small(filter(Scores!B312:AX312,Scores!B312:AX312&gt;0),3),-1)&lt;&gt;iferror(small(filter(Scores!B312:AX312,Scores!B312:AX312&gt;0),2),-1),iferror(small(filter(Scores!B312:AX312,Scores!B312:AX312&gt;0),3),-1),-1)"),-1.0)</f>
        <v>-1</v>
      </c>
      <c r="I309" s="14">
        <f>IFERROR(__xludf.DUMMYFUNCTION("IFERROR(COLUMNS(filter(Scores!B312:AE312,Scores!B312:AE312)),"""")"),45.0)</f>
        <v>45</v>
      </c>
      <c r="J309" s="14">
        <f>COUNTIF(Scores!B312:AX312,B309)</f>
        <v>29</v>
      </c>
      <c r="K309" s="21">
        <f>IFERROR(__xludf.DUMMYFUNCTION("""COMPUTED_VALUE"""),301.0)</f>
        <v>301</v>
      </c>
      <c r="L309" s="36"/>
      <c r="S309" s="21">
        <v>369.0</v>
      </c>
      <c r="T309" s="14">
        <v>109.0</v>
      </c>
      <c r="U309" s="14">
        <v>2391.0</v>
      </c>
      <c r="W309" s="21">
        <v>127.0</v>
      </c>
      <c r="X309" s="14">
        <v>57.0</v>
      </c>
      <c r="Y309" s="14">
        <v>2443.0</v>
      </c>
      <c r="AA309" s="21">
        <v>130.0</v>
      </c>
      <c r="AB309" s="14">
        <v>43.0</v>
      </c>
      <c r="AC309" s="14">
        <v>61.0</v>
      </c>
    </row>
    <row r="310">
      <c r="A310" s="27">
        <f>HYPERLINK("https://arcprize.org/play?task=c0f76784", 302)</f>
        <v>302</v>
      </c>
      <c r="B310" s="14">
        <f>IFERROR(__xludf.DUMMYFUNCTION("min(filter(Scores!B313:AX313,Scores!B313:AX313&gt;0))"),89.0)</f>
        <v>89</v>
      </c>
      <c r="C310" s="14">
        <v>2411.0</v>
      </c>
      <c r="D310" s="51" t="str">
        <f t="array" ref="D310">if(B310,if(countif(Scores!B313:AX313,B310)=1,concat("💎",XLOOKUP(B310,Scores!B313:AX313,Scores!B$1:AX$1)),concat("🥇 x",countif(Scores!B313:AX313,B310))),"")</f>
        <v>🥇 x2</v>
      </c>
      <c r="E310" s="14">
        <f>if(countif(Scores!B313:AX313,B310)=1,F310,-1)</f>
        <v>-1</v>
      </c>
      <c r="F310" s="14">
        <f t="shared" si="1"/>
        <v>89</v>
      </c>
      <c r="G310" s="14">
        <f>IFERROR(__xludf.DUMMYFUNCTION("if(iferror(small(filter(Scores!B313:AX313,Scores!B313:AX313&gt;0),2),-1)&lt;&gt;F310,iferror(small(filter(Scores!B313:AX313,Scores!B313:AX313&gt;0),2),-1),-1)"),-1.0)</f>
        <v>-1</v>
      </c>
      <c r="H310" s="14">
        <f>IFERROR(__xludf.DUMMYFUNCTION("if(iferror(small(filter(Scores!B313:AX313,Scores!B313:AX313&gt;0),3),-1)&lt;&gt;iferror(small(filter(Scores!B313:AX313,Scores!B313:AX313&gt;0),2),-1),iferror(small(filter(Scores!B313:AX313,Scores!B313:AX313&gt;0),3),-1),-1)"),91.0)</f>
        <v>91</v>
      </c>
      <c r="I310" s="14">
        <f>IFERROR(__xludf.DUMMYFUNCTION("IFERROR(COLUMNS(filter(Scores!B313:AE313,Scores!B313:AE313)),"""")"),39.0)</f>
        <v>39</v>
      </c>
      <c r="J310" s="14">
        <f>COUNTIF(Scores!B313:AX313,B310)</f>
        <v>2</v>
      </c>
      <c r="K310" s="21">
        <f>IFERROR(__xludf.DUMMYFUNCTION("""COMPUTED_VALUE"""),302.0)</f>
        <v>302</v>
      </c>
      <c r="L310" s="36"/>
      <c r="S310" s="21">
        <v>77.0</v>
      </c>
      <c r="T310" s="14">
        <v>110.0</v>
      </c>
      <c r="U310" s="14">
        <v>2390.0</v>
      </c>
      <c r="W310" s="21">
        <v>128.0</v>
      </c>
      <c r="X310" s="14">
        <v>57.0</v>
      </c>
      <c r="Y310" s="14">
        <v>2443.0</v>
      </c>
      <c r="AA310" s="21">
        <v>388.0</v>
      </c>
      <c r="AB310" s="14">
        <v>43.0</v>
      </c>
      <c r="AC310" s="14">
        <v>61.0</v>
      </c>
    </row>
    <row r="311">
      <c r="A311" s="27">
        <f>HYPERLINK("https://arcprize.org/play?task=c1d99e64", 303)</f>
        <v>303</v>
      </c>
      <c r="B311" s="14">
        <f>IFERROR(__xludf.DUMMYFUNCTION("min(filter(Scores!B314:AX314,Scores!B314:AX314&gt;0))"),62.0)</f>
        <v>62</v>
      </c>
      <c r="C311" s="14">
        <v>2438.0</v>
      </c>
      <c r="D311" s="51" t="str">
        <f t="array" ref="D311">if(B311,if(countif(Scores!B314:AX314,B311)=1,concat("💎",XLOOKUP(B311,Scores!B314:AX314,Scores!B$1:AX$1)),concat("🥇 x",countif(Scores!B314:AX314,B311))),"")</f>
        <v>💎Code Golf International</v>
      </c>
      <c r="E311" s="14">
        <f>if(countif(Scores!B314:AX314,B311)=1,F311,-1)</f>
        <v>62</v>
      </c>
      <c r="F311" s="14">
        <f t="shared" si="1"/>
        <v>62</v>
      </c>
      <c r="G311" s="14">
        <f>IFERROR(__xludf.DUMMYFUNCTION("if(iferror(small(filter(Scores!B314:AX314,Scores!B314:AX314&gt;0),2),-1)&lt;&gt;F311,iferror(small(filter(Scores!B314:AX314,Scores!B314:AX314&gt;0),2),-1),-1)"),63.0)</f>
        <v>63</v>
      </c>
      <c r="H311" s="14">
        <f>IFERROR(__xludf.DUMMYFUNCTION("if(iferror(small(filter(Scores!B314:AX314,Scores!B314:AX314&gt;0),3),-1)&lt;&gt;iferror(small(filter(Scores!B314:AX314,Scores!B314:AX314&gt;0),2),-1),iferror(small(filter(Scores!B314:AX314,Scores!B314:AX314&gt;0),3),-1),-1)"),-1.0)</f>
        <v>-1</v>
      </c>
      <c r="I311" s="14">
        <f>IFERROR(__xludf.DUMMYFUNCTION("IFERROR(COLUMNS(filter(Scores!B314:AE314,Scores!B314:AE314)),"""")"),43.0)</f>
        <v>43</v>
      </c>
      <c r="J311" s="14">
        <f>COUNTIF(Scores!B314:AX314,B311)</f>
        <v>1</v>
      </c>
      <c r="K311" s="21">
        <f>IFERROR(__xludf.DUMMYFUNCTION("""COMPUTED_VALUE"""),303.0)</f>
        <v>303</v>
      </c>
      <c r="L311" s="36"/>
      <c r="S311" s="21">
        <v>125.0</v>
      </c>
      <c r="T311" s="14">
        <v>110.0</v>
      </c>
      <c r="U311" s="14">
        <v>2390.0</v>
      </c>
      <c r="W311" s="21">
        <v>232.0</v>
      </c>
      <c r="X311" s="14">
        <v>57.0</v>
      </c>
      <c r="Y311" s="14">
        <v>2443.0</v>
      </c>
      <c r="AA311" s="21">
        <v>39.0</v>
      </c>
      <c r="AB311" s="14">
        <v>43.0</v>
      </c>
      <c r="AC311" s="14">
        <v>60.0</v>
      </c>
    </row>
    <row r="312">
      <c r="A312" s="27">
        <f>HYPERLINK("https://arcprize.org/play?task=c3e719e8", 304)</f>
        <v>304</v>
      </c>
      <c r="B312" s="14">
        <f>IFERROR(__xludf.DUMMYFUNCTION("min(filter(Scores!B315:AX315,Scores!B315:AX315&gt;0))"),92.0)</f>
        <v>92</v>
      </c>
      <c r="C312" s="14">
        <v>2408.0</v>
      </c>
      <c r="D312" s="51" t="str">
        <f t="array" ref="D312">if(B312,if(countif(Scores!B315:AX315,B312)=1,concat("💎",XLOOKUP(B312,Scores!B315:AX315,Scores!B$1:AX$1)),concat("🥇 x",countif(Scores!B315:AX315,B312))),"")</f>
        <v>🥇 x10</v>
      </c>
      <c r="E312" s="14">
        <f>if(countif(Scores!B315:AX315,B312)=1,F312,-1)</f>
        <v>-1</v>
      </c>
      <c r="F312" s="14">
        <f t="shared" si="1"/>
        <v>92</v>
      </c>
      <c r="G312" s="14">
        <f>IFERROR(__xludf.DUMMYFUNCTION("if(iferror(small(filter(Scores!B315:AX315,Scores!B315:AX315&gt;0),2),-1)&lt;&gt;F312,iferror(small(filter(Scores!B315:AX315,Scores!B315:AX315&gt;0),2),-1),-1)"),-1.0)</f>
        <v>-1</v>
      </c>
      <c r="H312" s="14">
        <f>IFERROR(__xludf.DUMMYFUNCTION("if(iferror(small(filter(Scores!B315:AX315,Scores!B315:AX315&gt;0),3),-1)&lt;&gt;iferror(small(filter(Scores!B315:AX315,Scores!B315:AX315&gt;0),2),-1),iferror(small(filter(Scores!B315:AX315,Scores!B315:AX315&gt;0),3),-1),-1)"),-1.0)</f>
        <v>-1</v>
      </c>
      <c r="I312" s="14">
        <f>IFERROR(__xludf.DUMMYFUNCTION("IFERROR(COLUMNS(filter(Scores!B315:AE315,Scores!B315:AE315)),"""")"),41.0)</f>
        <v>41</v>
      </c>
      <c r="J312" s="14">
        <f>COUNTIF(Scores!B315:AX315,B312)</f>
        <v>10</v>
      </c>
      <c r="K312" s="21">
        <f>IFERROR(__xludf.DUMMYFUNCTION("""COMPUTED_VALUE"""),304.0)</f>
        <v>304</v>
      </c>
      <c r="L312" s="36"/>
      <c r="S312" s="21">
        <v>168.0</v>
      </c>
      <c r="T312" s="14">
        <v>110.0</v>
      </c>
      <c r="U312" s="14">
        <v>2390.0</v>
      </c>
      <c r="W312" s="21">
        <v>389.0</v>
      </c>
      <c r="X312" s="14">
        <v>57.0</v>
      </c>
      <c r="Y312" s="14">
        <v>2443.0</v>
      </c>
      <c r="AA312" s="21">
        <v>111.0</v>
      </c>
      <c r="AB312" s="14">
        <v>43.0</v>
      </c>
      <c r="AC312" s="14">
        <v>60.0</v>
      </c>
    </row>
    <row r="313">
      <c r="A313" s="27">
        <f>HYPERLINK("https://arcprize.org/play?task=c3f564a4", 305)</f>
        <v>305</v>
      </c>
      <c r="B313" s="14">
        <f>IFERROR(__xludf.DUMMYFUNCTION("min(filter(Scores!B316:AX316,Scores!B316:AX316&gt;0))"),56.0)</f>
        <v>56</v>
      </c>
      <c r="C313" s="14">
        <v>2444.0</v>
      </c>
      <c r="D313" s="51" t="str">
        <f t="array" ref="D313">if(B313,if(countif(Scores!B316:AX316,B313)=1,concat("💎",XLOOKUP(B313,Scores!B316:AX316,Scores!B$1:AX$1)),concat("🥇 x",countif(Scores!B316:AX316,B313))),"")</f>
        <v>💎biz</v>
      </c>
      <c r="E313" s="14">
        <f>if(countif(Scores!B316:AX316,B313)=1,F313,-1)</f>
        <v>56</v>
      </c>
      <c r="F313" s="14">
        <f t="shared" si="1"/>
        <v>56</v>
      </c>
      <c r="G313" s="14">
        <f>IFERROR(__xludf.DUMMYFUNCTION("if(iferror(small(filter(Scores!B316:AX316,Scores!B316:AX316&gt;0),2),-1)&lt;&gt;F313,iferror(small(filter(Scores!B316:AX316,Scores!B316:AX316&gt;0),2),-1),-1)"),57.0)</f>
        <v>57</v>
      </c>
      <c r="H313" s="14">
        <f>IFERROR(__xludf.DUMMYFUNCTION("if(iferror(small(filter(Scores!B316:AX316,Scores!B316:AX316&gt;0),3),-1)&lt;&gt;iferror(small(filter(Scores!B316:AX316,Scores!B316:AX316&gt;0),2),-1),iferror(small(filter(Scores!B316:AX316,Scores!B316:AX316&gt;0),3),-1),-1)"),-1.0)</f>
        <v>-1</v>
      </c>
      <c r="I313" s="14">
        <f>IFERROR(__xludf.DUMMYFUNCTION("IFERROR(COLUMNS(filter(Scores!B316:AE316,Scores!B316:AE316)),"""")"),41.0)</f>
        <v>41</v>
      </c>
      <c r="J313" s="14">
        <f>COUNTIF(Scores!B316:AX316,B313)</f>
        <v>1</v>
      </c>
      <c r="K313" s="21">
        <f>IFERROR(__xludf.DUMMYFUNCTION("""COMPUTED_VALUE"""),305.0)</f>
        <v>305</v>
      </c>
      <c r="L313" s="36"/>
      <c r="S313" s="21">
        <v>330.0</v>
      </c>
      <c r="T313" s="14">
        <v>110.0</v>
      </c>
      <c r="U313" s="14">
        <v>2390.0</v>
      </c>
      <c r="W313" s="21">
        <v>43.0</v>
      </c>
      <c r="X313" s="14">
        <v>56.0</v>
      </c>
      <c r="Y313" s="14">
        <v>2444.0</v>
      </c>
      <c r="AA313" s="21">
        <v>146.0</v>
      </c>
      <c r="AB313" s="14">
        <v>43.0</v>
      </c>
      <c r="AC313" s="14">
        <v>58.0</v>
      </c>
    </row>
    <row r="314">
      <c r="A314" s="27">
        <f>HYPERLINK("https://arcprize.org/play?task=c444b776", 306)</f>
        <v>306</v>
      </c>
      <c r="B314" s="14">
        <f>IFERROR(__xludf.DUMMYFUNCTION("min(filter(Scores!B317:AX317,Scores!B317:AX317&gt;0))"),63.0)</f>
        <v>63</v>
      </c>
      <c r="C314" s="14">
        <v>2437.0</v>
      </c>
      <c r="D314" s="51" t="str">
        <f t="array" ref="D314">if(B314,if(countif(Scores!B317:AX317,B314)=1,concat("💎",XLOOKUP(B314,Scores!B317:AX317,Scores!B$1:AX$1)),concat("🥇 x",countif(Scores!B317:AX317,B314))),"")</f>
        <v>🥇 x3</v>
      </c>
      <c r="E314" s="14">
        <f>if(countif(Scores!B317:AX317,B314)=1,F314,-1)</f>
        <v>-1</v>
      </c>
      <c r="F314" s="14">
        <f t="shared" si="1"/>
        <v>63</v>
      </c>
      <c r="G314" s="14">
        <f>IFERROR(__xludf.DUMMYFUNCTION("if(iferror(small(filter(Scores!B317:AX317,Scores!B317:AX317&gt;0),2),-1)&lt;&gt;F314,iferror(small(filter(Scores!B317:AX317,Scores!B317:AX317&gt;0),2),-1),-1)"),-1.0)</f>
        <v>-1</v>
      </c>
      <c r="H314" s="14">
        <f>IFERROR(__xludf.DUMMYFUNCTION("if(iferror(small(filter(Scores!B317:AX317,Scores!B317:AX317&gt;0),3),-1)&lt;&gt;iferror(small(filter(Scores!B317:AX317,Scores!B317:AX317&gt;0),2),-1),iferror(small(filter(Scores!B317:AX317,Scores!B317:AX317&gt;0),3),-1),-1)"),-1.0)</f>
        <v>-1</v>
      </c>
      <c r="I314" s="14">
        <f>IFERROR(__xludf.DUMMYFUNCTION("IFERROR(COLUMNS(filter(Scores!B317:AE317,Scores!B317:AE317)),"""")"),38.0)</f>
        <v>38</v>
      </c>
      <c r="J314" s="14">
        <f>COUNTIF(Scores!B317:AX317,B314)</f>
        <v>3</v>
      </c>
      <c r="K314" s="21">
        <f>IFERROR(__xludf.DUMMYFUNCTION("""COMPUTED_VALUE"""),306.0)</f>
        <v>306</v>
      </c>
      <c r="L314" s="36"/>
      <c r="S314" s="21">
        <v>397.0</v>
      </c>
      <c r="T314" s="14">
        <v>110.0</v>
      </c>
      <c r="U314" s="14">
        <v>2390.0</v>
      </c>
      <c r="W314" s="21">
        <v>218.0</v>
      </c>
      <c r="X314" s="14">
        <v>56.0</v>
      </c>
      <c r="Y314" s="14">
        <v>2444.0</v>
      </c>
      <c r="AA314" s="21">
        <v>332.0</v>
      </c>
      <c r="AB314" s="14">
        <v>43.0</v>
      </c>
      <c r="AC314" s="14">
        <v>58.0</v>
      </c>
    </row>
    <row r="315">
      <c r="A315" s="27">
        <f>HYPERLINK("https://arcprize.org/play?task=c59eb873", 307)</f>
        <v>307</v>
      </c>
      <c r="B315" s="14">
        <f>IFERROR(__xludf.DUMMYFUNCTION("min(filter(Scores!B318:AX318,Scores!B318:AX318&gt;0))"),46.0)</f>
        <v>46</v>
      </c>
      <c r="C315" s="14">
        <v>2454.0</v>
      </c>
      <c r="D315" s="51" t="str">
        <f t="array" ref="D315">if(B315,if(countif(Scores!B318:AX318,B315)=1,concat("💎",XLOOKUP(B315,Scores!B318:AX318,Scores!B$1:AX$1)),concat("🥇 x",countif(Scores!B318:AX318,B315))),"")</f>
        <v>🥇 x2</v>
      </c>
      <c r="E315" s="14">
        <f>if(countif(Scores!B318:AX318,B315)=1,F315,-1)</f>
        <v>-1</v>
      </c>
      <c r="F315" s="14">
        <f t="shared" si="1"/>
        <v>46</v>
      </c>
      <c r="G315" s="14">
        <f>IFERROR(__xludf.DUMMYFUNCTION("if(iferror(small(filter(Scores!B318:AX318,Scores!B318:AX318&gt;0),2),-1)&lt;&gt;F315,iferror(small(filter(Scores!B318:AX318,Scores!B318:AX318&gt;0),2),-1),-1)"),-1.0)</f>
        <v>-1</v>
      </c>
      <c r="H315" s="14">
        <f>IFERROR(__xludf.DUMMYFUNCTION("if(iferror(small(filter(Scores!B318:AX318,Scores!B318:AX318&gt;0),3),-1)&lt;&gt;iferror(small(filter(Scores!B318:AX318,Scores!B318:AX318&gt;0),2),-1),iferror(small(filter(Scores!B318:AX318,Scores!B318:AX318&gt;0),3),-1),-1)"),50.0)</f>
        <v>50</v>
      </c>
      <c r="I315" s="14">
        <f>IFERROR(__xludf.DUMMYFUNCTION("IFERROR(COLUMNS(filter(Scores!B318:AE318,Scores!B318:AE318)),"""")"),44.0)</f>
        <v>44</v>
      </c>
      <c r="J315" s="14">
        <f>COUNTIF(Scores!B318:AX318,B315)</f>
        <v>2</v>
      </c>
      <c r="K315" s="21">
        <f>IFERROR(__xludf.DUMMYFUNCTION("""COMPUTED_VALUE"""),307.0)</f>
        <v>307</v>
      </c>
      <c r="L315" s="36"/>
      <c r="S315" s="21">
        <v>51.0</v>
      </c>
      <c r="T315" s="14">
        <v>111.0</v>
      </c>
      <c r="U315" s="14">
        <v>2389.0</v>
      </c>
      <c r="W315" s="21">
        <v>305.0</v>
      </c>
      <c r="X315" s="14">
        <v>56.0</v>
      </c>
      <c r="Y315" s="14">
        <v>2444.0</v>
      </c>
      <c r="AA315" s="21">
        <v>232.0</v>
      </c>
      <c r="AB315" s="14">
        <v>43.0</v>
      </c>
      <c r="AC315" s="14">
        <v>57.0</v>
      </c>
    </row>
    <row r="316">
      <c r="A316" s="27">
        <f>HYPERLINK("https://arcprize.org/play?task=c8cbb738", 308)</f>
        <v>308</v>
      </c>
      <c r="B316" s="14">
        <f>IFERROR(__xludf.DUMMYFUNCTION("min(filter(Scores!B319:AX319,Scores!B319:AX319&gt;0))"),192.0)</f>
        <v>192</v>
      </c>
      <c r="C316" s="14">
        <v>2308.0</v>
      </c>
      <c r="D316" s="51" t="str">
        <f t="array" ref="D316">if(B316,if(countif(Scores!B319:AX319,B316)=1,concat("💎",XLOOKUP(B316,Scores!B319:AX319,Scores!B$1:AX$1)),concat("🥇 x",countif(Scores!B319:AX319,B316))),"")</f>
        <v>💎lv1.dev</v>
      </c>
      <c r="E316" s="14">
        <f>if(countif(Scores!B319:AX319,B316)=1,F316,-1)</f>
        <v>192</v>
      </c>
      <c r="F316" s="14">
        <f t="shared" si="1"/>
        <v>192</v>
      </c>
      <c r="G316" s="14">
        <f>IFERROR(__xludf.DUMMYFUNCTION("if(iferror(small(filter(Scores!B319:AX319,Scores!B319:AX319&gt;0),2),-1)&lt;&gt;F316,iferror(small(filter(Scores!B319:AX319,Scores!B319:AX319&gt;0),2),-1),-1)"),195.0)</f>
        <v>195</v>
      </c>
      <c r="H316" s="14">
        <f>IFERROR(__xludf.DUMMYFUNCTION("if(iferror(small(filter(Scores!B319:AX319,Scores!B319:AX319&gt;0),3),-1)&lt;&gt;iferror(small(filter(Scores!B319:AX319,Scores!B319:AX319&gt;0),2),-1),iferror(small(filter(Scores!B319:AX319,Scores!B319:AX319&gt;0),3),-1),-1)"),202.0)</f>
        <v>202</v>
      </c>
      <c r="I316" s="14">
        <f>IFERROR(__xludf.DUMMYFUNCTION("IFERROR(COLUMNS(filter(Scores!B319:AE319,Scores!B319:AE319)),"""")"),36.0)</f>
        <v>36</v>
      </c>
      <c r="J316" s="14">
        <f>COUNTIF(Scores!B319:AX319,B316)</f>
        <v>1</v>
      </c>
      <c r="K316" s="21">
        <f>IFERROR(__xludf.DUMMYFUNCTION("""COMPUTED_VALUE"""),308.0)</f>
        <v>308</v>
      </c>
      <c r="L316" s="36"/>
      <c r="S316" s="21">
        <v>216.0</v>
      </c>
      <c r="T316" s="14">
        <v>111.0</v>
      </c>
      <c r="U316" s="14">
        <v>2389.0</v>
      </c>
      <c r="W316" s="21">
        <v>47.0</v>
      </c>
      <c r="X316" s="14">
        <v>55.0</v>
      </c>
      <c r="Y316" s="14">
        <v>2445.0</v>
      </c>
      <c r="AA316" s="21">
        <v>389.0</v>
      </c>
      <c r="AB316" s="14">
        <v>43.0</v>
      </c>
      <c r="AC316" s="14">
        <v>57.0</v>
      </c>
    </row>
    <row r="317">
      <c r="A317" s="27">
        <f>HYPERLINK("https://arcprize.org/play?task=c8f0f002", 309)</f>
        <v>309</v>
      </c>
      <c r="B317" s="14">
        <f>IFERROR(__xludf.DUMMYFUNCTION("min(filter(Scores!B320:AX320,Scores!B320:AX320&gt;0))"),36.0)</f>
        <v>36</v>
      </c>
      <c r="C317" s="14">
        <v>2464.0</v>
      </c>
      <c r="D317" s="51" t="str">
        <f t="array" ref="D317">if(B317,if(countif(Scores!B320:AX320,B317)=1,concat("💎",XLOOKUP(B317,Scores!B320:AX320,Scores!B$1:AX$1)),concat("🥇 x",countif(Scores!B320:AX320,B317))),"")</f>
        <v>💎Code Golf International</v>
      </c>
      <c r="E317" s="14">
        <f>if(countif(Scores!B320:AX320,B317)=1,F317,-1)</f>
        <v>36</v>
      </c>
      <c r="F317" s="14">
        <f t="shared" si="1"/>
        <v>36</v>
      </c>
      <c r="G317" s="14">
        <f>IFERROR(__xludf.DUMMYFUNCTION("if(iferror(small(filter(Scores!B320:AX320,Scores!B320:AX320&gt;0),2),-1)&lt;&gt;F317,iferror(small(filter(Scores!B320:AX320,Scores!B320:AX320&gt;0),2),-1),-1)"),38.0)</f>
        <v>38</v>
      </c>
      <c r="H317" s="14">
        <f>IFERROR(__xludf.DUMMYFUNCTION("if(iferror(small(filter(Scores!B320:AX320,Scores!B320:AX320&gt;0),3),-1)&lt;&gt;iferror(small(filter(Scores!B320:AX320,Scores!B320:AX320&gt;0),2),-1),iferror(small(filter(Scores!B320:AX320,Scores!B320:AX320&gt;0),3),-1),-1)"),-1.0)</f>
        <v>-1</v>
      </c>
      <c r="I317" s="14">
        <f>IFERROR(__xludf.DUMMYFUNCTION("IFERROR(COLUMNS(filter(Scores!B320:AE320,Scores!B320:AE320)),"""")"),45.0)</f>
        <v>45</v>
      </c>
      <c r="J317" s="14">
        <f>COUNTIF(Scores!B320:AX320,B317)</f>
        <v>1</v>
      </c>
      <c r="K317" s="21">
        <f>IFERROR(__xludf.DUMMYFUNCTION("""COMPUTED_VALUE"""),309.0)</f>
        <v>309</v>
      </c>
      <c r="L317" s="36"/>
      <c r="S317" s="21">
        <v>340.0</v>
      </c>
      <c r="T317" s="14">
        <v>111.0</v>
      </c>
      <c r="U317" s="14">
        <v>2389.0</v>
      </c>
      <c r="W317" s="21">
        <v>106.0</v>
      </c>
      <c r="X317" s="14">
        <v>55.0</v>
      </c>
      <c r="Y317" s="14">
        <v>2445.0</v>
      </c>
      <c r="AA317" s="21">
        <v>242.0</v>
      </c>
      <c r="AB317" s="14">
        <v>43.0</v>
      </c>
      <c r="AC317" s="14">
        <v>54.0</v>
      </c>
    </row>
    <row r="318">
      <c r="A318" s="27">
        <f>HYPERLINK("https://arcprize.org/play?task=c909285e", 310)</f>
        <v>310</v>
      </c>
      <c r="B318" s="14">
        <f>IFERROR(__xludf.DUMMYFUNCTION("min(filter(Scores!B321:AX321,Scores!B321:AX321&gt;0))"),70.0)</f>
        <v>70</v>
      </c>
      <c r="C318" s="14">
        <v>2430.0</v>
      </c>
      <c r="D318" s="51" t="str">
        <f t="array" ref="D318">if(B318,if(countif(Scores!B321:AX321,B318)=1,concat("💎",XLOOKUP(B318,Scores!B321:AX321,Scores!B$1:AX$1)),concat("🥇 x",countif(Scores!B321:AX321,B318))),"")</f>
        <v>💎ox jam</v>
      </c>
      <c r="E318" s="14">
        <f>if(countif(Scores!B321:AX321,B318)=1,F318,-1)</f>
        <v>70</v>
      </c>
      <c r="F318" s="14">
        <f t="shared" si="1"/>
        <v>70</v>
      </c>
      <c r="G318" s="14">
        <f>IFERROR(__xludf.DUMMYFUNCTION("if(iferror(small(filter(Scores!B321:AX321,Scores!B321:AX321&gt;0),2),-1)&lt;&gt;F318,iferror(small(filter(Scores!B321:AX321,Scores!B321:AX321&gt;0),2),-1),-1)"),78.0)</f>
        <v>78</v>
      </c>
      <c r="H318" s="14">
        <f>IFERROR(__xludf.DUMMYFUNCTION("if(iferror(small(filter(Scores!B321:AX321,Scores!B321:AX321&gt;0),3),-1)&lt;&gt;iferror(small(filter(Scores!B321:AX321,Scores!B321:AX321&gt;0),2),-1),iferror(small(filter(Scores!B321:AX321,Scores!B321:AX321&gt;0),3),-1),-1)"),81.0)</f>
        <v>81</v>
      </c>
      <c r="I318" s="14">
        <f>IFERROR(__xludf.DUMMYFUNCTION("IFERROR(COLUMNS(filter(Scores!B321:AE321,Scores!B321:AE321)),"""")"),39.0)</f>
        <v>39</v>
      </c>
      <c r="J318" s="14">
        <f>COUNTIF(Scores!B321:AX321,B318)</f>
        <v>1</v>
      </c>
      <c r="K318" s="21">
        <f>IFERROR(__xludf.DUMMYFUNCTION("""COMPUTED_VALUE"""),310.0)</f>
        <v>310</v>
      </c>
      <c r="L318" s="36"/>
      <c r="S318" s="21">
        <v>365.0</v>
      </c>
      <c r="T318" s="14">
        <v>111.0</v>
      </c>
      <c r="U318" s="14">
        <v>2389.0</v>
      </c>
      <c r="W318" s="21">
        <v>194.0</v>
      </c>
      <c r="X318" s="14">
        <v>55.0</v>
      </c>
      <c r="Y318" s="14">
        <v>2445.0</v>
      </c>
      <c r="AA318" s="21">
        <v>227.0</v>
      </c>
      <c r="AB318" s="14">
        <v>43.0</v>
      </c>
      <c r="AC318" s="14">
        <v>52.0</v>
      </c>
    </row>
    <row r="319">
      <c r="A319" s="27">
        <f>HYPERLINK("https://arcprize.org/play?task=c9e6f938", 311)</f>
        <v>311</v>
      </c>
      <c r="B319" s="14">
        <f>IFERROR(__xludf.DUMMYFUNCTION("min(filter(Scores!B322:AX322,Scores!B322:AX322&gt;0))"),32.0)</f>
        <v>32</v>
      </c>
      <c r="C319" s="14">
        <v>2468.0</v>
      </c>
      <c r="D319" s="51" t="str">
        <f t="array" ref="D319">if(B319,if(countif(Scores!B322:AX322,B319)=1,concat("💎",XLOOKUP(B319,Scores!B322:AX322,Scores!B$1:AX$1)),concat("🥇 x",countif(Scores!B322:AX322,B319))),"")</f>
        <v>🥇 x44</v>
      </c>
      <c r="E319" s="14">
        <f>if(countif(Scores!B322:AX322,B319)=1,F319,-1)</f>
        <v>-1</v>
      </c>
      <c r="F319" s="14">
        <f t="shared" si="1"/>
        <v>32</v>
      </c>
      <c r="G319" s="14">
        <f>IFERROR(__xludf.DUMMYFUNCTION("if(iferror(small(filter(Scores!B322:AX322,Scores!B322:AX322&gt;0),2),-1)&lt;&gt;F319,iferror(small(filter(Scores!B322:AX322,Scores!B322:AX322&gt;0),2),-1),-1)"),-1.0)</f>
        <v>-1</v>
      </c>
      <c r="H319" s="14">
        <f>IFERROR(__xludf.DUMMYFUNCTION("if(iferror(small(filter(Scores!B322:AX322,Scores!B322:AX322&gt;0),3),-1)&lt;&gt;iferror(small(filter(Scores!B322:AX322,Scores!B322:AX322&gt;0),2),-1),iferror(small(filter(Scores!B322:AX322,Scores!B322:AX322&gt;0),3),-1),-1)"),-1.0)</f>
        <v>-1</v>
      </c>
      <c r="I319" s="14">
        <f>IFERROR(__xludf.DUMMYFUNCTION("IFERROR(COLUMNS(filter(Scores!B322:AE322,Scores!B322:AE322)),"""")"),45.0)</f>
        <v>45</v>
      </c>
      <c r="J319" s="14">
        <f>COUNTIF(Scores!B322:AX322,B319)</f>
        <v>44</v>
      </c>
      <c r="K319" s="21">
        <f>IFERROR(__xludf.DUMMYFUNCTION("""COMPUTED_VALUE"""),311.0)</f>
        <v>311</v>
      </c>
      <c r="L319" s="36"/>
      <c r="S319" s="21">
        <v>165.0</v>
      </c>
      <c r="T319" s="14">
        <v>112.0</v>
      </c>
      <c r="U319" s="14">
        <v>2388.0</v>
      </c>
      <c r="W319" s="21">
        <v>296.0</v>
      </c>
      <c r="X319" s="14">
        <v>55.0</v>
      </c>
      <c r="Y319" s="14">
        <v>2445.0</v>
      </c>
      <c r="AA319" s="21">
        <v>197.0</v>
      </c>
      <c r="AB319" s="14">
        <v>43.0</v>
      </c>
      <c r="AC319" s="14">
        <v>51.0</v>
      </c>
    </row>
    <row r="320">
      <c r="A320" s="27">
        <f>HYPERLINK("https://arcprize.org/play?task=c9f8e694", 312)</f>
        <v>312</v>
      </c>
      <c r="B320" s="14">
        <f>IFERROR(__xludf.DUMMYFUNCTION("min(filter(Scores!B323:AX323,Scores!B323:AX323&gt;0))"),44.0)</f>
        <v>44</v>
      </c>
      <c r="C320" s="14">
        <v>2456.0</v>
      </c>
      <c r="D320" s="51" t="str">
        <f t="array" ref="D320">if(B320,if(countif(Scores!B323:AX323,B320)=1,concat("💎",XLOOKUP(B320,Scores!B323:AX323,Scores!B$1:AX$1)),concat("🥇 x",countif(Scores!B323:AX323,B320))),"")</f>
        <v>🥇 x9</v>
      </c>
      <c r="E320" s="14">
        <f>if(countif(Scores!B323:AX323,B320)=1,F320,-1)</f>
        <v>-1</v>
      </c>
      <c r="F320" s="14">
        <f t="shared" si="1"/>
        <v>44</v>
      </c>
      <c r="G320" s="14">
        <f>IFERROR(__xludf.DUMMYFUNCTION("if(iferror(small(filter(Scores!B323:AX323,Scores!B323:AX323&gt;0),2),-1)&lt;&gt;F320,iferror(small(filter(Scores!B323:AX323,Scores!B323:AX323&gt;0),2),-1),-1)"),-1.0)</f>
        <v>-1</v>
      </c>
      <c r="H320" s="14">
        <f>IFERROR(__xludf.DUMMYFUNCTION("if(iferror(small(filter(Scores!B323:AX323,Scores!B323:AX323&gt;0),3),-1)&lt;&gt;iferror(small(filter(Scores!B323:AX323,Scores!B323:AX323&gt;0),2),-1),iferror(small(filter(Scores!B323:AX323,Scores!B323:AX323&gt;0),3),-1),-1)"),-1.0)</f>
        <v>-1</v>
      </c>
      <c r="I320" s="14">
        <f>IFERROR(__xludf.DUMMYFUNCTION("IFERROR(COLUMNS(filter(Scores!B323:AE323,Scores!B323:AE323)),"""")"),45.0)</f>
        <v>45</v>
      </c>
      <c r="J320" s="14">
        <f>COUNTIF(Scores!B323:AX323,B320)</f>
        <v>9</v>
      </c>
      <c r="K320" s="21">
        <f>IFERROR(__xludf.DUMMYFUNCTION("""COMPUTED_VALUE"""),312.0)</f>
        <v>312</v>
      </c>
      <c r="L320" s="36"/>
      <c r="S320" s="21">
        <v>11.0</v>
      </c>
      <c r="T320" s="14">
        <v>114.0</v>
      </c>
      <c r="U320" s="14">
        <v>2386.0</v>
      </c>
      <c r="W320" s="21">
        <v>377.0</v>
      </c>
      <c r="X320" s="14">
        <v>55.0</v>
      </c>
      <c r="Y320" s="14">
        <v>2445.0</v>
      </c>
      <c r="AA320" s="21">
        <v>292.0</v>
      </c>
      <c r="AB320" s="14">
        <v>43.0</v>
      </c>
      <c r="AC320" s="14">
        <v>51.0</v>
      </c>
    </row>
    <row r="321">
      <c r="A321" s="27">
        <f>HYPERLINK("https://arcprize.org/play?task=caa06a1f", 313)</f>
        <v>313</v>
      </c>
      <c r="B321" s="14">
        <f>IFERROR(__xludf.DUMMYFUNCTION("min(filter(Scores!B324:AX324,Scores!B324:AX324&gt;0))"),61.0)</f>
        <v>61</v>
      </c>
      <c r="C321" s="14">
        <v>2439.0</v>
      </c>
      <c r="D321" s="51" t="str">
        <f t="array" ref="D321">if(B321,if(countif(Scores!B324:AX324,B321)=1,concat("💎",XLOOKUP(B321,Scores!B324:AX324,Scores!B$1:AX$1)),concat("🥇 x",countif(Scores!B324:AX324,B321))),"")</f>
        <v>💎Code Golf International</v>
      </c>
      <c r="E321" s="14">
        <f>if(countif(Scores!B324:AX324,B321)=1,F321,-1)</f>
        <v>61</v>
      </c>
      <c r="F321" s="14">
        <f t="shared" si="1"/>
        <v>61</v>
      </c>
      <c r="G321" s="14">
        <f>IFERROR(__xludf.DUMMYFUNCTION("if(iferror(small(filter(Scores!B324:AX324,Scores!B324:AX324&gt;0),2),-1)&lt;&gt;F321,iferror(small(filter(Scores!B324:AX324,Scores!B324:AX324&gt;0),2),-1),-1)"),62.0)</f>
        <v>62</v>
      </c>
      <c r="H321" s="14">
        <f>IFERROR(__xludf.DUMMYFUNCTION("if(iferror(small(filter(Scores!B324:AX324,Scores!B324:AX324&gt;0),3),-1)&lt;&gt;iferror(small(filter(Scores!B324:AX324,Scores!B324:AX324&gt;0),2),-1),iferror(small(filter(Scores!B324:AX324,Scores!B324:AX324&gt;0),3),-1),-1)"),63.0)</f>
        <v>63</v>
      </c>
      <c r="I321" s="14">
        <f>IFERROR(__xludf.DUMMYFUNCTION("IFERROR(COLUMNS(filter(Scores!B324:AE324,Scores!B324:AE324)),"""")"),41.0)</f>
        <v>41</v>
      </c>
      <c r="J321" s="14">
        <f>COUNTIF(Scores!B324:AX324,B321)</f>
        <v>1</v>
      </c>
      <c r="K321" s="21">
        <f>IFERROR(__xludf.DUMMYFUNCTION("""COMPUTED_VALUE"""),313.0)</f>
        <v>313</v>
      </c>
      <c r="L321" s="36"/>
      <c r="S321" s="21">
        <v>224.0</v>
      </c>
      <c r="T321" s="14">
        <v>114.0</v>
      </c>
      <c r="U321" s="14">
        <v>2386.0</v>
      </c>
      <c r="W321" s="21">
        <v>72.0</v>
      </c>
      <c r="X321" s="14">
        <v>54.0</v>
      </c>
      <c r="Y321" s="14">
        <v>2446.0</v>
      </c>
      <c r="AA321" s="21">
        <v>85.0</v>
      </c>
      <c r="AB321" s="14">
        <v>43.0</v>
      </c>
      <c r="AC321" s="14">
        <v>49.0</v>
      </c>
    </row>
    <row r="322">
      <c r="A322" s="27">
        <f>HYPERLINK("https://arcprize.org/play?task=cbded52d", 314)</f>
        <v>314</v>
      </c>
      <c r="B322" s="14">
        <f>IFERROR(__xludf.DUMMYFUNCTION("min(filter(Scores!B325:AX325,Scores!B325:AX325&gt;0))"),82.0)</f>
        <v>82</v>
      </c>
      <c r="C322" s="14">
        <v>2418.0</v>
      </c>
      <c r="D322" s="51" t="str">
        <f t="array" ref="D322">if(B322,if(countif(Scores!B325:AX325,B322)=1,concat("💎",XLOOKUP(B322,Scores!B325:AX325,Scores!B$1:AX$1)),concat("🥇 x",countif(Scores!B325:AX325,B322))),"")</f>
        <v>💎ox jam</v>
      </c>
      <c r="E322" s="14">
        <f>if(countif(Scores!B325:AX325,B322)=1,F322,-1)</f>
        <v>82</v>
      </c>
      <c r="F322" s="14">
        <f t="shared" si="1"/>
        <v>82</v>
      </c>
      <c r="G322" s="14">
        <f>IFERROR(__xludf.DUMMYFUNCTION("if(iferror(small(filter(Scores!B325:AX325,Scores!B325:AX325&gt;0),2),-1)&lt;&gt;F322,iferror(small(filter(Scores!B325:AX325,Scores!B325:AX325&gt;0),2),-1),-1)"),84.0)</f>
        <v>84</v>
      </c>
      <c r="H322" s="14">
        <f>IFERROR(__xludf.DUMMYFUNCTION("if(iferror(small(filter(Scores!B325:AX325,Scores!B325:AX325&gt;0),3),-1)&lt;&gt;iferror(small(filter(Scores!B325:AX325,Scores!B325:AX325&gt;0),2),-1),iferror(small(filter(Scores!B325:AX325,Scores!B325:AX325&gt;0),3),-1),-1)"),93.0)</f>
        <v>93</v>
      </c>
      <c r="I322" s="14">
        <f>IFERROR(__xludf.DUMMYFUNCTION("IFERROR(COLUMNS(filter(Scores!B325:AE325,Scores!B325:AE325)),"""")"),37.0)</f>
        <v>37</v>
      </c>
      <c r="J322" s="14">
        <f>COUNTIF(Scores!B325:AX325,B322)</f>
        <v>1</v>
      </c>
      <c r="K322" s="21">
        <f>IFERROR(__xludf.DUMMYFUNCTION("""COMPUTED_VALUE"""),314.0)</f>
        <v>314</v>
      </c>
      <c r="L322" s="36"/>
      <c r="S322" s="21">
        <v>253.0</v>
      </c>
      <c r="T322" s="14">
        <v>114.0</v>
      </c>
      <c r="U322" s="14">
        <v>2386.0</v>
      </c>
      <c r="W322" s="21">
        <v>126.0</v>
      </c>
      <c r="X322" s="14">
        <v>54.0</v>
      </c>
      <c r="Y322" s="14">
        <v>2446.0</v>
      </c>
      <c r="AA322" s="21">
        <v>211.0</v>
      </c>
      <c r="AB322" s="14">
        <v>43.0</v>
      </c>
      <c r="AC322" s="14">
        <v>48.0</v>
      </c>
    </row>
    <row r="323">
      <c r="A323" s="27">
        <f>HYPERLINK("https://arcprize.org/play?task=cce03e0d", 315)</f>
        <v>315</v>
      </c>
      <c r="B323" s="14">
        <f>IFERROR(__xludf.DUMMYFUNCTION("min(filter(Scores!B326:AX326,Scores!B326:AX326&gt;0))"),63.0)</f>
        <v>63</v>
      </c>
      <c r="C323" s="14">
        <v>2437.0</v>
      </c>
      <c r="D323" s="51" t="str">
        <f t="array" ref="D323">if(B323,if(countif(Scores!B326:AX326,B323)=1,concat("💎",XLOOKUP(B323,Scores!B326:AX326,Scores!B$1:AX$1)),concat("🥇 x",countif(Scores!B326:AX326,B323))),"")</f>
        <v>🥇 x7</v>
      </c>
      <c r="E323" s="14">
        <f>if(countif(Scores!B326:AX326,B323)=1,F323,-1)</f>
        <v>-1</v>
      </c>
      <c r="F323" s="14">
        <f t="shared" si="1"/>
        <v>63</v>
      </c>
      <c r="G323" s="14">
        <f>IFERROR(__xludf.DUMMYFUNCTION("if(iferror(small(filter(Scores!B326:AX326,Scores!B326:AX326&gt;0),2),-1)&lt;&gt;F323,iferror(small(filter(Scores!B326:AX326,Scores!B326:AX326&gt;0),2),-1),-1)"),-1.0)</f>
        <v>-1</v>
      </c>
      <c r="H323" s="14">
        <f>IFERROR(__xludf.DUMMYFUNCTION("if(iferror(small(filter(Scores!B326:AX326,Scores!B326:AX326&gt;0),3),-1)&lt;&gt;iferror(small(filter(Scores!B326:AX326,Scores!B326:AX326&gt;0),2),-1),iferror(small(filter(Scores!B326:AX326,Scores!B326:AX326&gt;0),3),-1),-1)"),-1.0)</f>
        <v>-1</v>
      </c>
      <c r="I323" s="14">
        <f>IFERROR(__xludf.DUMMYFUNCTION("IFERROR(COLUMNS(filter(Scores!B326:AE326,Scores!B326:AE326)),"""")"),43.0)</f>
        <v>43</v>
      </c>
      <c r="J323" s="14">
        <f>COUNTIF(Scores!B326:AX326,B323)</f>
        <v>7</v>
      </c>
      <c r="K323" s="21">
        <f>IFERROR(__xludf.DUMMYFUNCTION("""COMPUTED_VALUE"""),315.0)</f>
        <v>315</v>
      </c>
      <c r="L323" s="36"/>
      <c r="S323" s="21">
        <v>117.0</v>
      </c>
      <c r="T323" s="14">
        <v>115.0</v>
      </c>
      <c r="U323" s="14">
        <v>2385.0</v>
      </c>
      <c r="W323" s="21">
        <v>236.0</v>
      </c>
      <c r="X323" s="14">
        <v>54.0</v>
      </c>
      <c r="Y323" s="14">
        <v>2446.0</v>
      </c>
      <c r="AA323" s="21">
        <v>108.0</v>
      </c>
      <c r="AB323" s="14">
        <v>43.0</v>
      </c>
      <c r="AC323" s="14">
        <v>46.0</v>
      </c>
    </row>
    <row r="324">
      <c r="A324" s="27">
        <f>HYPERLINK("https://arcprize.org/play?task=cdecee7f", 316)</f>
        <v>316</v>
      </c>
      <c r="B324" s="14">
        <f>IFERROR(__xludf.DUMMYFUNCTION("min(filter(Scores!B327:AX327,Scores!B327:AX327&gt;0))"),71.0)</f>
        <v>71</v>
      </c>
      <c r="C324" s="14">
        <v>2429.0</v>
      </c>
      <c r="D324" s="51" t="str">
        <f t="array" ref="D324">if(B324,if(countif(Scores!B327:AX327,B324)=1,concat("💎",XLOOKUP(B324,Scores!B327:AX327,Scores!B$1:AX$1)),concat("🥇 x",countif(Scores!B327:AX327,B324))),"")</f>
        <v>🥇 x13</v>
      </c>
      <c r="E324" s="14">
        <f>if(countif(Scores!B327:AX327,B324)=1,F324,-1)</f>
        <v>-1</v>
      </c>
      <c r="F324" s="14">
        <f t="shared" si="1"/>
        <v>71</v>
      </c>
      <c r="G324" s="14">
        <f>IFERROR(__xludf.DUMMYFUNCTION("if(iferror(small(filter(Scores!B327:AX327,Scores!B327:AX327&gt;0),2),-1)&lt;&gt;F324,iferror(small(filter(Scores!B327:AX327,Scores!B327:AX327&gt;0),2),-1),-1)"),-1.0)</f>
        <v>-1</v>
      </c>
      <c r="H324" s="14">
        <f>IFERROR(__xludf.DUMMYFUNCTION("if(iferror(small(filter(Scores!B327:AX327,Scores!B327:AX327&gt;0),3),-1)&lt;&gt;iferror(small(filter(Scores!B327:AX327,Scores!B327:AX327&gt;0),2),-1),iferror(small(filter(Scores!B327:AX327,Scores!B327:AX327&gt;0),3),-1),-1)"),-1.0)</f>
        <v>-1</v>
      </c>
      <c r="I324" s="14">
        <f>IFERROR(__xludf.DUMMYFUNCTION("IFERROR(COLUMNS(filter(Scores!B327:AE327,Scores!B327:AE327)),"""")"),41.0)</f>
        <v>41</v>
      </c>
      <c r="J324" s="14">
        <f>COUNTIF(Scores!B327:AX327,B324)</f>
        <v>13</v>
      </c>
      <c r="K324" s="21">
        <f>IFERROR(__xludf.DUMMYFUNCTION("""COMPUTED_VALUE"""),316.0)</f>
        <v>316</v>
      </c>
      <c r="L324" s="36"/>
      <c r="S324" s="21">
        <v>270.0</v>
      </c>
      <c r="T324" s="14">
        <v>115.0</v>
      </c>
      <c r="U324" s="14">
        <v>2385.0</v>
      </c>
      <c r="W324" s="21">
        <v>242.0</v>
      </c>
      <c r="X324" s="14">
        <v>54.0</v>
      </c>
      <c r="Y324" s="14">
        <v>2446.0</v>
      </c>
      <c r="AA324" s="21">
        <v>215.0</v>
      </c>
      <c r="AB324" s="14">
        <v>43.0</v>
      </c>
      <c r="AC324" s="14">
        <v>42.0</v>
      </c>
    </row>
    <row r="325">
      <c r="A325" s="27">
        <f>HYPERLINK("https://arcprize.org/play?task=ce22a75a", 317)</f>
        <v>317</v>
      </c>
      <c r="B325" s="14">
        <f>IFERROR(__xludf.DUMMYFUNCTION("min(filter(Scores!B328:AX328,Scores!B328:AX328&gt;0))"),43.0)</f>
        <v>43</v>
      </c>
      <c r="C325" s="14">
        <v>2457.0</v>
      </c>
      <c r="D325" s="51" t="str">
        <f t="array" ref="D325">if(B325,if(countif(Scores!B328:AX328,B325)=1,concat("💎",XLOOKUP(B325,Scores!B328:AX328,Scores!B$1:AX$1)),concat("🥇 x",countif(Scores!B328:AX328,B325))),"")</f>
        <v>🥇 x2</v>
      </c>
      <c r="E325" s="14">
        <f>if(countif(Scores!B328:AX328,B325)=1,F325,-1)</f>
        <v>-1</v>
      </c>
      <c r="F325" s="14">
        <f t="shared" si="1"/>
        <v>43</v>
      </c>
      <c r="G325" s="14">
        <f>IFERROR(__xludf.DUMMYFUNCTION("if(iferror(small(filter(Scores!B328:AX328,Scores!B328:AX328&gt;0),2),-1)&lt;&gt;F325,iferror(small(filter(Scores!B328:AX328,Scores!B328:AX328&gt;0),2),-1),-1)"),-1.0)</f>
        <v>-1</v>
      </c>
      <c r="H325" s="14">
        <f>IFERROR(__xludf.DUMMYFUNCTION("if(iferror(small(filter(Scores!B328:AX328,Scores!B328:AX328&gt;0),3),-1)&lt;&gt;iferror(small(filter(Scores!B328:AX328,Scores!B328:AX328&gt;0),2),-1),iferror(small(filter(Scores!B328:AX328,Scores!B328:AX328&gt;0),3),-1),-1)"),53.0)</f>
        <v>53</v>
      </c>
      <c r="I325" s="14">
        <f>IFERROR(__xludf.DUMMYFUNCTION("IFERROR(COLUMNS(filter(Scores!B328:AE328,Scores!B328:AE328)),"""")"),42.0)</f>
        <v>42</v>
      </c>
      <c r="J325" s="14">
        <f>COUNTIF(Scores!B328:AX328,B325)</f>
        <v>2</v>
      </c>
      <c r="K325" s="21">
        <f>IFERROR(__xludf.DUMMYFUNCTION("""COMPUTED_VALUE"""),317.0)</f>
        <v>317</v>
      </c>
      <c r="L325" s="36"/>
      <c r="S325" s="21">
        <v>34.0</v>
      </c>
      <c r="T325" s="14">
        <v>116.0</v>
      </c>
      <c r="U325" s="14">
        <v>2384.0</v>
      </c>
      <c r="W325" s="21">
        <v>295.0</v>
      </c>
      <c r="X325" s="14">
        <v>54.0</v>
      </c>
      <c r="Y325" s="14">
        <v>2446.0</v>
      </c>
      <c r="AA325" s="21">
        <v>181.0</v>
      </c>
      <c r="AB325" s="14">
        <v>44.0</v>
      </c>
      <c r="AC325" s="14">
        <v>67.0</v>
      </c>
    </row>
    <row r="326">
      <c r="A326" s="27">
        <f>HYPERLINK("https://arcprize.org/play?task=ce4f8723", 318)</f>
        <v>318</v>
      </c>
      <c r="B326" s="14">
        <f>IFERROR(__xludf.DUMMYFUNCTION("min(filter(Scores!B329:AX329,Scores!B329:AX329&gt;0))"),54.0)</f>
        <v>54</v>
      </c>
      <c r="C326" s="14">
        <v>2446.0</v>
      </c>
      <c r="D326" s="51" t="str">
        <f t="array" ref="D326">if(B326,if(countif(Scores!B329:AX329,B326)=1,concat("💎",XLOOKUP(B326,Scores!B329:AX329,Scores!B$1:AX$1)),concat("🥇 x",countif(Scores!B329:AX329,B326))),"")</f>
        <v>🥇 x4</v>
      </c>
      <c r="E326" s="14">
        <f>if(countif(Scores!B329:AX329,B326)=1,F326,-1)</f>
        <v>-1</v>
      </c>
      <c r="F326" s="14">
        <f t="shared" si="1"/>
        <v>54</v>
      </c>
      <c r="G326" s="14">
        <f>IFERROR(__xludf.DUMMYFUNCTION("if(iferror(small(filter(Scores!B329:AX329,Scores!B329:AX329&gt;0),2),-1)&lt;&gt;F326,iferror(small(filter(Scores!B329:AX329,Scores!B329:AX329&gt;0),2),-1),-1)"),-1.0)</f>
        <v>-1</v>
      </c>
      <c r="H326" s="14">
        <f>IFERROR(__xludf.DUMMYFUNCTION("if(iferror(small(filter(Scores!B329:AX329,Scores!B329:AX329&gt;0),3),-1)&lt;&gt;iferror(small(filter(Scores!B329:AX329,Scores!B329:AX329&gt;0),2),-1),iferror(small(filter(Scores!B329:AX329,Scores!B329:AX329&gt;0),3),-1),-1)"),-1.0)</f>
        <v>-1</v>
      </c>
      <c r="I326" s="14">
        <f>IFERROR(__xludf.DUMMYFUNCTION("IFERROR(COLUMNS(filter(Scores!B329:AE329,Scores!B329:AE329)),"""")"),44.0)</f>
        <v>44</v>
      </c>
      <c r="J326" s="14">
        <f>COUNTIF(Scores!B329:AX329,B326)</f>
        <v>4</v>
      </c>
      <c r="K326" s="21">
        <f>IFERROR(__xludf.DUMMYFUNCTION("""COMPUTED_VALUE"""),318.0)</f>
        <v>318</v>
      </c>
      <c r="L326" s="36"/>
      <c r="S326" s="21">
        <v>228.0</v>
      </c>
      <c r="T326" s="14">
        <v>116.0</v>
      </c>
      <c r="U326" s="14">
        <v>2384.0</v>
      </c>
      <c r="W326" s="21">
        <v>298.0</v>
      </c>
      <c r="X326" s="14">
        <v>54.0</v>
      </c>
      <c r="Y326" s="14">
        <v>2446.0</v>
      </c>
      <c r="AA326" s="21">
        <v>28.0</v>
      </c>
      <c r="AB326" s="14">
        <v>44.0</v>
      </c>
      <c r="AC326" s="14">
        <v>63.0</v>
      </c>
    </row>
    <row r="327">
      <c r="A327" s="27">
        <f>HYPERLINK("https://arcprize.org/play?task=ce602527", 319)</f>
        <v>319</v>
      </c>
      <c r="B327" s="14">
        <f>IFERROR(__xludf.DUMMYFUNCTION("min(filter(Scores!B330:AX330,Scores!B330:AX330&gt;0))"),194.0)</f>
        <v>194</v>
      </c>
      <c r="C327" s="14">
        <v>2306.0</v>
      </c>
      <c r="D327" s="51" t="str">
        <f t="array" ref="D327">if(B327,if(countif(Scores!B330:AX330,B327)=1,concat("💎",XLOOKUP(B327,Scores!B330:AX330,Scores!B$1:AX$1)),concat("🥇 x",countif(Scores!B330:AX330,B327))),"")</f>
        <v>💎jailctf merger</v>
      </c>
      <c r="E327" s="14">
        <f>if(countif(Scores!B330:AX330,B327)=1,F327,-1)</f>
        <v>194</v>
      </c>
      <c r="F327" s="14">
        <f t="shared" si="1"/>
        <v>194</v>
      </c>
      <c r="G327" s="14">
        <f>IFERROR(__xludf.DUMMYFUNCTION("if(iferror(small(filter(Scores!B330:AX330,Scores!B330:AX330&gt;0),2),-1)&lt;&gt;F327,iferror(small(filter(Scores!B330:AX330,Scores!B330:AX330&gt;0),2),-1),-1)"),203.0)</f>
        <v>203</v>
      </c>
      <c r="H327" s="14">
        <f>IFERROR(__xludf.DUMMYFUNCTION("if(iferror(small(filter(Scores!B330:AX330,Scores!B330:AX330&gt;0),3),-1)&lt;&gt;iferror(small(filter(Scores!B330:AX330,Scores!B330:AX330&gt;0),2),-1),iferror(small(filter(Scores!B330:AX330,Scores!B330:AX330&gt;0),3),-1),-1)"),211.0)</f>
        <v>211</v>
      </c>
      <c r="I327" s="14">
        <f>IFERROR(__xludf.DUMMYFUNCTION("IFERROR(COLUMNS(filter(Scores!B330:AE330,Scores!B330:AE330)),"""")"),34.0)</f>
        <v>34</v>
      </c>
      <c r="J327" s="14">
        <f>COUNTIF(Scores!B330:AX330,B327)</f>
        <v>1</v>
      </c>
      <c r="K327" s="21">
        <f>IFERROR(__xludf.DUMMYFUNCTION("""COMPUTED_VALUE"""),319.0)</f>
        <v>319</v>
      </c>
      <c r="L327" s="36"/>
      <c r="S327" s="21">
        <v>131.0</v>
      </c>
      <c r="T327" s="14">
        <v>117.0</v>
      </c>
      <c r="U327" s="14">
        <v>2383.0</v>
      </c>
      <c r="W327" s="21">
        <v>299.0</v>
      </c>
      <c r="X327" s="14">
        <v>54.0</v>
      </c>
      <c r="Y327" s="14">
        <v>2446.0</v>
      </c>
      <c r="AA327" s="21">
        <v>7.0</v>
      </c>
      <c r="AB327" s="14">
        <v>44.0</v>
      </c>
      <c r="AC327" s="14">
        <v>62.0</v>
      </c>
    </row>
    <row r="328">
      <c r="A328" s="27">
        <f>HYPERLINK("https://arcprize.org/play?task=ce9e57f2", 320)</f>
        <v>320</v>
      </c>
      <c r="B328" s="14">
        <f>IFERROR(__xludf.DUMMYFUNCTION("min(filter(Scores!B331:AX331,Scores!B331:AX331&gt;0))"),65.0)</f>
        <v>65</v>
      </c>
      <c r="C328" s="14">
        <v>2435.0</v>
      </c>
      <c r="D328" s="51" t="str">
        <f t="array" ref="D328">if(B328,if(countif(Scores!B331:AX331,B328)=1,concat("💎",XLOOKUP(B328,Scores!B331:AX331,Scores!B$1:AX$1)),concat("🥇 x",countif(Scores!B331:AX331,B328))),"")</f>
        <v>💎Code Golf International</v>
      </c>
      <c r="E328" s="14">
        <f>if(countif(Scores!B331:AX331,B328)=1,F328,-1)</f>
        <v>65</v>
      </c>
      <c r="F328" s="14">
        <f t="shared" si="1"/>
        <v>65</v>
      </c>
      <c r="G328" s="14">
        <f>IFERROR(__xludf.DUMMYFUNCTION("if(iferror(small(filter(Scores!B331:AX331,Scores!B331:AX331&gt;0),2),-1)&lt;&gt;F328,iferror(small(filter(Scores!B331:AX331,Scores!B331:AX331&gt;0),2),-1),-1)"),66.0)</f>
        <v>66</v>
      </c>
      <c r="H328" s="14">
        <f>IFERROR(__xludf.DUMMYFUNCTION("if(iferror(small(filter(Scores!B331:AX331,Scores!B331:AX331&gt;0),3),-1)&lt;&gt;iferror(small(filter(Scores!B331:AX331,Scores!B331:AX331&gt;0),2),-1),iferror(small(filter(Scores!B331:AX331,Scores!B331:AX331&gt;0),3),-1),-1)"),-1.0)</f>
        <v>-1</v>
      </c>
      <c r="I328" s="14">
        <f>IFERROR(__xludf.DUMMYFUNCTION("IFERROR(COLUMNS(filter(Scores!B331:AE331,Scores!B331:AE331)),"""")"),40.0)</f>
        <v>40</v>
      </c>
      <c r="J328" s="14">
        <f>COUNTIF(Scores!B331:AX331,B328)</f>
        <v>1</v>
      </c>
      <c r="K328" s="21">
        <f>IFERROR(__xludf.DUMMYFUNCTION("""COMPUTED_VALUE"""),320.0)</f>
        <v>320</v>
      </c>
      <c r="L328" s="36"/>
      <c r="S328" s="21">
        <v>226.0</v>
      </c>
      <c r="T328" s="14">
        <v>117.0</v>
      </c>
      <c r="U328" s="14">
        <v>2383.0</v>
      </c>
      <c r="W328" s="21">
        <v>318.0</v>
      </c>
      <c r="X328" s="14">
        <v>54.0</v>
      </c>
      <c r="Y328" s="14">
        <v>2446.0</v>
      </c>
      <c r="AA328" s="21">
        <v>24.0</v>
      </c>
      <c r="AB328" s="14">
        <v>44.0</v>
      </c>
      <c r="AC328" s="14">
        <v>62.0</v>
      </c>
    </row>
    <row r="329">
      <c r="A329" s="27">
        <f>HYPERLINK("https://arcprize.org/play?task=cf98881b", 321)</f>
        <v>321</v>
      </c>
      <c r="B329" s="14">
        <f>IFERROR(__xludf.DUMMYFUNCTION("min(filter(Scores!B332:AX332,Scores!B332:AX332&gt;0))"),54.0)</f>
        <v>54</v>
      </c>
      <c r="C329" s="14">
        <v>2446.0</v>
      </c>
      <c r="D329" s="51" t="str">
        <f t="array" ref="D329">if(B329,if(countif(Scores!B332:AX332,B329)=1,concat("💎",XLOOKUP(B329,Scores!B332:AX332,Scores!B$1:AX$1)),concat("🥇 x",countif(Scores!B332:AX332,B329))),"")</f>
        <v>🥇 x3</v>
      </c>
      <c r="E329" s="14">
        <f>if(countif(Scores!B332:AX332,B329)=1,F329,-1)</f>
        <v>-1</v>
      </c>
      <c r="F329" s="14">
        <f t="shared" si="1"/>
        <v>54</v>
      </c>
      <c r="G329" s="14">
        <f>IFERROR(__xludf.DUMMYFUNCTION("if(iferror(small(filter(Scores!B332:AX332,Scores!B332:AX332&gt;0),2),-1)&lt;&gt;F329,iferror(small(filter(Scores!B332:AX332,Scores!B332:AX332&gt;0),2),-1),-1)"),-1.0)</f>
        <v>-1</v>
      </c>
      <c r="H329" s="14">
        <f>IFERROR(__xludf.DUMMYFUNCTION("if(iferror(small(filter(Scores!B332:AX332,Scores!B332:AX332&gt;0),3),-1)&lt;&gt;iferror(small(filter(Scores!B332:AX332,Scores!B332:AX332&gt;0),2),-1),iferror(small(filter(Scores!B332:AX332,Scores!B332:AX332&gt;0),3),-1),-1)"),-1.0)</f>
        <v>-1</v>
      </c>
      <c r="I329" s="14">
        <f>IFERROR(__xludf.DUMMYFUNCTION("IFERROR(COLUMNS(filter(Scores!B332:AE332,Scores!B332:AE332)),"""")"),44.0)</f>
        <v>44</v>
      </c>
      <c r="J329" s="14">
        <f>COUNTIF(Scores!B332:AX332,B329)</f>
        <v>3</v>
      </c>
      <c r="K329" s="21">
        <f>IFERROR(__xludf.DUMMYFUNCTION("""COMPUTED_VALUE"""),321.0)</f>
        <v>321</v>
      </c>
      <c r="L329" s="36"/>
      <c r="S329" s="21">
        <v>148.0</v>
      </c>
      <c r="T329" s="14">
        <v>118.0</v>
      </c>
      <c r="U329" s="14">
        <v>2382.0</v>
      </c>
      <c r="W329" s="21">
        <v>321.0</v>
      </c>
      <c r="X329" s="14">
        <v>54.0</v>
      </c>
      <c r="Y329" s="14">
        <v>2446.0</v>
      </c>
      <c r="AA329" s="21">
        <v>84.0</v>
      </c>
      <c r="AB329" s="14">
        <v>44.0</v>
      </c>
      <c r="AC329" s="14">
        <v>62.0</v>
      </c>
    </row>
    <row r="330">
      <c r="A330" s="27">
        <f>HYPERLINK("https://arcprize.org/play?task=d037b0a7", 322)</f>
        <v>322</v>
      </c>
      <c r="B330" s="14">
        <f>IFERROR(__xludf.DUMMYFUNCTION("min(filter(Scores!B333:AX333,Scores!B333:AX333&gt;0))"),45.0)</f>
        <v>45</v>
      </c>
      <c r="C330" s="14">
        <v>2455.0</v>
      </c>
      <c r="D330" s="51" t="str">
        <f t="array" ref="D330">if(B330,if(countif(Scores!B333:AX333,B330)=1,concat("💎",XLOOKUP(B330,Scores!B333:AX333,Scores!B$1:AX$1)),concat("🥇 x",countif(Scores!B333:AX333,B330))),"")</f>
        <v>🥇 x2</v>
      </c>
      <c r="E330" s="14">
        <f>if(countif(Scores!B333:AX333,B330)=1,F330,-1)</f>
        <v>-1</v>
      </c>
      <c r="F330" s="14">
        <f t="shared" si="1"/>
        <v>45</v>
      </c>
      <c r="G330" s="14">
        <f>IFERROR(__xludf.DUMMYFUNCTION("if(iferror(small(filter(Scores!B333:AX333,Scores!B333:AX333&gt;0),2),-1)&lt;&gt;F330,iferror(small(filter(Scores!B333:AX333,Scores!B333:AX333&gt;0),2),-1),-1)"),-1.0)</f>
        <v>-1</v>
      </c>
      <c r="H330" s="14">
        <f>IFERROR(__xludf.DUMMYFUNCTION("if(iferror(small(filter(Scores!B333:AX333,Scores!B333:AX333&gt;0),3),-1)&lt;&gt;iferror(small(filter(Scores!B333:AX333,Scores!B333:AX333&gt;0),2),-1),iferror(small(filter(Scores!B333:AX333,Scores!B333:AX333&gt;0),3),-1),-1)"),48.0)</f>
        <v>48</v>
      </c>
      <c r="I330" s="14">
        <f>IFERROR(__xludf.DUMMYFUNCTION("IFERROR(COLUMNS(filter(Scores!B333:AE333,Scores!B333:AE333)),"""")"),45.0)</f>
        <v>45</v>
      </c>
      <c r="J330" s="14">
        <f>COUNTIF(Scores!B333:AX333,B330)</f>
        <v>2</v>
      </c>
      <c r="K330" s="21">
        <f>IFERROR(__xludf.DUMMYFUNCTION("""COMPUTED_VALUE"""),322.0)</f>
        <v>322</v>
      </c>
      <c r="L330" s="36"/>
      <c r="S330" s="21">
        <v>153.0</v>
      </c>
      <c r="T330" s="14">
        <v>118.0</v>
      </c>
      <c r="U330" s="14">
        <v>2382.0</v>
      </c>
      <c r="W330" s="21">
        <v>329.0</v>
      </c>
      <c r="X330" s="14">
        <v>54.0</v>
      </c>
      <c r="Y330" s="14">
        <v>2446.0</v>
      </c>
      <c r="AA330" s="21">
        <v>258.0</v>
      </c>
      <c r="AB330" s="14">
        <v>44.0</v>
      </c>
      <c r="AC330" s="14">
        <v>61.0</v>
      </c>
    </row>
    <row r="331">
      <c r="A331" s="27">
        <f>HYPERLINK("https://arcprize.org/play?task=d06dbe63", 323)</f>
        <v>323</v>
      </c>
      <c r="B331" s="14">
        <f>IFERROR(__xludf.DUMMYFUNCTION("min(filter(Scores!B334:AX334,Scores!B334:AX334&gt;0))"),100.0)</f>
        <v>100</v>
      </c>
      <c r="C331" s="14">
        <v>2400.0</v>
      </c>
      <c r="D331" s="51" t="str">
        <f t="array" ref="D331">if(B331,if(countif(Scores!B334:AX334,B331)=1,concat("💎",XLOOKUP(B331,Scores!B334:AX334,Scores!B$1:AX$1)),concat("🥇 x",countif(Scores!B334:AX334,B331))),"")</f>
        <v>💎jailctf merger</v>
      </c>
      <c r="E331" s="14">
        <f>if(countif(Scores!B334:AX334,B331)=1,F331,-1)</f>
        <v>100</v>
      </c>
      <c r="F331" s="14">
        <f t="shared" si="1"/>
        <v>100</v>
      </c>
      <c r="G331" s="14">
        <f>IFERROR(__xludf.DUMMYFUNCTION("if(iferror(small(filter(Scores!B334:AX334,Scores!B334:AX334&gt;0),2),-1)&lt;&gt;F331,iferror(small(filter(Scores!B334:AX334,Scores!B334:AX334&gt;0),2),-1),-1)"),104.0)</f>
        <v>104</v>
      </c>
      <c r="H331" s="14">
        <f>IFERROR(__xludf.DUMMYFUNCTION("if(iferror(small(filter(Scores!B334:AX334,Scores!B334:AX334&gt;0),3),-1)&lt;&gt;iferror(small(filter(Scores!B334:AX334,Scores!B334:AX334&gt;0),2),-1),iferror(small(filter(Scores!B334:AX334,Scores!B334:AX334&gt;0),3),-1),-1)"),106.0)</f>
        <v>106</v>
      </c>
      <c r="I331" s="14">
        <f>IFERROR(__xludf.DUMMYFUNCTION("IFERROR(COLUMNS(filter(Scores!B334:AE334,Scores!B334:AE334)),"""")"),38.0)</f>
        <v>38</v>
      </c>
      <c r="J331" s="14">
        <f>COUNTIF(Scores!B334:AX334,B331)</f>
        <v>1</v>
      </c>
      <c r="K331" s="21">
        <f>IFERROR(__xludf.DUMMYFUNCTION("""COMPUTED_VALUE"""),323.0)</f>
        <v>323</v>
      </c>
      <c r="L331" s="36"/>
      <c r="S331" s="21">
        <v>156.0</v>
      </c>
      <c r="T331" s="14">
        <v>118.0</v>
      </c>
      <c r="U331" s="14">
        <v>2382.0</v>
      </c>
      <c r="W331" s="21">
        <v>144.0</v>
      </c>
      <c r="X331" s="14">
        <v>53.0</v>
      </c>
      <c r="Y331" s="14">
        <v>2447.0</v>
      </c>
      <c r="AA331" s="21">
        <v>186.0</v>
      </c>
      <c r="AB331" s="14">
        <v>44.0</v>
      </c>
      <c r="AC331" s="14">
        <v>60.0</v>
      </c>
    </row>
    <row r="332">
      <c r="A332" s="27">
        <f>HYPERLINK("https://arcprize.org/play?task=d07ae81c", 324)</f>
        <v>324</v>
      </c>
      <c r="B332" s="14">
        <f>IFERROR(__xludf.DUMMYFUNCTION("min(filter(Scores!B335:AX335,Scores!B335:AX335&gt;0))"),216.0)</f>
        <v>216</v>
      </c>
      <c r="C332" s="14">
        <v>2284.0</v>
      </c>
      <c r="D332" s="51" t="str">
        <f t="array" ref="D332">if(B332,if(countif(Scores!B335:AX335,B332)=1,concat("💎",XLOOKUP(B332,Scores!B335:AX335,Scores!B$1:AX$1)),concat("🥇 x",countif(Scores!B335:AX335,B332))),"")</f>
        <v>💎FuunAgent</v>
      </c>
      <c r="E332" s="14">
        <f>if(countif(Scores!B335:AX335,B332)=1,F332,-1)</f>
        <v>216</v>
      </c>
      <c r="F332" s="14">
        <f t="shared" si="1"/>
        <v>216</v>
      </c>
      <c r="G332" s="14">
        <f>IFERROR(__xludf.DUMMYFUNCTION("if(iferror(small(filter(Scores!B335:AX335,Scores!B335:AX335&gt;0),2),-1)&lt;&gt;F332,iferror(small(filter(Scores!B335:AX335,Scores!B335:AX335&gt;0),2),-1),-1)"),220.0)</f>
        <v>220</v>
      </c>
      <c r="H332" s="14">
        <f>IFERROR(__xludf.DUMMYFUNCTION("if(iferror(small(filter(Scores!B335:AX335,Scores!B335:AX335&gt;0),3),-1)&lt;&gt;iferror(small(filter(Scores!B335:AX335,Scores!B335:AX335&gt;0),2),-1),iferror(small(filter(Scores!B335:AX335,Scores!B335:AX335&gt;0),3),-1),-1)"),222.0)</f>
        <v>222</v>
      </c>
      <c r="I332" s="14">
        <f>IFERROR(__xludf.DUMMYFUNCTION("IFERROR(COLUMNS(filter(Scores!B335:AE335,Scores!B335:AE335)),"""")"),34.0)</f>
        <v>34</v>
      </c>
      <c r="J332" s="14">
        <f>COUNTIF(Scores!B335:AX335,B332)</f>
        <v>1</v>
      </c>
      <c r="K332" s="21">
        <f>IFERROR(__xludf.DUMMYFUNCTION("""COMPUTED_VALUE"""),324.0)</f>
        <v>324</v>
      </c>
      <c r="L332" s="36"/>
      <c r="S332" s="21">
        <v>383.0</v>
      </c>
      <c r="T332" s="14">
        <v>120.0</v>
      </c>
      <c r="U332" s="14">
        <v>2380.0</v>
      </c>
      <c r="W332" s="21">
        <v>188.0</v>
      </c>
      <c r="X332" s="14">
        <v>53.0</v>
      </c>
      <c r="Y332" s="14">
        <v>2447.0</v>
      </c>
      <c r="AA332" s="21">
        <v>14.0</v>
      </c>
      <c r="AB332" s="14">
        <v>44.0</v>
      </c>
      <c r="AC332" s="14">
        <v>57.0</v>
      </c>
    </row>
    <row r="333">
      <c r="A333" s="27">
        <f>HYPERLINK("https://arcprize.org/play?task=d0f5fe59", 325)</f>
        <v>325</v>
      </c>
      <c r="B333" s="14">
        <f>IFERROR(__xludf.DUMMYFUNCTION("min(filter(Scores!B336:AX336,Scores!B336:AX336&gt;0))"),140.0)</f>
        <v>140</v>
      </c>
      <c r="C333" s="14">
        <v>2360.0</v>
      </c>
      <c r="D333" s="51" t="str">
        <f t="array" ref="D333">if(B333,if(countif(Scores!B336:AX336,B333)=1,concat("💎",XLOOKUP(B333,Scores!B336:AX336,Scores!B$1:AX$1)),concat("🥇 x",countif(Scores!B336:AX336,B333))),"")</f>
        <v>💎ox jam</v>
      </c>
      <c r="E333" s="14">
        <f>if(countif(Scores!B336:AX336,B333)=1,F333,-1)</f>
        <v>140</v>
      </c>
      <c r="F333" s="14">
        <f t="shared" si="1"/>
        <v>140</v>
      </c>
      <c r="G333" s="14">
        <f>IFERROR(__xludf.DUMMYFUNCTION("if(iferror(small(filter(Scores!B336:AX336,Scores!B336:AX336&gt;0),2),-1)&lt;&gt;F333,iferror(small(filter(Scores!B336:AX336,Scores!B336:AX336&gt;0),2),-1),-1)"),151.0)</f>
        <v>151</v>
      </c>
      <c r="H333" s="14">
        <f>IFERROR(__xludf.DUMMYFUNCTION("if(iferror(small(filter(Scores!B336:AX336,Scores!B336:AX336&gt;0),3),-1)&lt;&gt;iferror(small(filter(Scores!B336:AX336,Scores!B336:AX336&gt;0),2),-1),iferror(small(filter(Scores!B336:AX336,Scores!B336:AX336&gt;0),3),-1),-1)"),152.0)</f>
        <v>152</v>
      </c>
      <c r="I333" s="14">
        <f>IFERROR(__xludf.DUMMYFUNCTION("IFERROR(COLUMNS(filter(Scores!B336:AE336,Scores!B336:AE336)),"""")"),39.0)</f>
        <v>39</v>
      </c>
      <c r="J333" s="14">
        <f>COUNTIF(Scores!B336:AX336,B333)</f>
        <v>1</v>
      </c>
      <c r="K333" s="21">
        <f>IFERROR(__xludf.DUMMYFUNCTION("""COMPUTED_VALUE"""),325.0)</f>
        <v>325</v>
      </c>
      <c r="L333" s="36"/>
      <c r="S333" s="21">
        <v>62.0</v>
      </c>
      <c r="T333" s="14">
        <v>121.0</v>
      </c>
      <c r="U333" s="14">
        <v>2379.0</v>
      </c>
      <c r="W333" s="21">
        <v>252.0</v>
      </c>
      <c r="X333" s="14">
        <v>53.0</v>
      </c>
      <c r="Y333" s="14">
        <v>2447.0</v>
      </c>
      <c r="AA333" s="21">
        <v>43.0</v>
      </c>
      <c r="AB333" s="14">
        <v>44.0</v>
      </c>
      <c r="AC333" s="14">
        <v>56.0</v>
      </c>
    </row>
    <row r="334">
      <c r="A334" s="27">
        <f>HYPERLINK("https://arcprize.org/play?task=d10ecb37", 326)</f>
        <v>326</v>
      </c>
      <c r="B334" s="14">
        <f>IFERROR(__xludf.DUMMYFUNCTION("min(filter(Scores!B337:AX337,Scores!B337:AX337&gt;0))"),30.0)</f>
        <v>30</v>
      </c>
      <c r="C334" s="14">
        <v>2470.0</v>
      </c>
      <c r="D334" s="51" t="str">
        <f t="array" ref="D334">if(B334,if(countif(Scores!B337:AX337,B334)=1,concat("💎",XLOOKUP(B334,Scores!B337:AX337,Scores!B$1:AX$1)),concat("🥇 x",countif(Scores!B337:AX337,B334))),"")</f>
        <v>🥇 x26</v>
      </c>
      <c r="E334" s="14">
        <f>if(countif(Scores!B337:AX337,B334)=1,F334,-1)</f>
        <v>-1</v>
      </c>
      <c r="F334" s="14">
        <f t="shared" si="1"/>
        <v>30</v>
      </c>
      <c r="G334" s="14">
        <f>IFERROR(__xludf.DUMMYFUNCTION("if(iferror(small(filter(Scores!B337:AX337,Scores!B337:AX337&gt;0),2),-1)&lt;&gt;F334,iferror(small(filter(Scores!B337:AX337,Scores!B337:AX337&gt;0),2),-1),-1)"),-1.0)</f>
        <v>-1</v>
      </c>
      <c r="H334" s="14">
        <f>IFERROR(__xludf.DUMMYFUNCTION("if(iferror(small(filter(Scores!B337:AX337,Scores!B337:AX337&gt;0),3),-1)&lt;&gt;iferror(small(filter(Scores!B337:AX337,Scores!B337:AX337&gt;0),2),-1),iferror(small(filter(Scores!B337:AX337,Scores!B337:AX337&gt;0),3),-1),-1)"),-1.0)</f>
        <v>-1</v>
      </c>
      <c r="I334" s="14">
        <f>IFERROR(__xludf.DUMMYFUNCTION("IFERROR(COLUMNS(filter(Scores!B337:AE337,Scores!B337:AE337)),"""")"),44.0)</f>
        <v>44</v>
      </c>
      <c r="J334" s="14">
        <f>COUNTIF(Scores!B337:AX337,B334)</f>
        <v>26</v>
      </c>
      <c r="K334" s="21">
        <f>IFERROR(__xludf.DUMMYFUNCTION("""COMPUTED_VALUE"""),326.0)</f>
        <v>326</v>
      </c>
      <c r="L334" s="36"/>
      <c r="S334" s="21">
        <v>12.0</v>
      </c>
      <c r="T334" s="14">
        <v>122.0</v>
      </c>
      <c r="U334" s="14">
        <v>2378.0</v>
      </c>
      <c r="W334" s="21">
        <v>287.0</v>
      </c>
      <c r="X334" s="14">
        <v>53.0</v>
      </c>
      <c r="Y334" s="14">
        <v>2447.0</v>
      </c>
      <c r="AA334" s="21">
        <v>47.0</v>
      </c>
      <c r="AB334" s="14">
        <v>44.0</v>
      </c>
      <c r="AC334" s="14">
        <v>55.0</v>
      </c>
    </row>
    <row r="335">
      <c r="A335" s="27">
        <f>HYPERLINK("https://arcprize.org/play?task=d13f3404", 327)</f>
        <v>327</v>
      </c>
      <c r="B335" s="14">
        <f>IFERROR(__xludf.DUMMYFUNCTION("min(filter(Scores!B338:AX338,Scores!B338:AX338&gt;0))"),67.0)</f>
        <v>67</v>
      </c>
      <c r="C335" s="14">
        <v>2433.0</v>
      </c>
      <c r="D335" s="51" t="str">
        <f t="array" ref="D335">if(B335,if(countif(Scores!B338:AX338,B335)=1,concat("💎",XLOOKUP(B335,Scores!B338:AX338,Scores!B$1:AX$1)),concat("🥇 x",countif(Scores!B338:AX338,B335))),"")</f>
        <v>🥇 x24</v>
      </c>
      <c r="E335" s="14">
        <f>if(countif(Scores!B338:AX338,B335)=1,F335,-1)</f>
        <v>-1</v>
      </c>
      <c r="F335" s="14">
        <f t="shared" si="1"/>
        <v>67</v>
      </c>
      <c r="G335" s="14">
        <f>IFERROR(__xludf.DUMMYFUNCTION("if(iferror(small(filter(Scores!B338:AX338,Scores!B338:AX338&gt;0),2),-1)&lt;&gt;F335,iferror(small(filter(Scores!B338:AX338,Scores!B338:AX338&gt;0),2),-1),-1)"),-1.0)</f>
        <v>-1</v>
      </c>
      <c r="H335" s="14">
        <f>IFERROR(__xludf.DUMMYFUNCTION("if(iferror(small(filter(Scores!B338:AX338,Scores!B338:AX338&gt;0),3),-1)&lt;&gt;iferror(small(filter(Scores!B338:AX338,Scores!B338:AX338&gt;0),2),-1),iferror(small(filter(Scores!B338:AX338,Scores!B338:AX338&gt;0),3),-1),-1)"),-1.0)</f>
        <v>-1</v>
      </c>
      <c r="I335" s="14">
        <f>IFERROR(__xludf.DUMMYFUNCTION("IFERROR(COLUMNS(filter(Scores!B338:AE338,Scores!B338:AE338)),"""")"),42.0)</f>
        <v>42</v>
      </c>
      <c r="J335" s="14">
        <f>COUNTIF(Scores!B338:AX338,B335)</f>
        <v>24</v>
      </c>
      <c r="K335" s="21">
        <f>IFERROR(__xludf.DUMMYFUNCTION("""COMPUTED_VALUE"""),327.0)</f>
        <v>327</v>
      </c>
      <c r="L335" s="36"/>
      <c r="S335" s="21">
        <v>134.0</v>
      </c>
      <c r="T335" s="14">
        <v>123.0</v>
      </c>
      <c r="U335" s="14">
        <v>2377.0</v>
      </c>
      <c r="W335" s="21">
        <v>375.0</v>
      </c>
      <c r="X335" s="14">
        <v>53.0</v>
      </c>
      <c r="Y335" s="14">
        <v>2447.0</v>
      </c>
      <c r="AA335" s="21">
        <v>318.0</v>
      </c>
      <c r="AB335" s="14">
        <v>44.0</v>
      </c>
      <c r="AC335" s="14">
        <v>54.0</v>
      </c>
    </row>
    <row r="336">
      <c r="A336" s="27">
        <f>HYPERLINK("https://arcprize.org/play?task=d22278a0", 328)</f>
        <v>328</v>
      </c>
      <c r="B336" s="14">
        <f>IFERROR(__xludf.DUMMYFUNCTION("min(filter(Scores!B339:AX339,Scores!B339:AX339&gt;0))"),158.0)</f>
        <v>158</v>
      </c>
      <c r="C336" s="14">
        <v>2342.0</v>
      </c>
      <c r="D336" s="51" t="str">
        <f t="array" ref="D336">if(B336,if(countif(Scores!B339:AX339,B336)=1,concat("💎",XLOOKUP(B336,Scores!B339:AX339,Scores!B$1:AX$1)),concat("🥇 x",countif(Scores!B339:AX339,B336))),"")</f>
        <v>💎ox jam</v>
      </c>
      <c r="E336" s="14">
        <f>if(countif(Scores!B339:AX339,B336)=1,F336,-1)</f>
        <v>158</v>
      </c>
      <c r="F336" s="14">
        <f t="shared" si="1"/>
        <v>158</v>
      </c>
      <c r="G336" s="14">
        <f>IFERROR(__xludf.DUMMYFUNCTION("if(iferror(small(filter(Scores!B339:AX339,Scores!B339:AX339&gt;0),2),-1)&lt;&gt;F336,iferror(small(filter(Scores!B339:AX339,Scores!B339:AX339&gt;0),2),-1),-1)"),160.0)</f>
        <v>160</v>
      </c>
      <c r="H336" s="14">
        <f>IFERROR(__xludf.DUMMYFUNCTION("if(iferror(small(filter(Scores!B339:AX339,Scores!B339:AX339&gt;0),3),-1)&lt;&gt;iferror(small(filter(Scores!B339:AX339,Scores!B339:AX339&gt;0),2),-1),iferror(small(filter(Scores!B339:AX339,Scores!B339:AX339&gt;0),3),-1),-1)"),163.0)</f>
        <v>163</v>
      </c>
      <c r="I336" s="14">
        <f>IFERROR(__xludf.DUMMYFUNCTION("IFERROR(COLUMNS(filter(Scores!B339:AE339,Scores!B339:AE339)),"""")"),37.0)</f>
        <v>37</v>
      </c>
      <c r="J336" s="14">
        <f>COUNTIF(Scores!B339:AX339,B336)</f>
        <v>1</v>
      </c>
      <c r="K336" s="21">
        <f>IFERROR(__xludf.DUMMYFUNCTION("""COMPUTED_VALUE"""),328.0)</f>
        <v>328</v>
      </c>
      <c r="L336" s="36"/>
      <c r="S336" s="21">
        <v>225.0</v>
      </c>
      <c r="T336" s="14">
        <v>123.0</v>
      </c>
      <c r="U336" s="14">
        <v>2377.0</v>
      </c>
      <c r="W336" s="21">
        <v>395.0</v>
      </c>
      <c r="X336" s="14">
        <v>53.0</v>
      </c>
      <c r="Y336" s="14">
        <v>2447.0</v>
      </c>
      <c r="AA336" s="21">
        <v>321.0</v>
      </c>
      <c r="AB336" s="14">
        <v>44.0</v>
      </c>
      <c r="AC336" s="14">
        <v>54.0</v>
      </c>
    </row>
    <row r="337">
      <c r="A337" s="27">
        <f>HYPERLINK("https://arcprize.org/play?task=d23f8c26", 329)</f>
        <v>329</v>
      </c>
      <c r="B337" s="14">
        <f>IFERROR(__xludf.DUMMYFUNCTION("min(filter(Scores!B340:AX340,Scores!B340:AX340&gt;0))"),54.0)</f>
        <v>54</v>
      </c>
      <c r="C337" s="14">
        <v>2446.0</v>
      </c>
      <c r="D337" s="51" t="str">
        <f t="array" ref="D337">if(B337,if(countif(Scores!B340:AX340,B337)=1,concat("💎",XLOOKUP(B337,Scores!B340:AX340,Scores!B$1:AX$1)),concat("🥇 x",countif(Scores!B340:AX340,B337))),"")</f>
        <v>🥇 x22</v>
      </c>
      <c r="E337" s="14">
        <f>if(countif(Scores!B340:AX340,B337)=1,F337,-1)</f>
        <v>-1</v>
      </c>
      <c r="F337" s="14">
        <f t="shared" si="1"/>
        <v>54</v>
      </c>
      <c r="G337" s="14">
        <f>IFERROR(__xludf.DUMMYFUNCTION("if(iferror(small(filter(Scores!B340:AX340,Scores!B340:AX340&gt;0),2),-1)&lt;&gt;F337,iferror(small(filter(Scores!B340:AX340,Scores!B340:AX340&gt;0),2),-1),-1)"),-1.0)</f>
        <v>-1</v>
      </c>
      <c r="H337" s="14">
        <f>IFERROR(__xludf.DUMMYFUNCTION("if(iferror(small(filter(Scores!B340:AX340,Scores!B340:AX340&gt;0),3),-1)&lt;&gt;iferror(small(filter(Scores!B340:AX340,Scores!B340:AX340&gt;0),2),-1),iferror(small(filter(Scores!B340:AX340,Scores!B340:AX340&gt;0),3),-1),-1)"),-1.0)</f>
        <v>-1</v>
      </c>
      <c r="I337" s="14">
        <f>IFERROR(__xludf.DUMMYFUNCTION("IFERROR(COLUMNS(filter(Scores!B340:AE340,Scores!B340:AE340)),"""")"),45.0)</f>
        <v>45</v>
      </c>
      <c r="J337" s="14">
        <f>COUNTIF(Scores!B340:AX340,B337)</f>
        <v>22</v>
      </c>
      <c r="K337" s="21">
        <f>IFERROR(__xludf.DUMMYFUNCTION("""COMPUTED_VALUE"""),329.0)</f>
        <v>329</v>
      </c>
      <c r="L337" s="36"/>
      <c r="S337" s="21">
        <v>13.0</v>
      </c>
      <c r="T337" s="14">
        <v>124.0</v>
      </c>
      <c r="U337" s="14">
        <v>2376.0</v>
      </c>
      <c r="W337" s="21">
        <v>227.0</v>
      </c>
      <c r="X337" s="14">
        <v>52.0</v>
      </c>
      <c r="Y337" s="14">
        <v>2448.0</v>
      </c>
      <c r="AA337" s="21">
        <v>171.0</v>
      </c>
      <c r="AB337" s="14">
        <v>44.0</v>
      </c>
      <c r="AC337" s="14">
        <v>51.0</v>
      </c>
    </row>
    <row r="338">
      <c r="A338" s="27">
        <f>HYPERLINK("https://arcprize.org/play?task=d2abd087", 330)</f>
        <v>330</v>
      </c>
      <c r="B338" s="14">
        <f>IFERROR(__xludf.DUMMYFUNCTION("min(filter(Scores!B341:AX341,Scores!B341:AX341&gt;0))"),110.0)</f>
        <v>110</v>
      </c>
      <c r="C338" s="14">
        <v>2390.0</v>
      </c>
      <c r="D338" s="51" t="str">
        <f t="array" ref="D338">if(B338,if(countif(Scores!B341:AX341,B338)=1,concat("💎",XLOOKUP(B338,Scores!B341:AX341,Scores!B$1:AX$1)),concat("🥇 x",countif(Scores!B341:AX341,B338))),"")</f>
        <v>💎ox jam</v>
      </c>
      <c r="E338" s="14">
        <f>if(countif(Scores!B341:AX341,B338)=1,F338,-1)</f>
        <v>110</v>
      </c>
      <c r="F338" s="14">
        <f t="shared" si="1"/>
        <v>110</v>
      </c>
      <c r="G338" s="14">
        <f>IFERROR(__xludf.DUMMYFUNCTION("if(iferror(small(filter(Scores!B341:AX341,Scores!B341:AX341&gt;0),2),-1)&lt;&gt;F338,iferror(small(filter(Scores!B341:AX341,Scores!B341:AX341&gt;0),2),-1),-1)"),114.0)</f>
        <v>114</v>
      </c>
      <c r="H338" s="14">
        <f>IFERROR(__xludf.DUMMYFUNCTION("if(iferror(small(filter(Scores!B341:AX341,Scores!B341:AX341&gt;0),3),-1)&lt;&gt;iferror(small(filter(Scores!B341:AX341,Scores!B341:AX341&gt;0),2),-1),iferror(small(filter(Scores!B341:AX341,Scores!B341:AX341&gt;0),3),-1),-1)"),116.0)</f>
        <v>116</v>
      </c>
      <c r="I338" s="14">
        <f>IFERROR(__xludf.DUMMYFUNCTION("IFERROR(COLUMNS(filter(Scores!B341:AE341,Scores!B341:AE341)),"""")"),36.0)</f>
        <v>36</v>
      </c>
      <c r="J338" s="14">
        <f>COUNTIF(Scores!B341:AX341,B338)</f>
        <v>1</v>
      </c>
      <c r="K338" s="21">
        <f>IFERROR(__xludf.DUMMYFUNCTION("""COMPUTED_VALUE"""),330.0)</f>
        <v>330</v>
      </c>
      <c r="L338" s="36"/>
      <c r="S338" s="21">
        <v>102.0</v>
      </c>
      <c r="T338" s="14">
        <v>124.0</v>
      </c>
      <c r="U338" s="14">
        <v>2376.0</v>
      </c>
      <c r="W338" s="21">
        <v>346.0</v>
      </c>
      <c r="X338" s="14">
        <v>52.0</v>
      </c>
      <c r="Y338" s="14">
        <v>2448.0</v>
      </c>
      <c r="AA338" s="21">
        <v>347.0</v>
      </c>
      <c r="AB338" s="14">
        <v>44.0</v>
      </c>
      <c r="AC338" s="14">
        <v>50.0</v>
      </c>
    </row>
    <row r="339">
      <c r="A339" s="27">
        <f>HYPERLINK("https://arcprize.org/play?task=d364b489", 331)</f>
        <v>331</v>
      </c>
      <c r="B339" s="14">
        <f>IFERROR(__xludf.DUMMYFUNCTION("min(filter(Scores!B342:AX342,Scores!B342:AX342&gt;0))"),82.0)</f>
        <v>82</v>
      </c>
      <c r="C339" s="14">
        <v>2418.0</v>
      </c>
      <c r="D339" s="51" t="str">
        <f t="array" ref="D339">if(B339,if(countif(Scores!B342:AX342,B339)=1,concat("💎",XLOOKUP(B339,Scores!B342:AX342,Scores!B$1:AX$1)),concat("🥇 x",countif(Scores!B342:AX342,B339))),"")</f>
        <v>🥇 x2</v>
      </c>
      <c r="E339" s="14">
        <f>if(countif(Scores!B342:AX342,B339)=1,F339,-1)</f>
        <v>-1</v>
      </c>
      <c r="F339" s="14">
        <f t="shared" si="1"/>
        <v>82</v>
      </c>
      <c r="G339" s="14">
        <f>IFERROR(__xludf.DUMMYFUNCTION("if(iferror(small(filter(Scores!B342:AX342,Scores!B342:AX342&gt;0),2),-1)&lt;&gt;F339,iferror(small(filter(Scores!B342:AX342,Scores!B342:AX342&gt;0),2),-1),-1)"),-1.0)</f>
        <v>-1</v>
      </c>
      <c r="H339" s="14">
        <f>IFERROR(__xludf.DUMMYFUNCTION("if(iferror(small(filter(Scores!B342:AX342,Scores!B342:AX342&gt;0),3),-1)&lt;&gt;iferror(small(filter(Scores!B342:AX342,Scores!B342:AX342&gt;0),2),-1),iferror(small(filter(Scores!B342:AX342,Scores!B342:AX342&gt;0),3),-1),-1)"),83.0)</f>
        <v>83</v>
      </c>
      <c r="I339" s="14">
        <f>IFERROR(__xludf.DUMMYFUNCTION("IFERROR(COLUMNS(filter(Scores!B342:AE342,Scores!B342:AE342)),"""")"),39.0)</f>
        <v>39</v>
      </c>
      <c r="J339" s="14">
        <f>COUNTIF(Scores!B342:AX342,B339)</f>
        <v>2</v>
      </c>
      <c r="K339" s="21">
        <f>IFERROR(__xludf.DUMMYFUNCTION("""COMPUTED_VALUE"""),331.0)</f>
        <v>331</v>
      </c>
      <c r="L339" s="36"/>
      <c r="S339" s="21">
        <v>105.0</v>
      </c>
      <c r="T339" s="14">
        <v>124.0</v>
      </c>
      <c r="U339" s="14">
        <v>2376.0</v>
      </c>
      <c r="W339" s="21">
        <v>21.0</v>
      </c>
      <c r="X339" s="14">
        <v>51.0</v>
      </c>
      <c r="Y339" s="14">
        <v>2449.0</v>
      </c>
      <c r="AA339" s="21">
        <v>57.0</v>
      </c>
      <c r="AB339" s="14">
        <v>44.0</v>
      </c>
      <c r="AC339" s="14">
        <v>48.0</v>
      </c>
    </row>
    <row r="340">
      <c r="A340" s="27">
        <f>HYPERLINK("https://arcprize.org/play?task=d406998b", 332)</f>
        <v>332</v>
      </c>
      <c r="B340" s="14">
        <f>IFERROR(__xludf.DUMMYFUNCTION("min(filter(Scores!B343:AX343,Scores!B343:AX343&gt;0))"),58.0)</f>
        <v>58</v>
      </c>
      <c r="C340" s="14">
        <v>2442.0</v>
      </c>
      <c r="D340" s="51" t="str">
        <f t="array" ref="D340">if(B340,if(countif(Scores!B343:AX343,B340)=1,concat("💎",XLOOKUP(B340,Scores!B343:AX343,Scores!B$1:AX$1)),concat("🥇 x",countif(Scores!B343:AX343,B340))),"")</f>
        <v>🥇 x3</v>
      </c>
      <c r="E340" s="14">
        <f>if(countif(Scores!B343:AX343,B340)=1,F340,-1)</f>
        <v>-1</v>
      </c>
      <c r="F340" s="14">
        <f t="shared" si="1"/>
        <v>58</v>
      </c>
      <c r="G340" s="14">
        <f>IFERROR(__xludf.DUMMYFUNCTION("if(iferror(small(filter(Scores!B343:AX343,Scores!B343:AX343&gt;0),2),-1)&lt;&gt;F340,iferror(small(filter(Scores!B343:AX343,Scores!B343:AX343&gt;0),2),-1),-1)"),-1.0)</f>
        <v>-1</v>
      </c>
      <c r="H340" s="14">
        <f>IFERROR(__xludf.DUMMYFUNCTION("if(iferror(small(filter(Scores!B343:AX343,Scores!B343:AX343&gt;0),3),-1)&lt;&gt;iferror(small(filter(Scores!B343:AX343,Scores!B343:AX343&gt;0),2),-1),iferror(small(filter(Scores!B343:AX343,Scores!B343:AX343&gt;0),3),-1),-1)"),-1.0)</f>
        <v>-1</v>
      </c>
      <c r="I340" s="14">
        <f>IFERROR(__xludf.DUMMYFUNCTION("IFERROR(COLUMNS(filter(Scores!B343:AE343,Scores!B343:AE343)),"""")"),43.0)</f>
        <v>43</v>
      </c>
      <c r="J340" s="14">
        <f>COUNTIF(Scores!B343:AX343,B340)</f>
        <v>3</v>
      </c>
      <c r="K340" s="21">
        <f>IFERROR(__xludf.DUMMYFUNCTION("""COMPUTED_VALUE"""),332.0)</f>
        <v>332</v>
      </c>
      <c r="L340" s="36"/>
      <c r="S340" s="21">
        <v>382.0</v>
      </c>
      <c r="T340" s="14">
        <v>124.0</v>
      </c>
      <c r="U340" s="14">
        <v>2376.0</v>
      </c>
      <c r="W340" s="21">
        <v>38.0</v>
      </c>
      <c r="X340" s="14">
        <v>51.0</v>
      </c>
      <c r="Y340" s="14">
        <v>2449.0</v>
      </c>
      <c r="AA340" s="21">
        <v>129.0</v>
      </c>
      <c r="AB340" s="14">
        <v>44.0</v>
      </c>
      <c r="AC340" s="14">
        <v>47.0</v>
      </c>
    </row>
    <row r="341">
      <c r="A341" s="27">
        <f>HYPERLINK("https://arcprize.org/play?task=d43fd935", 333)</f>
        <v>333</v>
      </c>
      <c r="B341" s="14">
        <f>IFERROR(__xludf.DUMMYFUNCTION("min(filter(Scores!B344:AX344,Scores!B344:AX344&gt;0))"),83.0)</f>
        <v>83</v>
      </c>
      <c r="C341" s="14">
        <v>2417.0</v>
      </c>
      <c r="D341" s="51" t="str">
        <f t="array" ref="D341">if(B341,if(countif(Scores!B344:AX344,B341)=1,concat("💎",XLOOKUP(B341,Scores!B344:AX344,Scores!B$1:AX$1)),concat("🥇 x",countif(Scores!B344:AX344,B341))),"")</f>
        <v>💎Code Golf International</v>
      </c>
      <c r="E341" s="14">
        <f>if(countif(Scores!B344:AX344,B341)=1,F341,-1)</f>
        <v>83</v>
      </c>
      <c r="F341" s="14">
        <f t="shared" si="1"/>
        <v>83</v>
      </c>
      <c r="G341" s="14">
        <f>IFERROR(__xludf.DUMMYFUNCTION("if(iferror(small(filter(Scores!B344:AX344,Scores!B344:AX344&gt;0),2),-1)&lt;&gt;F341,iferror(small(filter(Scores!B344:AX344,Scores!B344:AX344&gt;0),2),-1),-1)"),89.0)</f>
        <v>89</v>
      </c>
      <c r="H341" s="14">
        <f>IFERROR(__xludf.DUMMYFUNCTION("if(iferror(small(filter(Scores!B344:AX344,Scores!B344:AX344&gt;0),3),-1)&lt;&gt;iferror(small(filter(Scores!B344:AX344,Scores!B344:AX344&gt;0),2),-1),iferror(small(filter(Scores!B344:AX344,Scores!B344:AX344&gt;0),3),-1),-1)"),-1.0)</f>
        <v>-1</v>
      </c>
      <c r="I341" s="14">
        <f>IFERROR(__xludf.DUMMYFUNCTION("IFERROR(COLUMNS(filter(Scores!B344:AE344,Scores!B344:AE344)),"""")"),37.0)</f>
        <v>37</v>
      </c>
      <c r="J341" s="14">
        <f>COUNTIF(Scores!B344:AX344,B341)</f>
        <v>1</v>
      </c>
      <c r="K341" s="21">
        <f>IFERROR(__xludf.DUMMYFUNCTION("""COMPUTED_VALUE"""),333.0)</f>
        <v>333</v>
      </c>
      <c r="L341" s="36"/>
      <c r="S341" s="21">
        <v>20.0</v>
      </c>
      <c r="T341" s="14">
        <v>126.0</v>
      </c>
      <c r="U341" s="14">
        <v>2374.0</v>
      </c>
      <c r="W341" s="21">
        <v>115.0</v>
      </c>
      <c r="X341" s="14">
        <v>51.0</v>
      </c>
      <c r="Y341" s="14">
        <v>2449.0</v>
      </c>
      <c r="AA341" s="21">
        <v>178.0</v>
      </c>
      <c r="AB341" s="14">
        <v>44.0</v>
      </c>
      <c r="AC341" s="14">
        <v>47.0</v>
      </c>
    </row>
    <row r="342">
      <c r="A342" s="27">
        <f>HYPERLINK("https://arcprize.org/play?task=d4469b4b", 334)</f>
        <v>334</v>
      </c>
      <c r="B342" s="14">
        <f>IFERROR(__xludf.DUMMYFUNCTION("min(filter(Scores!B345:AX345,Scores!B345:AX345&gt;0))"),65.0)</f>
        <v>65</v>
      </c>
      <c r="C342" s="14">
        <v>2435.0</v>
      </c>
      <c r="D342" s="51" t="str">
        <f t="array" ref="D342">if(B342,if(countif(Scores!B345:AX345,B342)=1,concat("💎",XLOOKUP(B342,Scores!B345:AX345,Scores!B$1:AX$1)),concat("🥇 x",countif(Scores!B345:AX345,B342))),"")</f>
        <v>💎Code Golf International</v>
      </c>
      <c r="E342" s="14">
        <f>if(countif(Scores!B345:AX345,B342)=1,F342,-1)</f>
        <v>65</v>
      </c>
      <c r="F342" s="14">
        <f t="shared" si="1"/>
        <v>65</v>
      </c>
      <c r="G342" s="14">
        <f>IFERROR(__xludf.DUMMYFUNCTION("if(iferror(small(filter(Scores!B345:AX345,Scores!B345:AX345&gt;0),2),-1)&lt;&gt;F342,iferror(small(filter(Scores!B345:AX345,Scores!B345:AX345&gt;0),2),-1),-1)"),66.0)</f>
        <v>66</v>
      </c>
      <c r="H342" s="14">
        <f>IFERROR(__xludf.DUMMYFUNCTION("if(iferror(small(filter(Scores!B345:AX345,Scores!B345:AX345&gt;0),3),-1)&lt;&gt;iferror(small(filter(Scores!B345:AX345,Scores!B345:AX345&gt;0),2),-1),iferror(small(filter(Scores!B345:AX345,Scores!B345:AX345&gt;0),3),-1),-1)"),69.0)</f>
        <v>69</v>
      </c>
      <c r="I342" s="14">
        <f>IFERROR(__xludf.DUMMYFUNCTION("IFERROR(COLUMNS(filter(Scores!B345:AE345,Scores!B345:AE345)),"""")"),42.0)</f>
        <v>42</v>
      </c>
      <c r="J342" s="14">
        <f>COUNTIF(Scores!B345:AX345,B342)</f>
        <v>1</v>
      </c>
      <c r="K342" s="21">
        <f>IFERROR(__xludf.DUMMYFUNCTION("""COMPUTED_VALUE"""),334.0)</f>
        <v>334</v>
      </c>
      <c r="L342" s="36"/>
      <c r="S342" s="21">
        <v>275.0</v>
      </c>
      <c r="T342" s="14">
        <v>126.0</v>
      </c>
      <c r="U342" s="14">
        <v>2374.0</v>
      </c>
      <c r="W342" s="21">
        <v>171.0</v>
      </c>
      <c r="X342" s="14">
        <v>51.0</v>
      </c>
      <c r="Y342" s="14">
        <v>2449.0</v>
      </c>
      <c r="AA342" s="21">
        <v>223.0</v>
      </c>
      <c r="AB342" s="14">
        <v>44.0</v>
      </c>
      <c r="AC342" s="14">
        <v>46.0</v>
      </c>
    </row>
    <row r="343">
      <c r="A343" s="27">
        <f>HYPERLINK("https://arcprize.org/play?task=d4a91cb9", 335)</f>
        <v>335</v>
      </c>
      <c r="B343" s="14">
        <f>IFERROR(__xludf.DUMMYFUNCTION("min(filter(Scores!B346:AX346,Scores!B346:AX346&gt;0))"),105.0)</f>
        <v>105</v>
      </c>
      <c r="C343" s="14">
        <v>2395.0</v>
      </c>
      <c r="D343" s="51" t="str">
        <f t="array" ref="D343">if(B343,if(countif(Scores!B346:AX346,B343)=1,concat("💎",XLOOKUP(B343,Scores!B346:AX346,Scores!B$1:AX$1)),concat("🥇 x",countif(Scores!B346:AX346,B343))),"")</f>
        <v>💎jailctf merger</v>
      </c>
      <c r="E343" s="14">
        <f>if(countif(Scores!B346:AX346,B343)=1,F343,-1)</f>
        <v>105</v>
      </c>
      <c r="F343" s="14">
        <f t="shared" si="1"/>
        <v>105</v>
      </c>
      <c r="G343" s="14">
        <f>IFERROR(__xludf.DUMMYFUNCTION("if(iferror(small(filter(Scores!B346:AX346,Scores!B346:AX346&gt;0),2),-1)&lt;&gt;F343,iferror(small(filter(Scores!B346:AX346,Scores!B346:AX346&gt;0),2),-1),-1)"),106.0)</f>
        <v>106</v>
      </c>
      <c r="H343" s="14">
        <f>IFERROR(__xludf.DUMMYFUNCTION("if(iferror(small(filter(Scores!B346:AX346,Scores!B346:AX346&gt;0),3),-1)&lt;&gt;iferror(small(filter(Scores!B346:AX346,Scores!B346:AX346&gt;0),2),-1),iferror(small(filter(Scores!B346:AX346,Scores!B346:AX346&gt;0),3),-1),-1)"),110.0)</f>
        <v>110</v>
      </c>
      <c r="I343" s="14">
        <f>IFERROR(__xludf.DUMMYFUNCTION("IFERROR(COLUMNS(filter(Scores!B346:AE346,Scores!B346:AE346)),"""")"),39.0)</f>
        <v>39</v>
      </c>
      <c r="J343" s="14">
        <f>COUNTIF(Scores!B346:AX346,B343)</f>
        <v>1</v>
      </c>
      <c r="K343" s="21">
        <f>IFERROR(__xludf.DUMMYFUNCTION("""COMPUTED_VALUE"""),335.0)</f>
        <v>335</v>
      </c>
      <c r="L343" s="36"/>
      <c r="S343" s="21">
        <v>367.0</v>
      </c>
      <c r="T343" s="14">
        <v>126.0</v>
      </c>
      <c r="U343" s="14">
        <v>2374.0</v>
      </c>
      <c r="W343" s="21">
        <v>177.0</v>
      </c>
      <c r="X343" s="14">
        <v>51.0</v>
      </c>
      <c r="Y343" s="14">
        <v>2449.0</v>
      </c>
      <c r="AA343" s="21">
        <v>267.0</v>
      </c>
      <c r="AB343" s="14">
        <v>44.0</v>
      </c>
      <c r="AC343" s="14">
        <v>46.0</v>
      </c>
    </row>
    <row r="344">
      <c r="A344" s="27">
        <f>HYPERLINK("https://arcprize.org/play?task=d4f3cd78", 336)</f>
        <v>336</v>
      </c>
      <c r="B344" s="14">
        <f>IFERROR(__xludf.DUMMYFUNCTION("min(filter(Scores!B347:AX347,Scores!B347:AX347&gt;0))"),86.0)</f>
        <v>86</v>
      </c>
      <c r="C344" s="14">
        <v>2414.0</v>
      </c>
      <c r="D344" s="51" t="str">
        <f t="array" ref="D344">if(B344,if(countif(Scores!B347:AX347,B344)=1,concat("💎",XLOOKUP(B344,Scores!B347:AX347,Scores!B$1:AX$1)),concat("🥇 x",countif(Scores!B347:AX347,B344))),"")</f>
        <v>💎jailctf merger</v>
      </c>
      <c r="E344" s="14">
        <f>if(countif(Scores!B347:AX347,B344)=1,F344,-1)</f>
        <v>86</v>
      </c>
      <c r="F344" s="14">
        <f t="shared" si="1"/>
        <v>86</v>
      </c>
      <c r="G344" s="14">
        <f>IFERROR(__xludf.DUMMYFUNCTION("if(iferror(small(filter(Scores!B347:AX347,Scores!B347:AX347&gt;0),2),-1)&lt;&gt;F344,iferror(small(filter(Scores!B347:AX347,Scores!B347:AX347&gt;0),2),-1),-1)"),88.0)</f>
        <v>88</v>
      </c>
      <c r="H344" s="14">
        <f>IFERROR(__xludf.DUMMYFUNCTION("if(iferror(small(filter(Scores!B347:AX347,Scores!B347:AX347&gt;0),3),-1)&lt;&gt;iferror(small(filter(Scores!B347:AX347,Scores!B347:AX347&gt;0),2),-1),iferror(small(filter(Scores!B347:AX347,Scores!B347:AX347&gt;0),3),-1),-1)"),90.0)</f>
        <v>90</v>
      </c>
      <c r="I344" s="14">
        <f>IFERROR(__xludf.DUMMYFUNCTION("IFERROR(COLUMNS(filter(Scores!B347:AE347,Scores!B347:AE347)),"""")"),38.0)</f>
        <v>38</v>
      </c>
      <c r="J344" s="14">
        <f>COUNTIF(Scores!B347:AX347,B344)</f>
        <v>1</v>
      </c>
      <c r="K344" s="21">
        <f>IFERROR(__xludf.DUMMYFUNCTION("""COMPUTED_VALUE"""),336.0)</f>
        <v>336</v>
      </c>
      <c r="L344" s="36"/>
      <c r="S344" s="21">
        <v>25.0</v>
      </c>
      <c r="T344" s="14">
        <v>127.0</v>
      </c>
      <c r="U344" s="14">
        <v>2373.0</v>
      </c>
      <c r="W344" s="21">
        <v>197.0</v>
      </c>
      <c r="X344" s="14">
        <v>51.0</v>
      </c>
      <c r="Y344" s="14">
        <v>2449.0</v>
      </c>
      <c r="AA344" s="21">
        <v>307.0</v>
      </c>
      <c r="AB344" s="14">
        <v>44.0</v>
      </c>
      <c r="AC344" s="14">
        <v>46.0</v>
      </c>
    </row>
    <row r="345">
      <c r="A345" s="27">
        <f>HYPERLINK("https://arcprize.org/play?task=d511f180", 337)</f>
        <v>337</v>
      </c>
      <c r="B345" s="14">
        <f>IFERROR(__xludf.DUMMYFUNCTION("min(filter(Scores!B348:AX348,Scores!B348:AX348&gt;0))"),43.0)</f>
        <v>43</v>
      </c>
      <c r="C345" s="14">
        <v>2457.0</v>
      </c>
      <c r="D345" s="51" t="str">
        <f t="array" ref="D345">if(B345,if(countif(Scores!B348:AX348,B345)=1,concat("💎",XLOOKUP(B345,Scores!B348:AX348,Scores!B$1:AX$1)),concat("🥇 x",countif(Scores!B348:AX348,B345))),"")</f>
        <v>🥇 x3</v>
      </c>
      <c r="E345" s="14">
        <f>if(countif(Scores!B348:AX348,B345)=1,F345,-1)</f>
        <v>-1</v>
      </c>
      <c r="F345" s="14">
        <f t="shared" si="1"/>
        <v>43</v>
      </c>
      <c r="G345" s="14">
        <f>IFERROR(__xludf.DUMMYFUNCTION("if(iferror(small(filter(Scores!B348:AX348,Scores!B348:AX348&gt;0),2),-1)&lt;&gt;F345,iferror(small(filter(Scores!B348:AX348,Scores!B348:AX348&gt;0),2),-1),-1)"),-1.0)</f>
        <v>-1</v>
      </c>
      <c r="H345" s="14">
        <f>IFERROR(__xludf.DUMMYFUNCTION("if(iferror(small(filter(Scores!B348:AX348,Scores!B348:AX348&gt;0),3),-1)&lt;&gt;iferror(small(filter(Scores!B348:AX348,Scores!B348:AX348&gt;0),2),-1),iferror(small(filter(Scores!B348:AX348,Scores!B348:AX348&gt;0),3),-1),-1)"),-1.0)</f>
        <v>-1</v>
      </c>
      <c r="I345" s="14">
        <f>IFERROR(__xludf.DUMMYFUNCTION("IFERROR(COLUMNS(filter(Scores!B348:AE348,Scores!B348:AE348)),"""")"),44.0)</f>
        <v>44</v>
      </c>
      <c r="J345" s="14">
        <f>COUNTIF(Scores!B348:AX348,B345)</f>
        <v>3</v>
      </c>
      <c r="K345" s="21">
        <f>IFERROR(__xludf.DUMMYFUNCTION("""COMPUTED_VALUE"""),337.0)</f>
        <v>337</v>
      </c>
      <c r="L345" s="36"/>
      <c r="S345" s="21">
        <v>143.0</v>
      </c>
      <c r="T345" s="14">
        <v>127.0</v>
      </c>
      <c r="U345" s="14">
        <v>2373.0</v>
      </c>
      <c r="W345" s="21">
        <v>292.0</v>
      </c>
      <c r="X345" s="14">
        <v>51.0</v>
      </c>
      <c r="Y345" s="14">
        <v>2449.0</v>
      </c>
      <c r="AA345" s="21">
        <v>297.0</v>
      </c>
      <c r="AB345" s="14">
        <v>44.0</v>
      </c>
      <c r="AC345" s="14">
        <v>43.0</v>
      </c>
    </row>
    <row r="346">
      <c r="A346" s="27">
        <f>HYPERLINK("https://arcprize.org/play?task=d5d6de2d", 338)</f>
        <v>338</v>
      </c>
      <c r="B346" s="14">
        <f>IFERROR(__xludf.DUMMYFUNCTION("min(filter(Scores!B349:AX349,Scores!B349:AX349&gt;0))"),62.0)</f>
        <v>62</v>
      </c>
      <c r="C346" s="14">
        <v>2438.0</v>
      </c>
      <c r="D346" s="51" t="str">
        <f t="array" ref="D346">if(B346,if(countif(Scores!B349:AX349,B346)=1,concat("💎",XLOOKUP(B346,Scores!B349:AX349,Scores!B$1:AX$1)),concat("🥇 x",countif(Scores!B349:AX349,B346))),"")</f>
        <v>💎jailctf merger</v>
      </c>
      <c r="E346" s="14">
        <f>if(countif(Scores!B349:AX349,B346)=1,F346,-1)</f>
        <v>62</v>
      </c>
      <c r="F346" s="14">
        <f t="shared" si="1"/>
        <v>62</v>
      </c>
      <c r="G346" s="14">
        <f>IFERROR(__xludf.DUMMYFUNCTION("if(iferror(small(filter(Scores!B349:AX349,Scores!B349:AX349&gt;0),2),-1)&lt;&gt;F346,iferror(small(filter(Scores!B349:AX349,Scores!B349:AX349&gt;0),2),-1),-1)"),64.0)</f>
        <v>64</v>
      </c>
      <c r="H346" s="14">
        <f>IFERROR(__xludf.DUMMYFUNCTION("if(iferror(small(filter(Scores!B349:AX349,Scores!B349:AX349&gt;0),3),-1)&lt;&gt;iferror(small(filter(Scores!B349:AX349,Scores!B349:AX349&gt;0),2),-1),iferror(small(filter(Scores!B349:AX349,Scores!B349:AX349&gt;0),3),-1),-1)"),-1.0)</f>
        <v>-1</v>
      </c>
      <c r="I346" s="14">
        <f>IFERROR(__xludf.DUMMYFUNCTION("IFERROR(COLUMNS(filter(Scores!B349:AE349,Scores!B349:AE349)),"""")"),38.0)</f>
        <v>38</v>
      </c>
      <c r="J346" s="14">
        <f>COUNTIF(Scores!B349:AX349,B346)</f>
        <v>1</v>
      </c>
      <c r="K346" s="21">
        <f>IFERROR(__xludf.DUMMYFUNCTION("""COMPUTED_VALUE"""),338.0)</f>
        <v>338</v>
      </c>
      <c r="L346" s="36"/>
      <c r="S346" s="21">
        <v>368.0</v>
      </c>
      <c r="T346" s="14">
        <v>129.0</v>
      </c>
      <c r="U346" s="14">
        <v>2371.0</v>
      </c>
      <c r="W346" s="21">
        <v>26.0</v>
      </c>
      <c r="X346" s="14">
        <v>50.0</v>
      </c>
      <c r="Y346" s="14">
        <v>2450.0</v>
      </c>
      <c r="AA346" s="21">
        <v>337.0</v>
      </c>
      <c r="AB346" s="14">
        <v>44.0</v>
      </c>
      <c r="AC346" s="14">
        <v>43.0</v>
      </c>
    </row>
    <row r="347">
      <c r="A347" s="27">
        <f>HYPERLINK("https://arcprize.org/play?task=d631b094", 339)</f>
        <v>339</v>
      </c>
      <c r="B347" s="14">
        <f>IFERROR(__xludf.DUMMYFUNCTION("min(filter(Scores!B350:AX350,Scores!B350:AX350&gt;0))"),37.0)</f>
        <v>37</v>
      </c>
      <c r="C347" s="14">
        <v>2463.0</v>
      </c>
      <c r="D347" s="51" t="str">
        <f t="array" ref="D347">if(B347,if(countif(Scores!B350:AX350,B347)=1,concat("💎",XLOOKUP(B347,Scores!B350:AX350,Scores!B$1:AX$1)),concat("🥇 x",countif(Scores!B350:AX350,B347))),"")</f>
        <v>🥇 x27</v>
      </c>
      <c r="E347" s="14">
        <f>if(countif(Scores!B350:AX350,B347)=1,F347,-1)</f>
        <v>-1</v>
      </c>
      <c r="F347" s="14">
        <f t="shared" si="1"/>
        <v>37</v>
      </c>
      <c r="G347" s="14">
        <f>IFERROR(__xludf.DUMMYFUNCTION("if(iferror(small(filter(Scores!B350:AX350,Scores!B350:AX350&gt;0),2),-1)&lt;&gt;F347,iferror(small(filter(Scores!B350:AX350,Scores!B350:AX350&gt;0),2),-1),-1)"),-1.0)</f>
        <v>-1</v>
      </c>
      <c r="H347" s="14">
        <f>IFERROR(__xludf.DUMMYFUNCTION("if(iferror(small(filter(Scores!B350:AX350,Scores!B350:AX350&gt;0),3),-1)&lt;&gt;iferror(small(filter(Scores!B350:AX350,Scores!B350:AX350&gt;0),2),-1),iferror(small(filter(Scores!B350:AX350,Scores!B350:AX350&gt;0),3),-1),-1)"),-1.0)</f>
        <v>-1</v>
      </c>
      <c r="I347" s="14">
        <f>IFERROR(__xludf.DUMMYFUNCTION("IFERROR(COLUMNS(filter(Scores!B350:AE350,Scores!B350:AE350)),"""")"),44.0)</f>
        <v>44</v>
      </c>
      <c r="J347" s="14">
        <f>COUNTIF(Scores!B350:AX350,B347)</f>
        <v>27</v>
      </c>
      <c r="K347" s="21">
        <f>IFERROR(__xludf.DUMMYFUNCTION("""COMPUTED_VALUE"""),339.0)</f>
        <v>339</v>
      </c>
      <c r="L347" s="36"/>
      <c r="S347" s="21">
        <v>163.0</v>
      </c>
      <c r="T347" s="14">
        <v>130.0</v>
      </c>
      <c r="U347" s="14">
        <v>2370.0</v>
      </c>
      <c r="W347" s="21">
        <v>82.0</v>
      </c>
      <c r="X347" s="14">
        <v>50.0</v>
      </c>
      <c r="Y347" s="14">
        <v>2450.0</v>
      </c>
      <c r="AA347" s="21">
        <v>56.0</v>
      </c>
      <c r="AB347" s="14">
        <v>44.0</v>
      </c>
      <c r="AC347" s="14">
        <v>39.0</v>
      </c>
    </row>
    <row r="348">
      <c r="A348" s="27">
        <f>HYPERLINK("https://arcprize.org/play?task=d687bc17", 340)</f>
        <v>340</v>
      </c>
      <c r="B348" s="14">
        <f>IFERROR(__xludf.DUMMYFUNCTION("min(filter(Scores!B351:AX351,Scores!B351:AX351&gt;0))"),111.0)</f>
        <v>111</v>
      </c>
      <c r="C348" s="14">
        <v>2389.0</v>
      </c>
      <c r="D348" s="51" t="str">
        <f t="array" ref="D348">if(B348,if(countif(Scores!B351:AX351,B348)=1,concat("💎",XLOOKUP(B348,Scores!B351:AX351,Scores!B$1:AX$1)),concat("🥇 x",countif(Scores!B351:AX351,B348))),"")</f>
        <v>💎jailctf merger</v>
      </c>
      <c r="E348" s="14">
        <f>if(countif(Scores!B351:AX351,B348)=1,F348,-1)</f>
        <v>111</v>
      </c>
      <c r="F348" s="14">
        <f t="shared" si="1"/>
        <v>111</v>
      </c>
      <c r="G348" s="14">
        <f>IFERROR(__xludf.DUMMYFUNCTION("if(iferror(small(filter(Scores!B351:AX351,Scores!B351:AX351&gt;0),2),-1)&lt;&gt;F348,iferror(small(filter(Scores!B351:AX351,Scores!B351:AX351&gt;0),2),-1),-1)"),112.0)</f>
        <v>112</v>
      </c>
      <c r="H348" s="14">
        <f>IFERROR(__xludf.DUMMYFUNCTION("if(iferror(small(filter(Scores!B351:AX351,Scores!B351:AX351&gt;0),3),-1)&lt;&gt;iferror(small(filter(Scores!B351:AX351,Scores!B351:AX351&gt;0),2),-1),iferror(small(filter(Scores!B351:AX351,Scores!B351:AX351&gt;0),3),-1),-1)"),113.0)</f>
        <v>113</v>
      </c>
      <c r="I348" s="14">
        <f>IFERROR(__xludf.DUMMYFUNCTION("IFERROR(COLUMNS(filter(Scores!B351:AE351,Scores!B351:AE351)),"""")"),36.0)</f>
        <v>36</v>
      </c>
      <c r="J348" s="14">
        <f>COUNTIF(Scores!B351:AX351,B348)</f>
        <v>1</v>
      </c>
      <c r="K348" s="21">
        <f>IFERROR(__xludf.DUMMYFUNCTION("""COMPUTED_VALUE"""),340.0)</f>
        <v>340</v>
      </c>
      <c r="L348" s="36"/>
      <c r="S348" s="21">
        <v>260.0</v>
      </c>
      <c r="T348" s="14">
        <v>130.0</v>
      </c>
      <c r="U348" s="14">
        <v>2370.0</v>
      </c>
      <c r="W348" s="21">
        <v>347.0</v>
      </c>
      <c r="X348" s="14">
        <v>50.0</v>
      </c>
      <c r="Y348" s="14">
        <v>2450.0</v>
      </c>
      <c r="AA348" s="21">
        <v>262.0</v>
      </c>
      <c r="AB348" s="14">
        <v>44.0</v>
      </c>
      <c r="AC348" s="14">
        <v>39.0</v>
      </c>
    </row>
    <row r="349">
      <c r="A349" s="27">
        <f>HYPERLINK("https://arcprize.org/play?task=d6ad076f", 341)</f>
        <v>341</v>
      </c>
      <c r="B349" s="14">
        <f>IFERROR(__xludf.DUMMYFUNCTION("min(filter(Scores!B352:AX352,Scores!B352:AX352&gt;0))"),108.0)</f>
        <v>108</v>
      </c>
      <c r="C349" s="14">
        <v>2392.0</v>
      </c>
      <c r="D349" s="51" t="str">
        <f t="array" ref="D349">if(B349,if(countif(Scores!B352:AX352,B349)=1,concat("💎",XLOOKUP(B349,Scores!B352:AX352,Scores!B$1:AX$1)),concat("🥇 x",countif(Scores!B352:AX352,B349))),"")</f>
        <v>💎Code Golf International</v>
      </c>
      <c r="E349" s="14">
        <f>if(countif(Scores!B352:AX352,B349)=1,F349,-1)</f>
        <v>108</v>
      </c>
      <c r="F349" s="14">
        <f t="shared" si="1"/>
        <v>108</v>
      </c>
      <c r="G349" s="14">
        <f>IFERROR(__xludf.DUMMYFUNCTION("if(iferror(small(filter(Scores!B352:AX352,Scores!B352:AX352&gt;0),2),-1)&lt;&gt;F349,iferror(small(filter(Scores!B352:AX352,Scores!B352:AX352&gt;0),2),-1),-1)"),114.0)</f>
        <v>114</v>
      </c>
      <c r="H349" s="14">
        <f>IFERROR(__xludf.DUMMYFUNCTION("if(iferror(small(filter(Scores!B352:AX352,Scores!B352:AX352&gt;0),3),-1)&lt;&gt;iferror(small(filter(Scores!B352:AX352,Scores!B352:AX352&gt;0),2),-1),iferror(small(filter(Scores!B352:AX352,Scores!B352:AX352&gt;0),3),-1),-1)"),115.0)</f>
        <v>115</v>
      </c>
      <c r="I349" s="14">
        <f>IFERROR(__xludf.DUMMYFUNCTION("IFERROR(COLUMNS(filter(Scores!B352:AE352,Scores!B352:AE352)),"""")"),36.0)</f>
        <v>36</v>
      </c>
      <c r="J349" s="14">
        <f>COUNTIF(Scores!B352:AX352,B349)</f>
        <v>1</v>
      </c>
      <c r="K349" s="21">
        <f>IFERROR(__xludf.DUMMYFUNCTION("""COMPUTED_VALUE"""),341.0)</f>
        <v>341</v>
      </c>
      <c r="L349" s="36"/>
      <c r="S349" s="21">
        <v>378.0</v>
      </c>
      <c r="T349" s="14">
        <v>131.0</v>
      </c>
      <c r="U349" s="14">
        <v>2369.0</v>
      </c>
      <c r="W349" s="21">
        <v>386.0</v>
      </c>
      <c r="X349" s="14">
        <v>50.0</v>
      </c>
      <c r="Y349" s="14">
        <v>2450.0</v>
      </c>
      <c r="AA349" s="21">
        <v>373.0</v>
      </c>
      <c r="AB349" s="14">
        <v>44.0</v>
      </c>
      <c r="AC349" s="14">
        <v>38.0</v>
      </c>
    </row>
    <row r="350">
      <c r="A350" s="27">
        <f>HYPERLINK("https://arcprize.org/play?task=d89b689b", 342)</f>
        <v>342</v>
      </c>
      <c r="B350" s="14">
        <f>IFERROR(__xludf.DUMMYFUNCTION("min(filter(Scores!B353:AX353,Scores!B353:AX353&gt;0))"),106.0)</f>
        <v>106</v>
      </c>
      <c r="C350" s="14">
        <v>2394.0</v>
      </c>
      <c r="D350" s="51" t="str">
        <f t="array" ref="D350">if(B350,if(countif(Scores!B353:AX353,B350)=1,concat("💎",XLOOKUP(B350,Scores!B353:AX353,Scores!B$1:AX$1)),concat("🥇 x",countif(Scores!B353:AX353,B350))),"")</f>
        <v>💎jailctf merger</v>
      </c>
      <c r="E350" s="14">
        <f>if(countif(Scores!B353:AX353,B350)=1,F350,-1)</f>
        <v>106</v>
      </c>
      <c r="F350" s="14">
        <f t="shared" si="1"/>
        <v>106</v>
      </c>
      <c r="G350" s="14">
        <f>IFERROR(__xludf.DUMMYFUNCTION("if(iferror(small(filter(Scores!B353:AX353,Scores!B353:AX353&gt;0),2),-1)&lt;&gt;F350,iferror(small(filter(Scores!B353:AX353,Scores!B353:AX353&gt;0),2),-1),-1)"),107.0)</f>
        <v>107</v>
      </c>
      <c r="H350" s="14">
        <f>IFERROR(__xludf.DUMMYFUNCTION("if(iferror(small(filter(Scores!B353:AX353,Scores!B353:AX353&gt;0),3),-1)&lt;&gt;iferror(small(filter(Scores!B353:AX353,Scores!B353:AX353&gt;0),2),-1),iferror(small(filter(Scores!B353:AX353,Scores!B353:AX353&gt;0),3),-1),-1)"),108.0)</f>
        <v>108</v>
      </c>
      <c r="I350" s="14">
        <f>IFERROR(__xludf.DUMMYFUNCTION("IFERROR(COLUMNS(filter(Scores!B353:AE353,Scores!B353:AE353)),"""")"),39.0)</f>
        <v>39</v>
      </c>
      <c r="J350" s="14">
        <f>COUNTIF(Scores!B353:AX353,B350)</f>
        <v>1</v>
      </c>
      <c r="K350" s="21">
        <f>IFERROR(__xludf.DUMMYFUNCTION("""COMPUTED_VALUE"""),342.0)</f>
        <v>342</v>
      </c>
      <c r="L350" s="36"/>
      <c r="S350" s="21">
        <v>42.0</v>
      </c>
      <c r="T350" s="14">
        <v>132.0</v>
      </c>
      <c r="U350" s="14">
        <v>2368.0</v>
      </c>
      <c r="W350" s="21">
        <v>6.0</v>
      </c>
      <c r="X350" s="14">
        <v>49.0</v>
      </c>
      <c r="Y350" s="14">
        <v>2451.0</v>
      </c>
      <c r="AA350" s="21">
        <v>339.0</v>
      </c>
      <c r="AB350" s="14">
        <v>44.0</v>
      </c>
      <c r="AC350" s="14">
        <v>37.0</v>
      </c>
    </row>
    <row r="351">
      <c r="A351" s="27">
        <f>HYPERLINK("https://arcprize.org/play?task=d8c310e9", 343)</f>
        <v>343</v>
      </c>
      <c r="B351" s="14">
        <f>IFERROR(__xludf.DUMMYFUNCTION("min(filter(Scores!B354:AX354,Scores!B354:AX354&gt;0))"),63.0)</f>
        <v>63</v>
      </c>
      <c r="C351" s="14">
        <v>2437.0</v>
      </c>
      <c r="D351" s="51" t="str">
        <f t="array" ref="D351">if(B351,if(countif(Scores!B354:AX354,B351)=1,concat("💎",XLOOKUP(B351,Scores!B354:AX354,Scores!B$1:AX$1)),concat("🥇 x",countif(Scores!B354:AX354,B351))),"")</f>
        <v>💎jailctf merger</v>
      </c>
      <c r="E351" s="14">
        <f>if(countif(Scores!B354:AX354,B351)=1,F351,-1)</f>
        <v>63</v>
      </c>
      <c r="F351" s="14">
        <f t="shared" si="1"/>
        <v>63</v>
      </c>
      <c r="G351" s="14">
        <f>IFERROR(__xludf.DUMMYFUNCTION("if(iferror(small(filter(Scores!B354:AX354,Scores!B354:AX354&gt;0),2),-1)&lt;&gt;F351,iferror(small(filter(Scores!B354:AX354,Scores!B354:AX354&gt;0),2),-1),-1)"),64.0)</f>
        <v>64</v>
      </c>
      <c r="H351" s="14">
        <f>IFERROR(__xludf.DUMMYFUNCTION("if(iferror(small(filter(Scores!B354:AX354,Scores!B354:AX354&gt;0),3),-1)&lt;&gt;iferror(small(filter(Scores!B354:AX354,Scores!B354:AX354&gt;0),2),-1),iferror(small(filter(Scores!B354:AX354,Scores!B354:AX354&gt;0),3),-1),-1)"),-1.0)</f>
        <v>-1</v>
      </c>
      <c r="I351" s="14">
        <f>IFERROR(__xludf.DUMMYFUNCTION("IFERROR(COLUMNS(filter(Scores!B354:AE354,Scores!B354:AE354)),"""")"),38.0)</f>
        <v>38</v>
      </c>
      <c r="J351" s="14">
        <f>COUNTIF(Scores!B354:AX354,B351)</f>
        <v>1</v>
      </c>
      <c r="K351" s="21">
        <f>IFERROR(__xludf.DUMMYFUNCTION("""COMPUTED_VALUE"""),343.0)</f>
        <v>343</v>
      </c>
      <c r="L351" s="36"/>
      <c r="S351" s="21">
        <v>107.0</v>
      </c>
      <c r="T351" s="14">
        <v>132.0</v>
      </c>
      <c r="U351" s="14">
        <v>2368.0</v>
      </c>
      <c r="W351" s="21">
        <v>41.0</v>
      </c>
      <c r="X351" s="14">
        <v>49.0</v>
      </c>
      <c r="Y351" s="14">
        <v>2451.0</v>
      </c>
      <c r="AA351" s="21">
        <v>326.0</v>
      </c>
      <c r="AB351" s="14">
        <v>44.0</v>
      </c>
      <c r="AC351" s="14">
        <v>30.0</v>
      </c>
    </row>
    <row r="352">
      <c r="A352" s="27">
        <f>HYPERLINK("https://arcprize.org/play?task=d90796e8", 344)</f>
        <v>344</v>
      </c>
      <c r="B352" s="14">
        <f>IFERROR(__xludf.DUMMYFUNCTION("min(filter(Scores!B355:AX355,Scores!B355:AX355&gt;0))"),74.0)</f>
        <v>74</v>
      </c>
      <c r="C352" s="14">
        <v>2426.0</v>
      </c>
      <c r="D352" s="51" t="str">
        <f t="array" ref="D352">if(B352,if(countif(Scores!B355:AX355,B352)=1,concat("💎",XLOOKUP(B352,Scores!B355:AX355,Scores!B$1:AX$1)),concat("🥇 x",countif(Scores!B355:AX355,B352))),"")</f>
        <v>💎ox jam</v>
      </c>
      <c r="E352" s="14">
        <f>if(countif(Scores!B355:AX355,B352)=1,F352,-1)</f>
        <v>74</v>
      </c>
      <c r="F352" s="14">
        <f t="shared" si="1"/>
        <v>74</v>
      </c>
      <c r="G352" s="14">
        <f>IFERROR(__xludf.DUMMYFUNCTION("if(iferror(small(filter(Scores!B355:AX355,Scores!B355:AX355&gt;0),2),-1)&lt;&gt;F352,iferror(small(filter(Scores!B355:AX355,Scores!B355:AX355&gt;0),2),-1),-1)"),77.0)</f>
        <v>77</v>
      </c>
      <c r="H352" s="14">
        <f>IFERROR(__xludf.DUMMYFUNCTION("if(iferror(small(filter(Scores!B355:AX355,Scores!B355:AX355&gt;0),3),-1)&lt;&gt;iferror(small(filter(Scores!B355:AX355,Scores!B355:AX355&gt;0),2),-1),iferror(small(filter(Scores!B355:AX355,Scores!B355:AX355&gt;0),3),-1),-1)"),-1.0)</f>
        <v>-1</v>
      </c>
      <c r="I352" s="14">
        <f>IFERROR(__xludf.DUMMYFUNCTION("IFERROR(COLUMNS(filter(Scores!B355:AE355,Scores!B355:AE355)),"""")"),38.0)</f>
        <v>38</v>
      </c>
      <c r="J352" s="14">
        <f>COUNTIF(Scores!B355:AX355,B352)</f>
        <v>1</v>
      </c>
      <c r="K352" s="21">
        <f>IFERROR(__xludf.DUMMYFUNCTION("""COMPUTED_VALUE"""),344.0)</f>
        <v>344</v>
      </c>
      <c r="L352" s="36"/>
      <c r="S352" s="21">
        <v>364.0</v>
      </c>
      <c r="T352" s="14">
        <v>133.0</v>
      </c>
      <c r="U352" s="14">
        <v>2367.0</v>
      </c>
      <c r="W352" s="21">
        <v>85.0</v>
      </c>
      <c r="X352" s="14">
        <v>49.0</v>
      </c>
      <c r="Y352" s="14">
        <v>2451.0</v>
      </c>
      <c r="AA352" s="21">
        <v>249.0</v>
      </c>
      <c r="AB352" s="14">
        <v>44.0</v>
      </c>
      <c r="AC352" s="14">
        <v>26.0</v>
      </c>
    </row>
    <row r="353">
      <c r="A353" s="27">
        <f>HYPERLINK("https://arcprize.org/play?task=d9f24cd1", 345)</f>
        <v>345</v>
      </c>
      <c r="B353" s="14">
        <f>IFERROR(__xludf.DUMMYFUNCTION("min(filter(Scores!B356:AX356,Scores!B356:AX356&gt;0))"),89.0)</f>
        <v>89</v>
      </c>
      <c r="C353" s="14">
        <v>2411.0</v>
      </c>
      <c r="D353" s="51" t="str">
        <f t="array" ref="D353">if(B353,if(countif(Scores!B356:AX356,B353)=1,concat("💎",XLOOKUP(B353,Scores!B356:AX356,Scores!B$1:AX$1)),concat("🥇 x",countif(Scores!B356:AX356,B353))),"")</f>
        <v>💎ox jam</v>
      </c>
      <c r="E353" s="14">
        <f>if(countif(Scores!B356:AX356,B353)=1,F353,-1)</f>
        <v>89</v>
      </c>
      <c r="F353" s="14">
        <f t="shared" si="1"/>
        <v>89</v>
      </c>
      <c r="G353" s="14">
        <f>IFERROR(__xludf.DUMMYFUNCTION("if(iferror(small(filter(Scores!B356:AX356,Scores!B356:AX356&gt;0),2),-1)&lt;&gt;F353,iferror(small(filter(Scores!B356:AX356,Scores!B356:AX356&gt;0),2),-1),-1)"),90.0)</f>
        <v>90</v>
      </c>
      <c r="H353" s="14">
        <f>IFERROR(__xludf.DUMMYFUNCTION("if(iferror(small(filter(Scores!B356:AX356,Scores!B356:AX356&gt;0),3),-1)&lt;&gt;iferror(small(filter(Scores!B356:AX356,Scores!B356:AX356&gt;0),2),-1),iferror(small(filter(Scores!B356:AX356,Scores!B356:AX356&gt;0),3),-1),-1)"),-1.0)</f>
        <v>-1</v>
      </c>
      <c r="I353" s="14">
        <f>IFERROR(__xludf.DUMMYFUNCTION("IFERROR(COLUMNS(filter(Scores!B356:AE356,Scores!B356:AE356)),"""")"),40.0)</f>
        <v>40</v>
      </c>
      <c r="J353" s="14">
        <f>COUNTIF(Scores!B356:AX356,B353)</f>
        <v>1</v>
      </c>
      <c r="K353" s="21">
        <f>IFERROR(__xludf.DUMMYFUNCTION("""COMPUTED_VALUE"""),345.0)</f>
        <v>345</v>
      </c>
      <c r="L353" s="36"/>
      <c r="S353" s="21">
        <v>205.0</v>
      </c>
      <c r="T353" s="14">
        <v>134.0</v>
      </c>
      <c r="U353" s="14">
        <v>2366.0</v>
      </c>
      <c r="W353" s="21">
        <v>57.0</v>
      </c>
      <c r="X353" s="14">
        <v>48.0</v>
      </c>
      <c r="Y353" s="14">
        <v>2452.0</v>
      </c>
      <c r="AA353" s="21">
        <v>385.0</v>
      </c>
      <c r="AB353" s="14">
        <v>44.0</v>
      </c>
      <c r="AC353" s="14">
        <v>25.0</v>
      </c>
    </row>
    <row r="354">
      <c r="A354" s="27">
        <f>HYPERLINK("https://arcprize.org/play?task=d9fac9be", 346)</f>
        <v>346</v>
      </c>
      <c r="B354" s="14">
        <f>IFERROR(__xludf.DUMMYFUNCTION("min(filter(Scores!B357:AX357,Scores!B357:AX357&gt;0))"),52.0)</f>
        <v>52</v>
      </c>
      <c r="C354" s="14">
        <v>2448.0</v>
      </c>
      <c r="D354" s="51" t="str">
        <f t="array" ref="D354">if(B354,if(countif(Scores!B357:AX357,B354)=1,concat("💎",XLOOKUP(B354,Scores!B357:AX357,Scores!B$1:AX$1)),concat("🥇 x",countif(Scores!B357:AX357,B354))),"")</f>
        <v>💎ox jam</v>
      </c>
      <c r="E354" s="14">
        <f>if(countif(Scores!B357:AX357,B354)=1,F354,-1)</f>
        <v>52</v>
      </c>
      <c r="F354" s="14">
        <f t="shared" si="1"/>
        <v>52</v>
      </c>
      <c r="G354" s="14">
        <f>IFERROR(__xludf.DUMMYFUNCTION("if(iferror(small(filter(Scores!B357:AX357,Scores!B357:AX357&gt;0),2),-1)&lt;&gt;F354,iferror(small(filter(Scores!B357:AX357,Scores!B357:AX357&gt;0),2),-1),-1)"),55.0)</f>
        <v>55</v>
      </c>
      <c r="H354" s="14">
        <f>IFERROR(__xludf.DUMMYFUNCTION("if(iferror(small(filter(Scores!B357:AX357,Scores!B357:AX357&gt;0),3),-1)&lt;&gt;iferror(small(filter(Scores!B357:AX357,Scores!B357:AX357&gt;0),2),-1),iferror(small(filter(Scores!B357:AX357,Scores!B357:AX357&gt;0),3),-1),-1)"),-1.0)</f>
        <v>-1</v>
      </c>
      <c r="I354" s="14">
        <f>IFERROR(__xludf.DUMMYFUNCTION("IFERROR(COLUMNS(filter(Scores!B357:AE357,Scores!B357:AE357)),"""")"),39.0)</f>
        <v>39</v>
      </c>
      <c r="J354" s="14">
        <f>COUNTIF(Scores!B357:AX357,B354)</f>
        <v>1</v>
      </c>
      <c r="K354" s="21">
        <f>IFERROR(__xludf.DUMMYFUNCTION("""COMPUTED_VALUE"""),346.0)</f>
        <v>346</v>
      </c>
      <c r="L354" s="36"/>
      <c r="S354" s="21">
        <v>64.0</v>
      </c>
      <c r="T354" s="14">
        <v>135.0</v>
      </c>
      <c r="U354" s="14">
        <v>2365.0</v>
      </c>
      <c r="W354" s="21">
        <v>211.0</v>
      </c>
      <c r="X354" s="14">
        <v>48.0</v>
      </c>
      <c r="Y354" s="14">
        <v>2452.0</v>
      </c>
      <c r="AA354" s="21">
        <v>241.0</v>
      </c>
      <c r="AB354" s="14">
        <v>44.0</v>
      </c>
      <c r="AC354" s="14">
        <v>21.0</v>
      </c>
    </row>
    <row r="355">
      <c r="A355" s="27">
        <f>HYPERLINK("https://arcprize.org/play?task=dae9d2b5", 347)</f>
        <v>347</v>
      </c>
      <c r="B355" s="14">
        <f>IFERROR(__xludf.DUMMYFUNCTION("min(filter(Scores!B358:AX358,Scores!B358:AX358&gt;0))"),50.0)</f>
        <v>50</v>
      </c>
      <c r="C355" s="14">
        <v>2450.0</v>
      </c>
      <c r="D355" s="51" t="str">
        <f t="array" ref="D355">if(B355,if(countif(Scores!B358:AX358,B355)=1,concat("💎",XLOOKUP(B355,Scores!B358:AX358,Scores!B$1:AX$1)),concat("🥇 x",countif(Scores!B358:AX358,B355))),"")</f>
        <v>🥇 x11</v>
      </c>
      <c r="E355" s="14">
        <f>if(countif(Scores!B358:AX358,B355)=1,F355,-1)</f>
        <v>-1</v>
      </c>
      <c r="F355" s="14">
        <f t="shared" si="1"/>
        <v>50</v>
      </c>
      <c r="G355" s="14">
        <f>IFERROR(__xludf.DUMMYFUNCTION("if(iferror(small(filter(Scores!B358:AX358,Scores!B358:AX358&gt;0),2),-1)&lt;&gt;F355,iferror(small(filter(Scores!B358:AX358,Scores!B358:AX358&gt;0),2),-1),-1)"),-1.0)</f>
        <v>-1</v>
      </c>
      <c r="H355" s="14">
        <f>IFERROR(__xludf.DUMMYFUNCTION("if(iferror(small(filter(Scores!B358:AX358,Scores!B358:AX358&gt;0),3),-1)&lt;&gt;iferror(small(filter(Scores!B358:AX358,Scores!B358:AX358&gt;0),2),-1),iferror(small(filter(Scores!B358:AX358,Scores!B358:AX358&gt;0),3),-1),-1)"),-1.0)</f>
        <v>-1</v>
      </c>
      <c r="I355" s="14">
        <f>IFERROR(__xludf.DUMMYFUNCTION("IFERROR(COLUMNS(filter(Scores!B358:AE358,Scores!B358:AE358)),"""")"),44.0)</f>
        <v>44</v>
      </c>
      <c r="J355" s="14">
        <f>COUNTIF(Scores!B358:AX358,B355)</f>
        <v>11</v>
      </c>
      <c r="K355" s="21">
        <f>IFERROR(__xludf.DUMMYFUNCTION("""COMPUTED_VALUE"""),347.0)</f>
        <v>347</v>
      </c>
      <c r="L355" s="36"/>
      <c r="S355" s="21">
        <v>379.0</v>
      </c>
      <c r="T355" s="14">
        <v>135.0</v>
      </c>
      <c r="U355" s="14">
        <v>2365.0</v>
      </c>
      <c r="W355" s="21">
        <v>60.0</v>
      </c>
      <c r="X355" s="14">
        <v>47.0</v>
      </c>
      <c r="Y355" s="14">
        <v>2453.0</v>
      </c>
      <c r="AA355" s="21">
        <v>2.0</v>
      </c>
      <c r="AB355" s="14">
        <v>45.0</v>
      </c>
      <c r="AC355" s="14">
        <v>86.0</v>
      </c>
    </row>
    <row r="356">
      <c r="A356" s="27">
        <f>HYPERLINK("https://arcprize.org/play?task=db3e9e38", 348)</f>
        <v>348</v>
      </c>
      <c r="B356" s="14">
        <f>IFERROR(__xludf.DUMMYFUNCTION("min(filter(Scores!B359:AX359,Scores!B359:AX359&gt;0))"),88.0)</f>
        <v>88</v>
      </c>
      <c r="C356" s="14">
        <v>2412.0</v>
      </c>
      <c r="D356" s="51" t="str">
        <f t="array" ref="D356">if(B356,if(countif(Scores!B359:AX359,B356)=1,concat("💎",XLOOKUP(B356,Scores!B359:AX359,Scores!B$1:AX$1)),concat("🥇 x",countif(Scores!B359:AX359,B356))),"")</f>
        <v>💎Code Golf International</v>
      </c>
      <c r="E356" s="14">
        <f>if(countif(Scores!B359:AX359,B356)=1,F356,-1)</f>
        <v>88</v>
      </c>
      <c r="F356" s="14">
        <f t="shared" si="1"/>
        <v>88</v>
      </c>
      <c r="G356" s="14">
        <f>IFERROR(__xludf.DUMMYFUNCTION("if(iferror(small(filter(Scores!B359:AX359,Scores!B359:AX359&gt;0),2),-1)&lt;&gt;F356,iferror(small(filter(Scores!B359:AX359,Scores!B359:AX359&gt;0),2),-1),-1)"),92.0)</f>
        <v>92</v>
      </c>
      <c r="H356" s="14">
        <f>IFERROR(__xludf.DUMMYFUNCTION("if(iferror(small(filter(Scores!B359:AX359,Scores!B359:AX359&gt;0),3),-1)&lt;&gt;iferror(small(filter(Scores!B359:AX359,Scores!B359:AX359&gt;0),2),-1),iferror(small(filter(Scores!B359:AX359,Scores!B359:AX359&gt;0),3),-1),-1)"),94.0)</f>
        <v>94</v>
      </c>
      <c r="I356" s="14">
        <f>IFERROR(__xludf.DUMMYFUNCTION("IFERROR(COLUMNS(filter(Scores!B359:AE359,Scores!B359:AE359)),"""")"),38.0)</f>
        <v>38</v>
      </c>
      <c r="J356" s="14">
        <f>COUNTIF(Scores!B359:AX359,B356)</f>
        <v>1</v>
      </c>
      <c r="K356" s="21">
        <f>IFERROR(__xludf.DUMMYFUNCTION("""COMPUTED_VALUE"""),348.0)</f>
        <v>348</v>
      </c>
      <c r="L356" s="36"/>
      <c r="S356" s="21">
        <v>392.0</v>
      </c>
      <c r="T356" s="14">
        <v>135.0</v>
      </c>
      <c r="U356" s="14">
        <v>2365.0</v>
      </c>
      <c r="W356" s="21">
        <v>129.0</v>
      </c>
      <c r="X356" s="14">
        <v>47.0</v>
      </c>
      <c r="Y356" s="14">
        <v>2453.0</v>
      </c>
      <c r="AA356" s="21">
        <v>10.0</v>
      </c>
      <c r="AB356" s="14">
        <v>45.0</v>
      </c>
      <c r="AC356" s="14">
        <v>66.0</v>
      </c>
    </row>
    <row r="357">
      <c r="A357" s="27">
        <f>HYPERLINK("https://arcprize.org/play?task=db93a21d", 349)</f>
        <v>349</v>
      </c>
      <c r="B357" s="14">
        <f>IFERROR(__xludf.DUMMYFUNCTION("min(filter(Scores!B360:AX360,Scores!B360:AX360&gt;0))"),172.0)</f>
        <v>172</v>
      </c>
      <c r="C357" s="14">
        <v>2328.0</v>
      </c>
      <c r="D357" s="51" t="str">
        <f t="array" ref="D357">if(B357,if(countif(Scores!B360:AX360,B357)=1,concat("💎",XLOOKUP(B357,Scores!B360:AX360,Scores!B$1:AX$1)),concat("🥇 x",countif(Scores!B360:AX360,B357))),"")</f>
        <v>💎Code Golf International</v>
      </c>
      <c r="E357" s="14">
        <f>if(countif(Scores!B360:AX360,B357)=1,F357,-1)</f>
        <v>172</v>
      </c>
      <c r="F357" s="14">
        <f t="shared" si="1"/>
        <v>172</v>
      </c>
      <c r="G357" s="14">
        <f>IFERROR(__xludf.DUMMYFUNCTION("if(iferror(small(filter(Scores!B360:AX360,Scores!B360:AX360&gt;0),2),-1)&lt;&gt;F357,iferror(small(filter(Scores!B360:AX360,Scores!B360:AX360&gt;0),2),-1),-1)"),192.0)</f>
        <v>192</v>
      </c>
      <c r="H357" s="14">
        <f>IFERROR(__xludf.DUMMYFUNCTION("if(iferror(small(filter(Scores!B360:AX360,Scores!B360:AX360&gt;0),3),-1)&lt;&gt;iferror(small(filter(Scores!B360:AX360,Scores!B360:AX360&gt;0),2),-1),iferror(small(filter(Scores!B360:AX360,Scores!B360:AX360&gt;0),3),-1),-1)"),-1.0)</f>
        <v>-1</v>
      </c>
      <c r="I357" s="14">
        <f>IFERROR(__xludf.DUMMYFUNCTION("IFERROR(COLUMNS(filter(Scores!B360:AE360,Scores!B360:AE360)),"""")"),34.0)</f>
        <v>34</v>
      </c>
      <c r="J357" s="14">
        <f>COUNTIF(Scores!B360:AX360,B357)</f>
        <v>1</v>
      </c>
      <c r="K357" s="21">
        <f>IFERROR(__xludf.DUMMYFUNCTION("""COMPUTED_VALUE"""),349.0)</f>
        <v>349</v>
      </c>
      <c r="L357" s="36"/>
      <c r="S357" s="21">
        <v>137.0</v>
      </c>
      <c r="T357" s="14">
        <v>137.0</v>
      </c>
      <c r="U357" s="14">
        <v>2363.0</v>
      </c>
      <c r="W357" s="21">
        <v>178.0</v>
      </c>
      <c r="X357" s="14">
        <v>47.0</v>
      </c>
      <c r="Y357" s="14">
        <v>2453.0</v>
      </c>
      <c r="AA357" s="21">
        <v>78.0</v>
      </c>
      <c r="AB357" s="14">
        <v>45.0</v>
      </c>
      <c r="AC357" s="14">
        <v>59.0</v>
      </c>
    </row>
    <row r="358">
      <c r="A358" s="27">
        <f>HYPERLINK("https://arcprize.org/play?task=dbc1a6ce", 350)</f>
        <v>350</v>
      </c>
      <c r="B358" s="14">
        <f>IFERROR(__xludf.DUMMYFUNCTION("min(filter(Scores!B361:AX361,Scores!B361:AX361&gt;0))"),89.0)</f>
        <v>89</v>
      </c>
      <c r="C358" s="14">
        <v>2411.0</v>
      </c>
      <c r="D358" s="51" t="str">
        <f t="array" ref="D358">if(B358,if(countif(Scores!B361:AX361,B358)=1,concat("💎",XLOOKUP(B358,Scores!B361:AX361,Scores!B$1:AX$1)),concat("🥇 x",countif(Scores!B361:AX361,B358))),"")</f>
        <v>💎ox jam</v>
      </c>
      <c r="E358" s="14">
        <f>if(countif(Scores!B361:AX361,B358)=1,F358,-1)</f>
        <v>89</v>
      </c>
      <c r="F358" s="14">
        <f t="shared" si="1"/>
        <v>89</v>
      </c>
      <c r="G358" s="14">
        <f>IFERROR(__xludf.DUMMYFUNCTION("if(iferror(small(filter(Scores!B361:AX361,Scores!B361:AX361&gt;0),2),-1)&lt;&gt;F358,iferror(small(filter(Scores!B361:AX361,Scores!B361:AX361&gt;0),2),-1),-1)"),91.0)</f>
        <v>91</v>
      </c>
      <c r="H358" s="14">
        <f>IFERROR(__xludf.DUMMYFUNCTION("if(iferror(small(filter(Scores!B361:AX361,Scores!B361:AX361&gt;0),3),-1)&lt;&gt;iferror(small(filter(Scores!B361:AX361,Scores!B361:AX361&gt;0),2),-1),iferror(small(filter(Scores!B361:AX361,Scores!B361:AX361&gt;0),3),-1),-1)"),92.0)</f>
        <v>92</v>
      </c>
      <c r="I358" s="14">
        <f>IFERROR(__xludf.DUMMYFUNCTION("IFERROR(COLUMNS(filter(Scores!B361:AE361,Scores!B361:AE361)),"""")"),40.0)</f>
        <v>40</v>
      </c>
      <c r="J358" s="14">
        <f>COUNTIF(Scores!B361:AX361,B358)</f>
        <v>1</v>
      </c>
      <c r="K358" s="21">
        <f>IFERROR(__xludf.DUMMYFUNCTION("""COMPUTED_VALUE"""),350.0)</f>
        <v>350</v>
      </c>
      <c r="L358" s="36"/>
      <c r="S358" s="21">
        <v>206.0</v>
      </c>
      <c r="T358" s="14">
        <v>139.0</v>
      </c>
      <c r="U358" s="14">
        <v>2361.0</v>
      </c>
      <c r="W358" s="21">
        <v>261.0</v>
      </c>
      <c r="X358" s="14">
        <v>47.0</v>
      </c>
      <c r="Y358" s="14">
        <v>2453.0</v>
      </c>
      <c r="AA358" s="21">
        <v>126.0</v>
      </c>
      <c r="AB358" s="14">
        <v>45.0</v>
      </c>
      <c r="AC358" s="14">
        <v>54.0</v>
      </c>
    </row>
    <row r="359">
      <c r="A359" s="27">
        <f>HYPERLINK("https://arcprize.org/play?task=dc0a314f", 351)</f>
        <v>351</v>
      </c>
      <c r="B359" s="14">
        <f>IFERROR(__xludf.DUMMYFUNCTION("min(filter(Scores!B362:AX362,Scores!B362:AX362&gt;0))"),66.0)</f>
        <v>66</v>
      </c>
      <c r="C359" s="14">
        <v>2434.0</v>
      </c>
      <c r="D359" s="51" t="str">
        <f t="array" ref="D359">if(B359,if(countif(Scores!B362:AX362,B359)=1,concat("💎",XLOOKUP(B359,Scores!B362:AX362,Scores!B$1:AX$1)),concat("🥇 x",countif(Scores!B362:AX362,B359))),"")</f>
        <v>💎ox jam</v>
      </c>
      <c r="E359" s="14">
        <f>if(countif(Scores!B362:AX362,B359)=1,F359,-1)</f>
        <v>66</v>
      </c>
      <c r="F359" s="14">
        <f t="shared" si="1"/>
        <v>66</v>
      </c>
      <c r="G359" s="14">
        <f>IFERROR(__xludf.DUMMYFUNCTION("if(iferror(small(filter(Scores!B362:AX362,Scores!B362:AX362&gt;0),2),-1)&lt;&gt;F359,iferror(small(filter(Scores!B362:AX362,Scores!B362:AX362&gt;0),2),-1),-1)"),67.0)</f>
        <v>67</v>
      </c>
      <c r="H359" s="14">
        <f>IFERROR(__xludf.DUMMYFUNCTION("if(iferror(small(filter(Scores!B362:AX362,Scores!B362:AX362&gt;0),3),-1)&lt;&gt;iferror(small(filter(Scores!B362:AX362,Scores!B362:AX362&gt;0),2),-1),iferror(small(filter(Scores!B362:AX362,Scores!B362:AX362&gt;0),3),-1),-1)"),-1.0)</f>
        <v>-1</v>
      </c>
      <c r="I359" s="14">
        <f>IFERROR(__xludf.DUMMYFUNCTION("IFERROR(COLUMNS(filter(Scores!B362:AE362,Scores!B362:AE362)),"""")"),40.0)</f>
        <v>40</v>
      </c>
      <c r="J359" s="14">
        <f>COUNTIF(Scores!B362:AX362,B359)</f>
        <v>1</v>
      </c>
      <c r="K359" s="21">
        <f>IFERROR(__xludf.DUMMYFUNCTION("""COMPUTED_VALUE"""),351.0)</f>
        <v>351</v>
      </c>
      <c r="L359" s="36"/>
      <c r="S359" s="21">
        <v>396.0</v>
      </c>
      <c r="T359" s="14">
        <v>139.0</v>
      </c>
      <c r="U359" s="14">
        <v>2361.0</v>
      </c>
      <c r="W359" s="21">
        <v>372.0</v>
      </c>
      <c r="X359" s="14">
        <v>47.0</v>
      </c>
      <c r="Y359" s="14">
        <v>2453.0</v>
      </c>
      <c r="AA359" s="21">
        <v>329.0</v>
      </c>
      <c r="AB359" s="14">
        <v>45.0</v>
      </c>
      <c r="AC359" s="14">
        <v>54.0</v>
      </c>
    </row>
    <row r="360">
      <c r="A360" s="27">
        <f>HYPERLINK("https://arcprize.org/play?task=dc1df850", 352)</f>
        <v>352</v>
      </c>
      <c r="B360" s="14">
        <f>IFERROR(__xludf.DUMMYFUNCTION("min(filter(Scores!B363:AX363,Scores!B363:AX363&gt;0))"),82.0)</f>
        <v>82</v>
      </c>
      <c r="C360" s="14">
        <v>2418.0</v>
      </c>
      <c r="D360" s="51" t="str">
        <f t="array" ref="D360">if(B360,if(countif(Scores!B363:AX363,B360)=1,concat("💎",XLOOKUP(B360,Scores!B363:AX363,Scores!B$1:AX$1)),concat("🥇 x",countif(Scores!B363:AX363,B360))),"")</f>
        <v>🥇 x3</v>
      </c>
      <c r="E360" s="14">
        <f>if(countif(Scores!B363:AX363,B360)=1,F360,-1)</f>
        <v>-1</v>
      </c>
      <c r="F360" s="14">
        <f t="shared" si="1"/>
        <v>82</v>
      </c>
      <c r="G360" s="14">
        <f>IFERROR(__xludf.DUMMYFUNCTION("if(iferror(small(filter(Scores!B363:AX363,Scores!B363:AX363&gt;0),2),-1)&lt;&gt;F360,iferror(small(filter(Scores!B363:AX363,Scores!B363:AX363&gt;0),2),-1),-1)"),-1.0)</f>
        <v>-1</v>
      </c>
      <c r="H360" s="14">
        <f>IFERROR(__xludf.DUMMYFUNCTION("if(iferror(small(filter(Scores!B363:AX363,Scores!B363:AX363&gt;0),3),-1)&lt;&gt;iferror(small(filter(Scores!B363:AX363,Scores!B363:AX363&gt;0),2),-1),iferror(small(filter(Scores!B363:AX363,Scores!B363:AX363&gt;0),3),-1),-1)"),-1.0)</f>
        <v>-1</v>
      </c>
      <c r="I360" s="14">
        <f>IFERROR(__xludf.DUMMYFUNCTION("IFERROR(COLUMNS(filter(Scores!B363:AE363,Scores!B363:AE363)),"""")"),39.0)</f>
        <v>39</v>
      </c>
      <c r="J360" s="14">
        <f>COUNTIF(Scores!B363:AX363,B360)</f>
        <v>3</v>
      </c>
      <c r="K360" s="21">
        <f>IFERROR(__xludf.DUMMYFUNCTION("""COMPUTED_VALUE"""),352.0)</f>
        <v>352</v>
      </c>
      <c r="L360" s="36"/>
      <c r="S360" s="21">
        <v>325.0</v>
      </c>
      <c r="T360" s="14">
        <v>140.0</v>
      </c>
      <c r="U360" s="14">
        <v>2360.0</v>
      </c>
      <c r="W360" s="21">
        <v>73.0</v>
      </c>
      <c r="X360" s="14">
        <v>46.0</v>
      </c>
      <c r="Y360" s="14">
        <v>2454.0</v>
      </c>
      <c r="AA360" s="21">
        <v>375.0</v>
      </c>
      <c r="AB360" s="14">
        <v>45.0</v>
      </c>
      <c r="AC360" s="14">
        <v>53.0</v>
      </c>
    </row>
    <row r="361">
      <c r="A361" s="27">
        <f>HYPERLINK("https://arcprize.org/play?task=dc433765", 353)</f>
        <v>353</v>
      </c>
      <c r="B361" s="14">
        <f>IFERROR(__xludf.DUMMYFUNCTION("min(filter(Scores!B364:AX364,Scores!B364:AX364&gt;0))"),83.0)</f>
        <v>83</v>
      </c>
      <c r="C361" s="14">
        <v>2417.0</v>
      </c>
      <c r="D361" s="51" t="str">
        <f t="array" ref="D361">if(B361,if(countif(Scores!B364:AX364,B361)=1,concat("💎",XLOOKUP(B361,Scores!B364:AX364,Scores!B$1:AX$1)),concat("🥇 x",countif(Scores!B364:AX364,B361))),"")</f>
        <v>🥇 x2</v>
      </c>
      <c r="E361" s="14">
        <f>if(countif(Scores!B364:AX364,B361)=1,F361,-1)</f>
        <v>-1</v>
      </c>
      <c r="F361" s="14">
        <f t="shared" si="1"/>
        <v>83</v>
      </c>
      <c r="G361" s="14">
        <f>IFERROR(__xludf.DUMMYFUNCTION("if(iferror(small(filter(Scores!B364:AX364,Scores!B364:AX364&gt;0),2),-1)&lt;&gt;F361,iferror(small(filter(Scores!B364:AX364,Scores!B364:AX364&gt;0),2),-1),-1)"),-1.0)</f>
        <v>-1</v>
      </c>
      <c r="H361" s="14">
        <f>IFERROR(__xludf.DUMMYFUNCTION("if(iferror(small(filter(Scores!B364:AX364,Scores!B364:AX364&gt;0),3),-1)&lt;&gt;iferror(small(filter(Scores!B364:AX364,Scores!B364:AX364&gt;0),2),-1),iferror(small(filter(Scores!B364:AX364,Scores!B364:AX364&gt;0),3),-1),-1)"),85.0)</f>
        <v>85</v>
      </c>
      <c r="I361" s="14">
        <f>IFERROR(__xludf.DUMMYFUNCTION("IFERROR(COLUMNS(filter(Scores!B364:AE364,Scores!B364:AE364)),"""")"),42.0)</f>
        <v>42</v>
      </c>
      <c r="J361" s="14">
        <f>COUNTIF(Scores!B364:AX364,B361)</f>
        <v>2</v>
      </c>
      <c r="K361" s="21">
        <f>IFERROR(__xludf.DUMMYFUNCTION("""COMPUTED_VALUE"""),353.0)</f>
        <v>353</v>
      </c>
      <c r="L361" s="36"/>
      <c r="S361" s="21">
        <v>69.0</v>
      </c>
      <c r="T361" s="14">
        <v>143.0</v>
      </c>
      <c r="U361" s="14">
        <v>2357.0</v>
      </c>
      <c r="W361" s="21">
        <v>108.0</v>
      </c>
      <c r="X361" s="14">
        <v>46.0</v>
      </c>
      <c r="Y361" s="14">
        <v>2454.0</v>
      </c>
      <c r="AA361" s="21">
        <v>21.0</v>
      </c>
      <c r="AB361" s="14">
        <v>45.0</v>
      </c>
      <c r="AC361" s="14">
        <v>51.0</v>
      </c>
    </row>
    <row r="362">
      <c r="A362" s="27">
        <f>HYPERLINK("https://arcprize.org/play?task=ddf7fa4f", 354)</f>
        <v>354</v>
      </c>
      <c r="B362" s="14">
        <f>IFERROR(__xludf.DUMMYFUNCTION("min(filter(Scores!B365:AX365,Scores!B365:AX365&gt;0))"),92.0)</f>
        <v>92</v>
      </c>
      <c r="C362" s="14">
        <v>2408.0</v>
      </c>
      <c r="D362" s="51" t="str">
        <f t="array" ref="D362">if(B362,if(countif(Scores!B365:AX365,B362)=1,concat("💎",XLOOKUP(B362,Scores!B365:AX365,Scores!B$1:AX$1)),concat("🥇 x",countif(Scores!B365:AX365,B362))),"")</f>
        <v>🥇 x2</v>
      </c>
      <c r="E362" s="14">
        <f>if(countif(Scores!B365:AX365,B362)=1,F362,-1)</f>
        <v>-1</v>
      </c>
      <c r="F362" s="14">
        <f t="shared" si="1"/>
        <v>92</v>
      </c>
      <c r="G362" s="14">
        <f>IFERROR(__xludf.DUMMYFUNCTION("if(iferror(small(filter(Scores!B365:AX365,Scores!B365:AX365&gt;0),2),-1)&lt;&gt;F362,iferror(small(filter(Scores!B365:AX365,Scores!B365:AX365&gt;0),2),-1),-1)"),-1.0)</f>
        <v>-1</v>
      </c>
      <c r="H362" s="14">
        <f>IFERROR(__xludf.DUMMYFUNCTION("if(iferror(small(filter(Scores!B365:AX365,Scores!B365:AX365&gt;0),3),-1)&lt;&gt;iferror(small(filter(Scores!B365:AX365,Scores!B365:AX365&gt;0),2),-1),iferror(small(filter(Scores!B365:AX365,Scores!B365:AX365&gt;0),3),-1),-1)"),96.0)</f>
        <v>96</v>
      </c>
      <c r="I362" s="14">
        <f>IFERROR(__xludf.DUMMYFUNCTION("IFERROR(COLUMNS(filter(Scores!B365:AE365,Scores!B365:AE365)),"""")"),40.0)</f>
        <v>40</v>
      </c>
      <c r="J362" s="14">
        <f>COUNTIF(Scores!B365:AX365,B362)</f>
        <v>2</v>
      </c>
      <c r="K362" s="21">
        <f>IFERROR(__xludf.DUMMYFUNCTION("""COMPUTED_VALUE"""),354.0)</f>
        <v>354</v>
      </c>
      <c r="L362" s="36"/>
      <c r="S362" s="21">
        <v>280.0</v>
      </c>
      <c r="T362" s="14">
        <v>145.0</v>
      </c>
      <c r="U362" s="14">
        <v>2355.0</v>
      </c>
      <c r="W362" s="21">
        <v>223.0</v>
      </c>
      <c r="X362" s="14">
        <v>46.0</v>
      </c>
      <c r="Y362" s="14">
        <v>2454.0</v>
      </c>
      <c r="AA362" s="21">
        <v>38.0</v>
      </c>
      <c r="AB362" s="14">
        <v>45.0</v>
      </c>
      <c r="AC362" s="14">
        <v>51.0</v>
      </c>
    </row>
    <row r="363">
      <c r="A363" s="27">
        <f>HYPERLINK("https://arcprize.org/play?task=de1cd16c", 355)</f>
        <v>355</v>
      </c>
      <c r="B363" s="14">
        <f>IFERROR(__xludf.DUMMYFUNCTION("min(filter(Scores!B366:AX366,Scores!B366:AX366&gt;0))"),95.0)</f>
        <v>95</v>
      </c>
      <c r="C363" s="14">
        <v>2405.0</v>
      </c>
      <c r="D363" s="51" t="str">
        <f t="array" ref="D363">if(B363,if(countif(Scores!B366:AX366,B363)=1,concat("💎",XLOOKUP(B363,Scores!B366:AX366,Scores!B$1:AX$1)),concat("🥇 x",countif(Scores!B366:AX366,B363))),"")</f>
        <v>💎jailctf merger</v>
      </c>
      <c r="E363" s="14">
        <f>if(countif(Scores!B366:AX366,B363)=1,F363,-1)</f>
        <v>95</v>
      </c>
      <c r="F363" s="14">
        <f t="shared" si="1"/>
        <v>95</v>
      </c>
      <c r="G363" s="14">
        <f>IFERROR(__xludf.DUMMYFUNCTION("if(iferror(small(filter(Scores!B366:AX366,Scores!B366:AX366&gt;0),2),-1)&lt;&gt;F363,iferror(small(filter(Scores!B366:AX366,Scores!B366:AX366&gt;0),2),-1),-1)"),98.0)</f>
        <v>98</v>
      </c>
      <c r="H363" s="14">
        <f>IFERROR(__xludf.DUMMYFUNCTION("if(iferror(small(filter(Scores!B366:AX366,Scores!B366:AX366&gt;0),3),-1)&lt;&gt;iferror(small(filter(Scores!B366:AX366,Scores!B366:AX366&gt;0),2),-1),iferror(small(filter(Scores!B366:AX366,Scores!B366:AX366&gt;0),3),-1),-1)"),101.0)</f>
        <v>101</v>
      </c>
      <c r="I363" s="14">
        <f>IFERROR(__xludf.DUMMYFUNCTION("IFERROR(COLUMNS(filter(Scores!B366:AE366,Scores!B366:AE366)),"""")"),35.0)</f>
        <v>35</v>
      </c>
      <c r="J363" s="14">
        <f>COUNTIF(Scores!B366:AX366,B363)</f>
        <v>1</v>
      </c>
      <c r="K363" s="21">
        <f>IFERROR(__xludf.DUMMYFUNCTION("""COMPUTED_VALUE"""),355.0)</f>
        <v>355</v>
      </c>
      <c r="L363" s="36"/>
      <c r="S363" s="21">
        <v>90.0</v>
      </c>
      <c r="T363" s="14">
        <v>147.0</v>
      </c>
      <c r="U363" s="14">
        <v>2353.0</v>
      </c>
      <c r="W363" s="21">
        <v>267.0</v>
      </c>
      <c r="X363" s="14">
        <v>46.0</v>
      </c>
      <c r="Y363" s="14">
        <v>2454.0</v>
      </c>
      <c r="AA363" s="21">
        <v>177.0</v>
      </c>
      <c r="AB363" s="14">
        <v>45.0</v>
      </c>
      <c r="AC363" s="14">
        <v>51.0</v>
      </c>
    </row>
    <row r="364">
      <c r="A364" s="27">
        <f>HYPERLINK("https://arcprize.org/play?task=ded97339", 356)</f>
        <v>356</v>
      </c>
      <c r="B364" s="14">
        <f>IFERROR(__xludf.DUMMYFUNCTION("min(filter(Scores!B367:AX367,Scores!B367:AX367&gt;0))"),92.0)</f>
        <v>92</v>
      </c>
      <c r="C364" s="14">
        <v>2408.0</v>
      </c>
      <c r="D364" s="51" t="str">
        <f t="array" ref="D364">if(B364,if(countif(Scores!B367:AX367,B364)=1,concat("💎",XLOOKUP(B364,Scores!B367:AX367,Scores!B$1:AX$1)),concat("🥇 x",countif(Scores!B367:AX367,B364))),"")</f>
        <v>💎Code Golf International</v>
      </c>
      <c r="E364" s="14">
        <f>if(countif(Scores!B367:AX367,B364)=1,F364,-1)</f>
        <v>92</v>
      </c>
      <c r="F364" s="14">
        <f t="shared" si="1"/>
        <v>92</v>
      </c>
      <c r="G364" s="14">
        <f>IFERROR(__xludf.DUMMYFUNCTION("if(iferror(small(filter(Scores!B367:AX367,Scores!B367:AX367&gt;0),2),-1)&lt;&gt;F364,iferror(small(filter(Scores!B367:AX367,Scores!B367:AX367&gt;0),2),-1),-1)"),100.0)</f>
        <v>100</v>
      </c>
      <c r="H364" s="14">
        <f>IFERROR(__xludf.DUMMYFUNCTION("if(iferror(small(filter(Scores!B367:AX367,Scores!B367:AX367&gt;0),3),-1)&lt;&gt;iferror(small(filter(Scores!B367:AX367,Scores!B367:AX367&gt;0),2),-1),iferror(small(filter(Scores!B367:AX367,Scores!B367:AX367&gt;0),3),-1),-1)"),105.0)</f>
        <v>105</v>
      </c>
      <c r="I364" s="14">
        <f>IFERROR(__xludf.DUMMYFUNCTION("IFERROR(COLUMNS(filter(Scores!B367:AE367,Scores!B367:AE367)),"""")"),39.0)</f>
        <v>39</v>
      </c>
      <c r="J364" s="14">
        <f>COUNTIF(Scores!B367:AX367,B364)</f>
        <v>1</v>
      </c>
      <c r="K364" s="21">
        <f>IFERROR(__xludf.DUMMYFUNCTION("""COMPUTED_VALUE"""),356.0)</f>
        <v>356</v>
      </c>
      <c r="L364" s="36"/>
      <c r="S364" s="21">
        <v>59.0</v>
      </c>
      <c r="T364" s="14">
        <v>151.0</v>
      </c>
      <c r="U364" s="14">
        <v>2349.0</v>
      </c>
      <c r="W364" s="21">
        <v>307.0</v>
      </c>
      <c r="X364" s="14">
        <v>46.0</v>
      </c>
      <c r="Y364" s="14">
        <v>2454.0</v>
      </c>
      <c r="AA364" s="21">
        <v>26.0</v>
      </c>
      <c r="AB364" s="14">
        <v>45.0</v>
      </c>
      <c r="AC364" s="14">
        <v>50.0</v>
      </c>
    </row>
    <row r="365">
      <c r="A365" s="27">
        <f>HYPERLINK("https://arcprize.org/play?task=e179c5f4", 357)</f>
        <v>357</v>
      </c>
      <c r="B365" s="14">
        <f>IFERROR(__xludf.DUMMYFUNCTION("min(filter(Scores!B368:AX368,Scores!B368:AX368&gt;0))"),81.0)</f>
        <v>81</v>
      </c>
      <c r="C365" s="14">
        <v>2419.0</v>
      </c>
      <c r="D365" s="51" t="str">
        <f t="array" ref="D365">if(B365,if(countif(Scores!B368:AX368,B365)=1,concat("💎",XLOOKUP(B365,Scores!B368:AX368,Scores!B$1:AX$1)),concat("🥇 x",countif(Scores!B368:AX368,B365))),"")</f>
        <v>💎LogicLynx</v>
      </c>
      <c r="E365" s="14">
        <f>if(countif(Scores!B368:AX368,B365)=1,F365,-1)</f>
        <v>81</v>
      </c>
      <c r="F365" s="14">
        <f t="shared" si="1"/>
        <v>81</v>
      </c>
      <c r="G365" s="14">
        <f>IFERROR(__xludf.DUMMYFUNCTION("if(iferror(small(filter(Scores!B368:AX368,Scores!B368:AX368&gt;0),2),-1)&lt;&gt;F365,iferror(small(filter(Scores!B368:AX368,Scores!B368:AX368&gt;0),2),-1),-1)"),84.0)</f>
        <v>84</v>
      </c>
      <c r="H365" s="14">
        <f>IFERROR(__xludf.DUMMYFUNCTION("if(iferror(small(filter(Scores!B368:AX368,Scores!B368:AX368&gt;0),3),-1)&lt;&gt;iferror(small(filter(Scores!B368:AX368,Scores!B368:AX368&gt;0),2),-1),iferror(small(filter(Scores!B368:AX368,Scores!B368:AX368&gt;0),3),-1),-1)"),85.0)</f>
        <v>85</v>
      </c>
      <c r="I365" s="14">
        <f>IFERROR(__xludf.DUMMYFUNCTION("IFERROR(COLUMNS(filter(Scores!B368:AE368,Scores!B368:AE368)),"""")"),38.0)</f>
        <v>38</v>
      </c>
      <c r="J365" s="14">
        <f>COUNTIF(Scores!B368:AX368,B365)</f>
        <v>1</v>
      </c>
      <c r="K365" s="21">
        <f>IFERROR(__xludf.DUMMYFUNCTION("""COMPUTED_VALUE"""),357.0)</f>
        <v>357</v>
      </c>
      <c r="L365" s="36"/>
      <c r="S365" s="21">
        <v>86.0</v>
      </c>
      <c r="T365" s="14">
        <v>151.0</v>
      </c>
      <c r="U365" s="14">
        <v>2349.0</v>
      </c>
      <c r="W365" s="21">
        <v>31.0</v>
      </c>
      <c r="X365" s="14">
        <v>45.0</v>
      </c>
      <c r="Y365" s="14">
        <v>2455.0</v>
      </c>
      <c r="AA365" s="21">
        <v>386.0</v>
      </c>
      <c r="AB365" s="14">
        <v>45.0</v>
      </c>
      <c r="AC365" s="14">
        <v>50.0</v>
      </c>
    </row>
    <row r="366">
      <c r="A366" s="27">
        <f>HYPERLINK("https://arcprize.org/play?task=e21d9049", 358)</f>
        <v>358</v>
      </c>
      <c r="B366" s="14">
        <f>IFERROR(__xludf.DUMMYFUNCTION("min(filter(Scores!B369:AX369,Scores!B369:AX369&gt;0))"),90.0)</f>
        <v>90</v>
      </c>
      <c r="C366" s="14">
        <v>2410.0</v>
      </c>
      <c r="D366" s="51" t="str">
        <f t="array" ref="D366">if(B366,if(countif(Scores!B369:AX369,B366)=1,concat("💎",XLOOKUP(B366,Scores!B369:AX369,Scores!B$1:AX$1)),concat("🥇 x",countif(Scores!B369:AX369,B366))),"")</f>
        <v>💎Code Golf International</v>
      </c>
      <c r="E366" s="14">
        <f>if(countif(Scores!B369:AX369,B366)=1,F366,-1)</f>
        <v>90</v>
      </c>
      <c r="F366" s="14">
        <f t="shared" si="1"/>
        <v>90</v>
      </c>
      <c r="G366" s="14">
        <f>IFERROR(__xludf.DUMMYFUNCTION("if(iferror(small(filter(Scores!B369:AX369,Scores!B369:AX369&gt;0),2),-1)&lt;&gt;F366,iferror(small(filter(Scores!B369:AX369,Scores!B369:AX369&gt;0),2),-1),-1)"),91.0)</f>
        <v>91</v>
      </c>
      <c r="H366" s="14">
        <f>IFERROR(__xludf.DUMMYFUNCTION("if(iferror(small(filter(Scores!B369:AX369,Scores!B369:AX369&gt;0),3),-1)&lt;&gt;iferror(small(filter(Scores!B369:AX369,Scores!B369:AX369&gt;0),2),-1),iferror(small(filter(Scores!B369:AX369,Scores!B369:AX369&gt;0),3),-1),-1)"),-1.0)</f>
        <v>-1</v>
      </c>
      <c r="I366" s="14">
        <f>IFERROR(__xludf.DUMMYFUNCTION("IFERROR(COLUMNS(filter(Scores!B369:AE369,Scores!B369:AE369)),"""")"),37.0)</f>
        <v>37</v>
      </c>
      <c r="J366" s="14">
        <f>COUNTIF(Scores!B369:AX369,B366)</f>
        <v>1</v>
      </c>
      <c r="K366" s="21">
        <f>IFERROR(__xludf.DUMMYFUNCTION("""COMPUTED_VALUE"""),358.0)</f>
        <v>358</v>
      </c>
      <c r="L366" s="36"/>
      <c r="S366" s="21">
        <v>277.0</v>
      </c>
      <c r="T366" s="14">
        <v>155.0</v>
      </c>
      <c r="U366" s="14">
        <v>2345.0</v>
      </c>
      <c r="W366" s="21">
        <v>45.0</v>
      </c>
      <c r="X366" s="14">
        <v>45.0</v>
      </c>
      <c r="Y366" s="14">
        <v>2455.0</v>
      </c>
      <c r="AA366" s="21">
        <v>41.0</v>
      </c>
      <c r="AB366" s="14">
        <v>45.0</v>
      </c>
      <c r="AC366" s="14">
        <v>49.0</v>
      </c>
    </row>
    <row r="367">
      <c r="A367" s="27">
        <f>HYPERLINK("https://arcprize.org/play?task=e26a3af2", 359)</f>
        <v>359</v>
      </c>
      <c r="B367" s="14">
        <f>IFERROR(__xludf.DUMMYFUNCTION("min(filter(Scores!B370:AX370,Scores!B370:AX370&gt;0))"),64.0)</f>
        <v>64</v>
      </c>
      <c r="C367" s="14">
        <v>2436.0</v>
      </c>
      <c r="D367" s="51" t="str">
        <f t="array" ref="D367">if(B367,if(countif(Scores!B370:AX370,B367)=1,concat("💎",XLOOKUP(B367,Scores!B370:AX370,Scores!B$1:AX$1)),concat("🥇 x",countif(Scores!B370:AX370,B367))),"")</f>
        <v>🥇 x25</v>
      </c>
      <c r="E367" s="14">
        <f>if(countif(Scores!B370:AX370,B367)=1,F367,-1)</f>
        <v>-1</v>
      </c>
      <c r="F367" s="14">
        <f t="shared" si="1"/>
        <v>64</v>
      </c>
      <c r="G367" s="14">
        <f>IFERROR(__xludf.DUMMYFUNCTION("if(iferror(small(filter(Scores!B370:AX370,Scores!B370:AX370&gt;0),2),-1)&lt;&gt;F367,iferror(small(filter(Scores!B370:AX370,Scores!B370:AX370&gt;0),2),-1),-1)"),-1.0)</f>
        <v>-1</v>
      </c>
      <c r="H367" s="14">
        <f>IFERROR(__xludf.DUMMYFUNCTION("if(iferror(small(filter(Scores!B370:AX370,Scores!B370:AX370&gt;0),3),-1)&lt;&gt;iferror(small(filter(Scores!B370:AX370,Scores!B370:AX370&gt;0),2),-1),iferror(small(filter(Scores!B370:AX370,Scores!B370:AX370&gt;0),3),-1),-1)"),-1.0)</f>
        <v>-1</v>
      </c>
      <c r="I367" s="14">
        <f>IFERROR(__xludf.DUMMYFUNCTION("IFERROR(COLUMNS(filter(Scores!B370:AE370,Scores!B370:AE370)),"""")"),37.0)</f>
        <v>37</v>
      </c>
      <c r="J367" s="14">
        <f>COUNTIF(Scores!B370:AX370,B367)</f>
        <v>25</v>
      </c>
      <c r="K367" s="21">
        <f>IFERROR(__xludf.DUMMYFUNCTION("""COMPUTED_VALUE"""),359.0)</f>
        <v>359</v>
      </c>
      <c r="L367" s="36"/>
      <c r="S367" s="21">
        <v>145.0</v>
      </c>
      <c r="T367" s="14">
        <v>157.0</v>
      </c>
      <c r="U367" s="14">
        <v>2343.0</v>
      </c>
      <c r="W367" s="21">
        <v>322.0</v>
      </c>
      <c r="X367" s="14">
        <v>45.0</v>
      </c>
      <c r="Y367" s="14">
        <v>2455.0</v>
      </c>
      <c r="AA367" s="21">
        <v>261.0</v>
      </c>
      <c r="AB367" s="14">
        <v>45.0</v>
      </c>
      <c r="AC367" s="14">
        <v>47.0</v>
      </c>
    </row>
    <row r="368">
      <c r="A368" s="27">
        <f>HYPERLINK("https://arcprize.org/play?task=e3497940", 360)</f>
        <v>360</v>
      </c>
      <c r="B368" s="14">
        <f>IFERROR(__xludf.DUMMYFUNCTION("min(filter(Scores!B371:AX371,Scores!B371:AX371&gt;0))"),45.0)</f>
        <v>45</v>
      </c>
      <c r="C368" s="14">
        <v>2455.0</v>
      </c>
      <c r="D368" s="51" t="str">
        <f t="array" ref="D368">if(B368,if(countif(Scores!B371:AX371,B368)=1,concat("💎",XLOOKUP(B368,Scores!B371:AX371,Scores!B$1:AX$1)),concat("🥇 x",countif(Scores!B371:AX371,B368))),"")</f>
        <v>🥇 x19</v>
      </c>
      <c r="E368" s="14">
        <f>if(countif(Scores!B371:AX371,B368)=1,F368,-1)</f>
        <v>-1</v>
      </c>
      <c r="F368" s="14">
        <f t="shared" si="1"/>
        <v>45</v>
      </c>
      <c r="G368" s="14">
        <f>IFERROR(__xludf.DUMMYFUNCTION("if(iferror(small(filter(Scores!B371:AX371,Scores!B371:AX371&gt;0),2),-1)&lt;&gt;F368,iferror(small(filter(Scores!B371:AX371,Scores!B371:AX371&gt;0),2),-1),-1)"),-1.0)</f>
        <v>-1</v>
      </c>
      <c r="H368" s="14">
        <f>IFERROR(__xludf.DUMMYFUNCTION("if(iferror(small(filter(Scores!B371:AX371,Scores!B371:AX371&gt;0),3),-1)&lt;&gt;iferror(small(filter(Scores!B371:AX371,Scores!B371:AX371&gt;0),2),-1),iferror(small(filter(Scores!B371:AX371,Scores!B371:AX371&gt;0),3),-1),-1)"),-1.0)</f>
        <v>-1</v>
      </c>
      <c r="I368" s="14">
        <f>IFERROR(__xludf.DUMMYFUNCTION("IFERROR(COLUMNS(filter(Scores!B371:AE371,Scores!B371:AE371)),"""")"),45.0)</f>
        <v>45</v>
      </c>
      <c r="J368" s="14">
        <f>COUNTIF(Scores!B371:AX371,B368)</f>
        <v>19</v>
      </c>
      <c r="K368" s="21">
        <f>IFERROR(__xludf.DUMMYFUNCTION("""COMPUTED_VALUE"""),360.0)</f>
        <v>360</v>
      </c>
      <c r="L368" s="36"/>
      <c r="S368" s="21">
        <v>328.0</v>
      </c>
      <c r="T368" s="14">
        <v>158.0</v>
      </c>
      <c r="U368" s="14">
        <v>2342.0</v>
      </c>
      <c r="W368" s="21">
        <v>360.0</v>
      </c>
      <c r="X368" s="14">
        <v>45.0</v>
      </c>
      <c r="Y368" s="14">
        <v>2455.0</v>
      </c>
      <c r="AA368" s="21">
        <v>372.0</v>
      </c>
      <c r="AB368" s="14">
        <v>45.0</v>
      </c>
      <c r="AC368" s="14">
        <v>47.0</v>
      </c>
    </row>
    <row r="369">
      <c r="A369" s="27">
        <f>HYPERLINK("https://arcprize.org/play?task=e40b9e2f", 361)</f>
        <v>361</v>
      </c>
      <c r="B369" s="14">
        <f>IFERROR(__xludf.DUMMYFUNCTION("min(filter(Scores!B372:AX372,Scores!B372:AX372&gt;0))"),185.0)</f>
        <v>185</v>
      </c>
      <c r="C369" s="14">
        <v>2315.0</v>
      </c>
      <c r="D369" s="51" t="str">
        <f t="array" ref="D369">if(B369,if(countif(Scores!B372:AX372,B369)=1,concat("💎",XLOOKUP(B369,Scores!B372:AX372,Scores!B$1:AX$1)),concat("🥇 x",countif(Scores!B372:AX372,B369))),"")</f>
        <v>💎ox jam</v>
      </c>
      <c r="E369" s="14">
        <f>if(countif(Scores!B372:AX372,B369)=1,F369,-1)</f>
        <v>185</v>
      </c>
      <c r="F369" s="14">
        <f t="shared" si="1"/>
        <v>185</v>
      </c>
      <c r="G369" s="14">
        <f>IFERROR(__xludf.DUMMYFUNCTION("if(iferror(small(filter(Scores!B372:AX372,Scores!B372:AX372&gt;0),2),-1)&lt;&gt;F369,iferror(small(filter(Scores!B372:AX372,Scores!B372:AX372&gt;0),2),-1),-1)"),186.0)</f>
        <v>186</v>
      </c>
      <c r="H369" s="14">
        <f>IFERROR(__xludf.DUMMYFUNCTION("if(iferror(small(filter(Scores!B372:AX372,Scores!B372:AX372&gt;0),3),-1)&lt;&gt;iferror(small(filter(Scores!B372:AX372,Scores!B372:AX372&gt;0),2),-1),iferror(small(filter(Scores!B372:AX372,Scores!B372:AX372&gt;0),3),-1),-1)"),193.0)</f>
        <v>193</v>
      </c>
      <c r="I369" s="14">
        <f>IFERROR(__xludf.DUMMYFUNCTION("IFERROR(COLUMNS(filter(Scores!B372:AE372,Scores!B372:AE372)),"""")"),37.0)</f>
        <v>37</v>
      </c>
      <c r="J369" s="14">
        <f>COUNTIF(Scores!B372:AX372,B369)</f>
        <v>1</v>
      </c>
      <c r="K369" s="21">
        <f>IFERROR(__xludf.DUMMYFUNCTION("""COMPUTED_VALUE"""),361.0)</f>
        <v>361</v>
      </c>
      <c r="L369" s="36"/>
      <c r="S369" s="21">
        <v>370.0</v>
      </c>
      <c r="T369" s="14">
        <v>159.0</v>
      </c>
      <c r="U369" s="14">
        <v>2341.0</v>
      </c>
      <c r="W369" s="21">
        <v>312.0</v>
      </c>
      <c r="X369" s="14">
        <v>44.0</v>
      </c>
      <c r="Y369" s="14">
        <v>2456.0</v>
      </c>
      <c r="AA369" s="21">
        <v>73.0</v>
      </c>
      <c r="AB369" s="14">
        <v>45.0</v>
      </c>
      <c r="AC369" s="14">
        <v>46.0</v>
      </c>
    </row>
    <row r="370">
      <c r="A370" s="27">
        <f>HYPERLINK("https://arcprize.org/play?task=e48d4e1a", 362)</f>
        <v>362</v>
      </c>
      <c r="B370" s="14">
        <f>IFERROR(__xludf.DUMMYFUNCTION("min(filter(Scores!B373:AX373,Scores!B373:AX373&gt;0))"),67.0)</f>
        <v>67</v>
      </c>
      <c r="C370" s="14">
        <v>2433.0</v>
      </c>
      <c r="D370" s="51" t="str">
        <f t="array" ref="D370">if(B370,if(countif(Scores!B373:AX373,B370)=1,concat("💎",XLOOKUP(B370,Scores!B373:AX373,Scores!B$1:AX$1)),concat("🥇 x",countif(Scores!B373:AX373,B370))),"")</f>
        <v>🥇 x2</v>
      </c>
      <c r="E370" s="14">
        <f>if(countif(Scores!B373:AX373,B370)=1,F370,-1)</f>
        <v>-1</v>
      </c>
      <c r="F370" s="14">
        <f t="shared" si="1"/>
        <v>67</v>
      </c>
      <c r="G370" s="14">
        <f>IFERROR(__xludf.DUMMYFUNCTION("if(iferror(small(filter(Scores!B373:AX373,Scores!B373:AX373&gt;0),2),-1)&lt;&gt;F370,iferror(small(filter(Scores!B373:AX373,Scores!B373:AX373&gt;0),2),-1),-1)"),-1.0)</f>
        <v>-1</v>
      </c>
      <c r="H370" s="14">
        <f>IFERROR(__xludf.DUMMYFUNCTION("if(iferror(small(filter(Scores!B373:AX373,Scores!B373:AX373&gt;0),3),-1)&lt;&gt;iferror(small(filter(Scores!B373:AX373,Scores!B373:AX373&gt;0),2),-1),iferror(small(filter(Scores!B373:AX373,Scores!B373:AX373&gt;0),3),-1),-1)"),69.0)</f>
        <v>69</v>
      </c>
      <c r="I370" s="14">
        <f>IFERROR(__xludf.DUMMYFUNCTION("IFERROR(COLUMNS(filter(Scores!B373:AE373,Scores!B373:AE373)),"""")"),38.0)</f>
        <v>38</v>
      </c>
      <c r="J370" s="14">
        <f>COUNTIF(Scores!B373:AX373,B370)</f>
        <v>2</v>
      </c>
      <c r="K370" s="21">
        <f>IFERROR(__xludf.DUMMYFUNCTION("""COMPUTED_VALUE"""),362.0)</f>
        <v>362</v>
      </c>
      <c r="L370" s="36"/>
      <c r="S370" s="21">
        <v>182.0</v>
      </c>
      <c r="T370" s="14">
        <v>160.0</v>
      </c>
      <c r="U370" s="14">
        <v>2340.0</v>
      </c>
      <c r="W370" s="21">
        <v>16.0</v>
      </c>
      <c r="X370" s="14">
        <v>43.0</v>
      </c>
      <c r="Y370" s="14">
        <v>2457.0</v>
      </c>
      <c r="AA370" s="21">
        <v>322.0</v>
      </c>
      <c r="AB370" s="14">
        <v>45.0</v>
      </c>
      <c r="AC370" s="14">
        <v>45.0</v>
      </c>
    </row>
    <row r="371">
      <c r="A371" s="27">
        <f>HYPERLINK("https://arcprize.org/play?task=e5062a87", 363)</f>
        <v>363</v>
      </c>
      <c r="B371" s="14">
        <f>IFERROR(__xludf.DUMMYFUNCTION("min(filter(Scores!B374:AX374,Scores!B374:AX374&gt;0))"),175.0)</f>
        <v>175</v>
      </c>
      <c r="C371" s="14">
        <v>2325.0</v>
      </c>
      <c r="D371" s="51" t="str">
        <f t="array" ref="D371">if(B371,if(countif(Scores!B374:AX374,B371)=1,concat("💎",XLOOKUP(B371,Scores!B374:AX374,Scores!B$1:AX$1)),concat("🥇 x",countif(Scores!B374:AX374,B371))),"")</f>
        <v>💎Code Golf International</v>
      </c>
      <c r="E371" s="14">
        <f>if(countif(Scores!B374:AX374,B371)=1,F371,-1)</f>
        <v>175</v>
      </c>
      <c r="F371" s="14">
        <f t="shared" si="1"/>
        <v>175</v>
      </c>
      <c r="G371" s="14">
        <f>IFERROR(__xludf.DUMMYFUNCTION("if(iferror(small(filter(Scores!B374:AX374,Scores!B374:AX374&gt;0),2),-1)&lt;&gt;F371,iferror(small(filter(Scores!B374:AX374,Scores!B374:AX374&gt;0),2),-1),-1)"),203.0)</f>
        <v>203</v>
      </c>
      <c r="H371" s="14">
        <f>IFERROR(__xludf.DUMMYFUNCTION("if(iferror(small(filter(Scores!B374:AX374,Scores!B374:AX374&gt;0),3),-1)&lt;&gt;iferror(small(filter(Scores!B374:AX374,Scores!B374:AX374&gt;0),2),-1),iferror(small(filter(Scores!B374:AX374,Scores!B374:AX374&gt;0),3),-1),-1)"),204.0)</f>
        <v>204</v>
      </c>
      <c r="I371" s="14">
        <f>IFERROR(__xludf.DUMMYFUNCTION("IFERROR(COLUMNS(filter(Scores!B374:AE374,Scores!B374:AE374)),"""")"),37.0)</f>
        <v>37</v>
      </c>
      <c r="J371" s="14">
        <f>COUNTIF(Scores!B374:AX374,B371)</f>
        <v>1</v>
      </c>
      <c r="K371" s="21">
        <f>IFERROR(__xludf.DUMMYFUNCTION("""COMPUTED_VALUE"""),363.0)</f>
        <v>363</v>
      </c>
      <c r="L371" s="36"/>
      <c r="S371" s="21">
        <v>170.0</v>
      </c>
      <c r="T371" s="14">
        <v>163.0</v>
      </c>
      <c r="U371" s="14">
        <v>2337.0</v>
      </c>
      <c r="W371" s="21">
        <v>297.0</v>
      </c>
      <c r="X371" s="14">
        <v>43.0</v>
      </c>
      <c r="Y371" s="14">
        <v>2457.0</v>
      </c>
      <c r="AA371" s="21">
        <v>360.0</v>
      </c>
      <c r="AB371" s="14">
        <v>45.0</v>
      </c>
      <c r="AC371" s="14">
        <v>45.0</v>
      </c>
    </row>
    <row r="372">
      <c r="A372" s="27">
        <f>HYPERLINK("https://arcprize.org/play?task=e509e548", 364)</f>
        <v>364</v>
      </c>
      <c r="B372" s="14">
        <f>IFERROR(__xludf.DUMMYFUNCTION("min(filter(Scores!B375:AX375,Scores!B375:AX375&gt;0))"),133.0)</f>
        <v>133</v>
      </c>
      <c r="C372" s="14">
        <v>2367.0</v>
      </c>
      <c r="D372" s="51" t="str">
        <f t="array" ref="D372">if(B372,if(countif(Scores!B375:AX375,B372)=1,concat("💎",XLOOKUP(B372,Scores!B375:AX375,Scores!B$1:AX$1)),concat("🥇 x",countif(Scores!B375:AX375,B372))),"")</f>
        <v>💎Code Golf International</v>
      </c>
      <c r="E372" s="14">
        <f>if(countif(Scores!B375:AX375,B372)=1,F372,-1)</f>
        <v>133</v>
      </c>
      <c r="F372" s="14">
        <f t="shared" si="1"/>
        <v>133</v>
      </c>
      <c r="G372" s="14">
        <f>IFERROR(__xludf.DUMMYFUNCTION("if(iferror(small(filter(Scores!B375:AX375,Scores!B375:AX375&gt;0),2),-1)&lt;&gt;F372,iferror(small(filter(Scores!B375:AX375,Scores!B375:AX375&gt;0),2),-1),-1)"),134.0)</f>
        <v>134</v>
      </c>
      <c r="H372" s="14">
        <f>IFERROR(__xludf.DUMMYFUNCTION("if(iferror(small(filter(Scores!B375:AX375,Scores!B375:AX375&gt;0),3),-1)&lt;&gt;iferror(small(filter(Scores!B375:AX375,Scores!B375:AX375&gt;0),2),-1),iferror(small(filter(Scores!B375:AX375,Scores!B375:AX375&gt;0),3),-1),-1)"),149.0)</f>
        <v>149</v>
      </c>
      <c r="I372" s="14">
        <f>IFERROR(__xludf.DUMMYFUNCTION("IFERROR(COLUMNS(filter(Scores!B375:AE375,Scores!B375:AE375)),"""")"),34.0)</f>
        <v>34</v>
      </c>
      <c r="J372" s="14">
        <f>COUNTIF(Scores!B375:AX375,B372)</f>
        <v>1</v>
      </c>
      <c r="K372" s="21">
        <f>IFERROR(__xludf.DUMMYFUNCTION("""COMPUTED_VALUE"""),364.0)</f>
        <v>364</v>
      </c>
      <c r="L372" s="36"/>
      <c r="S372" s="21">
        <v>208.0</v>
      </c>
      <c r="T372" s="14">
        <v>163.0</v>
      </c>
      <c r="U372" s="14">
        <v>2337.0</v>
      </c>
      <c r="W372" s="21">
        <v>317.0</v>
      </c>
      <c r="X372" s="14">
        <v>43.0</v>
      </c>
      <c r="Y372" s="14">
        <v>2457.0</v>
      </c>
      <c r="AA372" s="21">
        <v>312.0</v>
      </c>
      <c r="AB372" s="14">
        <v>45.0</v>
      </c>
      <c r="AC372" s="14">
        <v>44.0</v>
      </c>
    </row>
    <row r="373">
      <c r="A373" s="27">
        <f>HYPERLINK("https://arcprize.org/play?task=e50d258f", 365)</f>
        <v>365</v>
      </c>
      <c r="B373" s="14">
        <f>IFERROR(__xludf.DUMMYFUNCTION("min(filter(Scores!B376:AX376,Scores!B376:AX376&gt;0))"),111.0)</f>
        <v>111</v>
      </c>
      <c r="C373" s="14">
        <v>2389.0</v>
      </c>
      <c r="D373" s="51" t="str">
        <f t="array" ref="D373">if(B373,if(countif(Scores!B376:AX376,B373)=1,concat("💎",XLOOKUP(B373,Scores!B376:AX376,Scores!B$1:AX$1)),concat("🥇 x",countif(Scores!B376:AX376,B373))),"")</f>
        <v>🥇 x2</v>
      </c>
      <c r="E373" s="14">
        <f>if(countif(Scores!B376:AX376,B373)=1,F373,-1)</f>
        <v>-1</v>
      </c>
      <c r="F373" s="14">
        <f t="shared" si="1"/>
        <v>111</v>
      </c>
      <c r="G373" s="14">
        <f>IFERROR(__xludf.DUMMYFUNCTION("if(iferror(small(filter(Scores!B376:AX376,Scores!B376:AX376&gt;0),2),-1)&lt;&gt;F373,iferror(small(filter(Scores!B376:AX376,Scores!B376:AX376&gt;0),2),-1),-1)"),-1.0)</f>
        <v>-1</v>
      </c>
      <c r="H373" s="14">
        <f>IFERROR(__xludf.DUMMYFUNCTION("if(iferror(small(filter(Scores!B376:AX376,Scores!B376:AX376&gt;0),3),-1)&lt;&gt;iferror(small(filter(Scores!B376:AX376,Scores!B376:AX376&gt;0),2),-1),iferror(small(filter(Scores!B376:AX376,Scores!B376:AX376&gt;0),3),-1),-1)"),112.0)</f>
        <v>112</v>
      </c>
      <c r="I373" s="14">
        <f>IFERROR(__xludf.DUMMYFUNCTION("IFERROR(COLUMNS(filter(Scores!B376:AE376,Scores!B376:AE376)),"""")"),37.0)</f>
        <v>37</v>
      </c>
      <c r="J373" s="14">
        <f>COUNTIF(Scores!B376:AX376,B373)</f>
        <v>2</v>
      </c>
      <c r="K373" s="21">
        <f>IFERROR(__xludf.DUMMYFUNCTION("""COMPUTED_VALUE"""),365.0)</f>
        <v>365</v>
      </c>
      <c r="L373" s="36"/>
      <c r="S373" s="21">
        <v>5.0</v>
      </c>
      <c r="T373" s="14">
        <v>166.0</v>
      </c>
      <c r="U373" s="14">
        <v>2334.0</v>
      </c>
      <c r="W373" s="21">
        <v>337.0</v>
      </c>
      <c r="X373" s="14">
        <v>43.0</v>
      </c>
      <c r="Y373" s="14">
        <v>2457.0</v>
      </c>
      <c r="AA373" s="21">
        <v>231.0</v>
      </c>
      <c r="AB373" s="14">
        <v>45.0</v>
      </c>
      <c r="AC373" s="14">
        <v>42.0</v>
      </c>
    </row>
    <row r="374">
      <c r="A374" s="27">
        <f>HYPERLINK("https://arcprize.org/play?task=e6721834", 366)</f>
        <v>366</v>
      </c>
      <c r="B374" s="14">
        <f>IFERROR(__xludf.DUMMYFUNCTION("min(filter(Scores!B377:AX377,Scores!B377:AX377&gt;0))"),301.0)</f>
        <v>301</v>
      </c>
      <c r="C374" s="14">
        <v>2199.0</v>
      </c>
      <c r="D374" s="51" t="str">
        <f t="array" ref="D374">if(B374,if(countif(Scores!B377:AX377,B374)=1,concat("💎",XLOOKUP(B374,Scores!B377:AX377,Scores!B$1:AX$1)),concat("🥇 x",countif(Scores!B377:AX377,B374))),"")</f>
        <v>💎ox jam</v>
      </c>
      <c r="E374" s="14">
        <f>if(countif(Scores!B377:AX377,B374)=1,F374,-1)</f>
        <v>301</v>
      </c>
      <c r="F374" s="14">
        <f t="shared" si="1"/>
        <v>301</v>
      </c>
      <c r="G374" s="14">
        <f>IFERROR(__xludf.DUMMYFUNCTION("if(iferror(small(filter(Scores!B377:AX377,Scores!B377:AX377&gt;0),2),-1)&lt;&gt;F374,iferror(small(filter(Scores!B377:AX377,Scores!B377:AX377&gt;0),2),-1),-1)"),328.0)</f>
        <v>328</v>
      </c>
      <c r="H374" s="14">
        <f>IFERROR(__xludf.DUMMYFUNCTION("if(iferror(small(filter(Scores!B377:AX377,Scores!B377:AX377&gt;0),3),-1)&lt;&gt;iferror(small(filter(Scores!B377:AX377,Scores!B377:AX377&gt;0),2),-1),iferror(small(filter(Scores!B377:AX377,Scores!B377:AX377&gt;0),3),-1),-1)"),331.0)</f>
        <v>331</v>
      </c>
      <c r="I374" s="14">
        <f>IFERROR(__xludf.DUMMYFUNCTION("IFERROR(COLUMNS(filter(Scores!B377:AE377,Scores!B377:AE377)),"""")"),35.0)</f>
        <v>35</v>
      </c>
      <c r="J374" s="14">
        <f>COUNTIF(Scores!B377:AX377,B374)</f>
        <v>1</v>
      </c>
      <c r="K374" s="21">
        <f>IFERROR(__xludf.DUMMYFUNCTION("""COMPUTED_VALUE"""),366.0)</f>
        <v>366</v>
      </c>
      <c r="L374" s="36"/>
      <c r="S374" s="21">
        <v>46.0</v>
      </c>
      <c r="T374" s="14">
        <v>166.0</v>
      </c>
      <c r="U374" s="14">
        <v>2334.0</v>
      </c>
      <c r="W374" s="21">
        <v>215.0</v>
      </c>
      <c r="X374" s="14">
        <v>42.0</v>
      </c>
      <c r="Y374" s="14">
        <v>2458.0</v>
      </c>
      <c r="AA374" s="21">
        <v>152.0</v>
      </c>
      <c r="AB374" s="14">
        <v>45.0</v>
      </c>
      <c r="AC374" s="14">
        <v>39.0</v>
      </c>
    </row>
    <row r="375">
      <c r="A375" s="27">
        <f>HYPERLINK("https://arcprize.org/play?task=e73095fd", 367)</f>
        <v>367</v>
      </c>
      <c r="B375" s="14">
        <f>IFERROR(__xludf.DUMMYFUNCTION("min(filter(Scores!B378:AX378,Scores!B378:AX378&gt;0))"),126.0)</f>
        <v>126</v>
      </c>
      <c r="C375" s="14">
        <v>2374.0</v>
      </c>
      <c r="D375" s="51" t="str">
        <f t="array" ref="D375">if(B375,if(countif(Scores!B378:AX378,B375)=1,concat("💎",XLOOKUP(B375,Scores!B378:AX378,Scores!B$1:AX$1)),concat("🥇 x",countif(Scores!B378:AX378,B375))),"")</f>
        <v>🥇 x2</v>
      </c>
      <c r="E375" s="14">
        <f>if(countif(Scores!B378:AX378,B375)=1,F375,-1)</f>
        <v>-1</v>
      </c>
      <c r="F375" s="14">
        <f t="shared" si="1"/>
        <v>126</v>
      </c>
      <c r="G375" s="14">
        <f>IFERROR(__xludf.DUMMYFUNCTION("if(iferror(small(filter(Scores!B378:AX378,Scores!B378:AX378&gt;0),2),-1)&lt;&gt;F375,iferror(small(filter(Scores!B378:AX378,Scores!B378:AX378&gt;0),2),-1),-1)"),-1.0)</f>
        <v>-1</v>
      </c>
      <c r="H375" s="14">
        <f>IFERROR(__xludf.DUMMYFUNCTION("if(iferror(small(filter(Scores!B378:AX378,Scores!B378:AX378&gt;0),3),-1)&lt;&gt;iferror(small(filter(Scores!B378:AX378,Scores!B378:AX378&gt;0),2),-1),iferror(small(filter(Scores!B378:AX378,Scores!B378:AX378&gt;0),3),-1),-1)"),127.0)</f>
        <v>127</v>
      </c>
      <c r="I375" s="14">
        <f>IFERROR(__xludf.DUMMYFUNCTION("IFERROR(COLUMNS(filter(Scores!B378:AE378,Scores!B378:AE378)),"""")"),33.0)</f>
        <v>33</v>
      </c>
      <c r="J375" s="14">
        <f>COUNTIF(Scores!B378:AX378,B375)</f>
        <v>2</v>
      </c>
      <c r="K375" s="21">
        <f>IFERROR(__xludf.DUMMYFUNCTION("""COMPUTED_VALUE"""),367.0)</f>
        <v>367</v>
      </c>
      <c r="L375" s="36"/>
      <c r="S375" s="21">
        <v>349.0</v>
      </c>
      <c r="T375" s="14">
        <v>172.0</v>
      </c>
      <c r="U375" s="14">
        <v>2328.0</v>
      </c>
      <c r="W375" s="21">
        <v>231.0</v>
      </c>
      <c r="X375" s="14">
        <v>42.0</v>
      </c>
      <c r="Y375" s="14">
        <v>2458.0</v>
      </c>
      <c r="AA375" s="21">
        <v>276.0</v>
      </c>
      <c r="AB375" s="14">
        <v>45.0</v>
      </c>
      <c r="AC375" s="14">
        <v>37.0</v>
      </c>
    </row>
    <row r="376">
      <c r="A376" s="27">
        <f>HYPERLINK("https://arcprize.org/play?task=e76a88a6", 368)</f>
        <v>368</v>
      </c>
      <c r="B376" s="14">
        <f>IFERROR(__xludf.DUMMYFUNCTION("min(filter(Scores!B379:AX379,Scores!B379:AX379&gt;0))"),129.0)</f>
        <v>129</v>
      </c>
      <c r="C376" s="14">
        <v>2371.0</v>
      </c>
      <c r="D376" s="51" t="str">
        <f t="array" ref="D376">if(B376,if(countif(Scores!B379:AX379,B376)=1,concat("💎",XLOOKUP(B376,Scores!B379:AX379,Scores!B$1:AX$1)),concat("🥇 x",countif(Scores!B379:AX379,B376))),"")</f>
        <v>💎ox jam</v>
      </c>
      <c r="E376" s="14">
        <f>if(countif(Scores!B379:AX379,B376)=1,F376,-1)</f>
        <v>129</v>
      </c>
      <c r="F376" s="14">
        <f t="shared" si="1"/>
        <v>129</v>
      </c>
      <c r="G376" s="14">
        <f>IFERROR(__xludf.DUMMYFUNCTION("if(iferror(small(filter(Scores!B379:AX379,Scores!B379:AX379&gt;0),2),-1)&lt;&gt;F376,iferror(small(filter(Scores!B379:AX379,Scores!B379:AX379&gt;0),2),-1),-1)"),135.0)</f>
        <v>135</v>
      </c>
      <c r="H376" s="14">
        <f>IFERROR(__xludf.DUMMYFUNCTION("if(iferror(small(filter(Scores!B379:AX379,Scores!B379:AX379&gt;0),3),-1)&lt;&gt;iferror(small(filter(Scores!B379:AX379,Scores!B379:AX379&gt;0),2),-1),iferror(small(filter(Scores!B379:AX379,Scores!B379:AX379&gt;0),3),-1),-1)"),136.0)</f>
        <v>136</v>
      </c>
      <c r="I376" s="14">
        <f>IFERROR(__xludf.DUMMYFUNCTION("IFERROR(COLUMNS(filter(Scores!B379:AE379,Scores!B379:AE379)),"""")"),39.0)</f>
        <v>39</v>
      </c>
      <c r="J376" s="14">
        <f>COUNTIF(Scores!B379:AX379,B376)</f>
        <v>1</v>
      </c>
      <c r="K376" s="21">
        <f>IFERROR(__xludf.DUMMYFUNCTION("""COMPUTED_VALUE"""),368.0)</f>
        <v>368</v>
      </c>
      <c r="L376" s="36"/>
      <c r="S376" s="21">
        <v>363.0</v>
      </c>
      <c r="T376" s="14">
        <v>175.0</v>
      </c>
      <c r="U376" s="14">
        <v>2325.0</v>
      </c>
      <c r="W376" s="21">
        <v>52.0</v>
      </c>
      <c r="X376" s="14">
        <v>40.0</v>
      </c>
      <c r="Y376" s="14">
        <v>2460.0</v>
      </c>
      <c r="AA376" s="21">
        <v>140.0</v>
      </c>
      <c r="AB376" s="14">
        <v>45.0</v>
      </c>
      <c r="AC376" s="14">
        <v>36.0</v>
      </c>
    </row>
    <row r="377">
      <c r="A377" s="27">
        <f>HYPERLINK("https://arcprize.org/play?task=e8593010", 369)</f>
        <v>369</v>
      </c>
      <c r="B377" s="14">
        <f>IFERROR(__xludf.DUMMYFUNCTION("min(filter(Scores!B380:AX380,Scores!B380:AX380&gt;0))"),109.0)</f>
        <v>109</v>
      </c>
      <c r="C377" s="14">
        <v>2391.0</v>
      </c>
      <c r="D377" s="51" t="str">
        <f t="array" ref="D377">if(B377,if(countif(Scores!B380:AX380,B377)=1,concat("💎",XLOOKUP(B377,Scores!B380:AX380,Scores!B$1:AX$1)),concat("🥇 x",countif(Scores!B380:AX380,B377))),"")</f>
        <v>🥇 x3</v>
      </c>
      <c r="E377" s="14">
        <f>if(countif(Scores!B380:AX380,B377)=1,F377,-1)</f>
        <v>-1</v>
      </c>
      <c r="F377" s="14">
        <f t="shared" si="1"/>
        <v>109</v>
      </c>
      <c r="G377" s="14">
        <f>IFERROR(__xludf.DUMMYFUNCTION("if(iferror(small(filter(Scores!B380:AX380,Scores!B380:AX380&gt;0),2),-1)&lt;&gt;F377,iferror(small(filter(Scores!B380:AX380,Scores!B380:AX380&gt;0),2),-1),-1)"),-1.0)</f>
        <v>-1</v>
      </c>
      <c r="H377" s="14">
        <f>IFERROR(__xludf.DUMMYFUNCTION("if(iferror(small(filter(Scores!B380:AX380,Scores!B380:AX380&gt;0),3),-1)&lt;&gt;iferror(small(filter(Scores!B380:AX380,Scores!B380:AX380&gt;0),2),-1),iferror(small(filter(Scores!B380:AX380,Scores!B380:AX380&gt;0),3),-1),-1)"),-1.0)</f>
        <v>-1</v>
      </c>
      <c r="I377" s="14">
        <f>IFERROR(__xludf.DUMMYFUNCTION("IFERROR(COLUMNS(filter(Scores!B380:AE380,Scores!B380:AE380)),"""")"),38.0)</f>
        <v>38</v>
      </c>
      <c r="J377" s="14">
        <f>COUNTIF(Scores!B380:AX380,B377)</f>
        <v>3</v>
      </c>
      <c r="K377" s="21">
        <f>IFERROR(__xludf.DUMMYFUNCTION("""COMPUTED_VALUE"""),369.0)</f>
        <v>369</v>
      </c>
      <c r="L377" s="36"/>
      <c r="S377" s="21">
        <v>264.0</v>
      </c>
      <c r="T377" s="14">
        <v>178.0</v>
      </c>
      <c r="U377" s="14">
        <v>2322.0</v>
      </c>
      <c r="W377" s="21">
        <v>83.0</v>
      </c>
      <c r="X377" s="14">
        <v>40.0</v>
      </c>
      <c r="Y377" s="14">
        <v>2460.0</v>
      </c>
      <c r="AA377" s="21">
        <v>309.0</v>
      </c>
      <c r="AB377" s="14">
        <v>45.0</v>
      </c>
      <c r="AC377" s="14">
        <v>36.0</v>
      </c>
    </row>
    <row r="378">
      <c r="A378" s="27">
        <f>HYPERLINK("https://arcprize.org/play?task=e8dc4411", 370)</f>
        <v>370</v>
      </c>
      <c r="B378" s="14">
        <f>IFERROR(__xludf.DUMMYFUNCTION("min(filter(Scores!B381:AX381,Scores!B381:AX381&gt;0))"),159.0)</f>
        <v>159</v>
      </c>
      <c r="C378" s="14">
        <v>2341.0</v>
      </c>
      <c r="D378" s="51" t="str">
        <f t="array" ref="D378">if(B378,if(countif(Scores!B381:AX381,B378)=1,concat("💎",XLOOKUP(B378,Scores!B381:AX381,Scores!B$1:AX$1)),concat("🥇 x",countif(Scores!B381:AX381,B378))),"")</f>
        <v>💎Code Golf International</v>
      </c>
      <c r="E378" s="14">
        <f>if(countif(Scores!B381:AX381,B378)=1,F378,-1)</f>
        <v>159</v>
      </c>
      <c r="F378" s="14">
        <f t="shared" si="1"/>
        <v>159</v>
      </c>
      <c r="G378" s="14">
        <f>IFERROR(__xludf.DUMMYFUNCTION("if(iferror(small(filter(Scores!B381:AX381,Scores!B381:AX381&gt;0),2),-1)&lt;&gt;F378,iferror(small(filter(Scores!B381:AX381,Scores!B381:AX381&gt;0),2),-1),-1)"),164.0)</f>
        <v>164</v>
      </c>
      <c r="H378" s="14">
        <f>IFERROR(__xludf.DUMMYFUNCTION("if(iferror(small(filter(Scores!B381:AX381,Scores!B381:AX381&gt;0),3),-1)&lt;&gt;iferror(small(filter(Scores!B381:AX381,Scores!B381:AX381&gt;0),2),-1),iferror(small(filter(Scores!B381:AX381,Scores!B381:AX381&gt;0),3),-1),-1)"),208.0)</f>
        <v>208</v>
      </c>
      <c r="I378" s="14">
        <f>IFERROR(__xludf.DUMMYFUNCTION("IFERROR(COLUMNS(filter(Scores!B381:AE381,Scores!B381:AE381)),"""")"),34.0)</f>
        <v>34</v>
      </c>
      <c r="J378" s="14">
        <f>COUNTIF(Scores!B381:AX381,B378)</f>
        <v>1</v>
      </c>
      <c r="K378" s="21">
        <f>IFERROR(__xludf.DUMMYFUNCTION("""COMPUTED_VALUE"""),370.0)</f>
        <v>370</v>
      </c>
      <c r="L378" s="36"/>
      <c r="S378" s="21">
        <v>23.0</v>
      </c>
      <c r="T378" s="14">
        <v>182.0</v>
      </c>
      <c r="U378" s="14">
        <v>2318.0</v>
      </c>
      <c r="W378" s="21">
        <v>142.0</v>
      </c>
      <c r="X378" s="14">
        <v>40.0</v>
      </c>
      <c r="Y378" s="14">
        <v>2460.0</v>
      </c>
      <c r="AA378" s="21">
        <v>164.0</v>
      </c>
      <c r="AB378" s="14">
        <v>45.0</v>
      </c>
      <c r="AC378" s="14">
        <v>32.0</v>
      </c>
    </row>
    <row r="379">
      <c r="A379" s="27">
        <f>HYPERLINK("https://arcprize.org/play?task=e9614598", 371)</f>
        <v>371</v>
      </c>
      <c r="B379" s="14">
        <f>IFERROR(__xludf.DUMMYFUNCTION("min(filter(Scores!B382:AX382,Scores!B382:AX382&gt;0))"),102.0)</f>
        <v>102</v>
      </c>
      <c r="C379" s="14">
        <v>2398.0</v>
      </c>
      <c r="D379" s="51" t="str">
        <f t="array" ref="D379">if(B379,if(countif(Scores!B382:AX382,B379)=1,concat("💎",XLOOKUP(B379,Scores!B382:AX382,Scores!B$1:AX$1)),concat("🥇 x",countif(Scores!B382:AX382,B379))),"")</f>
        <v>💎Code Golf International</v>
      </c>
      <c r="E379" s="14">
        <f>if(countif(Scores!B382:AX382,B379)=1,F379,-1)</f>
        <v>102</v>
      </c>
      <c r="F379" s="14">
        <f t="shared" si="1"/>
        <v>102</v>
      </c>
      <c r="G379" s="14">
        <f>IFERROR(__xludf.DUMMYFUNCTION("if(iferror(small(filter(Scores!B382:AX382,Scores!B382:AX382&gt;0),2),-1)&lt;&gt;F379,iferror(small(filter(Scores!B382:AX382,Scores!B382:AX382&gt;0),2),-1),-1)"),109.0)</f>
        <v>109</v>
      </c>
      <c r="H379" s="14">
        <f>IFERROR(__xludf.DUMMYFUNCTION("if(iferror(small(filter(Scores!B382:AX382,Scores!B382:AX382&gt;0),3),-1)&lt;&gt;iferror(small(filter(Scores!B382:AX382,Scores!B382:AX382&gt;0),2),-1),iferror(small(filter(Scores!B382:AX382,Scores!B382:AX382&gt;0),3),-1),-1)"),-1.0)</f>
        <v>-1</v>
      </c>
      <c r="I379" s="14">
        <f>IFERROR(__xludf.DUMMYFUNCTION("IFERROR(COLUMNS(filter(Scores!B382:AE382,Scores!B382:AE382)),"""")"),39.0)</f>
        <v>39</v>
      </c>
      <c r="J379" s="14">
        <f>COUNTIF(Scores!B382:AX382,B379)</f>
        <v>1</v>
      </c>
      <c r="K379" s="21">
        <f>IFERROR(__xludf.DUMMYFUNCTION("""COMPUTED_VALUE"""),371.0)</f>
        <v>371</v>
      </c>
      <c r="L379" s="36"/>
      <c r="S379" s="21">
        <v>361.0</v>
      </c>
      <c r="T379" s="14">
        <v>185.0</v>
      </c>
      <c r="U379" s="14">
        <v>2315.0</v>
      </c>
      <c r="W379" s="21">
        <v>32.0</v>
      </c>
      <c r="X379" s="14">
        <v>39.0</v>
      </c>
      <c r="Y379" s="14">
        <v>2461.0</v>
      </c>
      <c r="AA379" s="21">
        <v>311.0</v>
      </c>
      <c r="AB379" s="14">
        <v>45.0</v>
      </c>
      <c r="AC379" s="14">
        <v>32.0</v>
      </c>
    </row>
    <row r="380">
      <c r="A380" s="27">
        <f>HYPERLINK("https://arcprize.org/play?task=e98196ab", 372)</f>
        <v>372</v>
      </c>
      <c r="B380" s="14">
        <f>IFERROR(__xludf.DUMMYFUNCTION("min(filter(Scores!B383:AX383,Scores!B383:AX383&gt;0))"),47.0)</f>
        <v>47</v>
      </c>
      <c r="C380" s="14">
        <v>2453.0</v>
      </c>
      <c r="D380" s="51" t="str">
        <f t="array" ref="D380">if(B380,if(countif(Scores!B383:AX383,B380)=1,concat("💎",XLOOKUP(B380,Scores!B383:AX383,Scores!B$1:AX$1)),concat("🥇 x",countif(Scores!B383:AX383,B380))),"")</f>
        <v>🥇 x3</v>
      </c>
      <c r="E380" s="14">
        <f>if(countif(Scores!B383:AX383,B380)=1,F380,-1)</f>
        <v>-1</v>
      </c>
      <c r="F380" s="14">
        <f t="shared" si="1"/>
        <v>47</v>
      </c>
      <c r="G380" s="14">
        <f>IFERROR(__xludf.DUMMYFUNCTION("if(iferror(small(filter(Scores!B383:AX383,Scores!B383:AX383&gt;0),2),-1)&lt;&gt;F380,iferror(small(filter(Scores!B383:AX383,Scores!B383:AX383&gt;0),2),-1),-1)"),-1.0)</f>
        <v>-1</v>
      </c>
      <c r="H380" s="14">
        <f>IFERROR(__xludf.DUMMYFUNCTION("if(iferror(small(filter(Scores!B383:AX383,Scores!B383:AX383&gt;0),3),-1)&lt;&gt;iferror(small(filter(Scores!B383:AX383,Scores!B383:AX383&gt;0),2),-1),iferror(small(filter(Scores!B383:AX383,Scores!B383:AX383&gt;0),3),-1),-1)"),-1.0)</f>
        <v>-1</v>
      </c>
      <c r="I380" s="14">
        <f>IFERROR(__xludf.DUMMYFUNCTION("IFERROR(COLUMNS(filter(Scores!B383:AE383,Scores!B383:AE383)),"""")"),45.0)</f>
        <v>45</v>
      </c>
      <c r="J380" s="14">
        <f>COUNTIF(Scores!B383:AX383,B380)</f>
        <v>3</v>
      </c>
      <c r="K380" s="21">
        <f>IFERROR(__xludf.DUMMYFUNCTION("""COMPUTED_VALUE"""),372.0)</f>
        <v>372</v>
      </c>
      <c r="L380" s="36"/>
      <c r="S380" s="21">
        <v>201.0</v>
      </c>
      <c r="T380" s="14">
        <v>187.0</v>
      </c>
      <c r="U380" s="14">
        <v>2313.0</v>
      </c>
      <c r="W380" s="21">
        <v>56.0</v>
      </c>
      <c r="X380" s="14">
        <v>39.0</v>
      </c>
      <c r="Y380" s="14">
        <v>2461.0</v>
      </c>
      <c r="AA380" s="21">
        <v>301.0</v>
      </c>
      <c r="AB380" s="14">
        <v>45.0</v>
      </c>
      <c r="AC380" s="14">
        <v>31.0</v>
      </c>
    </row>
    <row r="381">
      <c r="A381" s="27">
        <f>HYPERLINK("https://arcprize.org/play?task=e9afcf9a", 373)</f>
        <v>373</v>
      </c>
      <c r="B381" s="14">
        <f>IFERROR(__xludf.DUMMYFUNCTION("min(filter(Scores!B384:AX384,Scores!B384:AX384&gt;0))"),38.0)</f>
        <v>38</v>
      </c>
      <c r="C381" s="14">
        <v>2462.0</v>
      </c>
      <c r="D381" s="51" t="str">
        <f t="array" ref="D381">if(B381,if(countif(Scores!B384:AX384,B381)=1,concat("💎",XLOOKUP(B381,Scores!B384:AX384,Scores!B$1:AX$1)),concat("🥇 x",countif(Scores!B384:AX384,B381))),"")</f>
        <v>🥇 x8</v>
      </c>
      <c r="E381" s="14">
        <f>if(countif(Scores!B384:AX384,B381)=1,F381,-1)</f>
        <v>-1</v>
      </c>
      <c r="F381" s="14">
        <f t="shared" si="1"/>
        <v>38</v>
      </c>
      <c r="G381" s="14">
        <f>IFERROR(__xludf.DUMMYFUNCTION("if(iferror(small(filter(Scores!B384:AX384,Scores!B384:AX384&gt;0),2),-1)&lt;&gt;F381,iferror(small(filter(Scores!B384:AX384,Scores!B384:AX384&gt;0),2),-1),-1)"),-1.0)</f>
        <v>-1</v>
      </c>
      <c r="H381" s="14">
        <f>IFERROR(__xludf.DUMMYFUNCTION("if(iferror(small(filter(Scores!B384:AX384,Scores!B384:AX384&gt;0),3),-1)&lt;&gt;iferror(small(filter(Scores!B384:AX384,Scores!B384:AX384&gt;0),2),-1),iferror(small(filter(Scores!B384:AX384,Scores!B384:AX384&gt;0),3),-1),-1)"),-1.0)</f>
        <v>-1</v>
      </c>
      <c r="I381" s="14">
        <f>IFERROR(__xludf.DUMMYFUNCTION("IFERROR(COLUMNS(filter(Scores!B384:AE384,Scores!B384:AE384)),"""")"),44.0)</f>
        <v>44</v>
      </c>
      <c r="J381" s="14">
        <f>COUNTIF(Scores!B384:AX384,B381)</f>
        <v>8</v>
      </c>
      <c r="K381" s="21">
        <f>IFERROR(__xludf.DUMMYFUNCTION("""COMPUTED_VALUE"""),373.0)</f>
        <v>373</v>
      </c>
      <c r="L381" s="36"/>
      <c r="S381" s="21">
        <v>268.0</v>
      </c>
      <c r="T381" s="14">
        <v>190.0</v>
      </c>
      <c r="U381" s="14">
        <v>2310.0</v>
      </c>
      <c r="W381" s="21">
        <v>152.0</v>
      </c>
      <c r="X381" s="14">
        <v>39.0</v>
      </c>
      <c r="Y381" s="14">
        <v>2461.0</v>
      </c>
      <c r="AA381" s="21">
        <v>150.0</v>
      </c>
      <c r="AB381" s="14">
        <v>45.0</v>
      </c>
      <c r="AC381" s="14">
        <v>30.0</v>
      </c>
    </row>
    <row r="382">
      <c r="A382" s="27">
        <f>HYPERLINK("https://arcprize.org/play?task=ea32f347", 374)</f>
        <v>374</v>
      </c>
      <c r="B382" s="14">
        <f>IFERROR(__xludf.DUMMYFUNCTION("min(filter(Scores!B385:AX385,Scores!B385:AX385&gt;0))"),103.0)</f>
        <v>103</v>
      </c>
      <c r="C382" s="14">
        <v>2397.0</v>
      </c>
      <c r="D382" s="51" t="str">
        <f t="array" ref="D382">if(B382,if(countif(Scores!B385:AX385,B382)=1,concat("💎",XLOOKUP(B382,Scores!B385:AX385,Scores!B$1:AX$1)),concat("🥇 x",countif(Scores!B385:AX385,B382))),"")</f>
        <v>💎Code Golf International</v>
      </c>
      <c r="E382" s="14">
        <f>if(countif(Scores!B385:AX385,B382)=1,F382,-1)</f>
        <v>103</v>
      </c>
      <c r="F382" s="14">
        <f t="shared" si="1"/>
        <v>103</v>
      </c>
      <c r="G382" s="14">
        <f>IFERROR(__xludf.DUMMYFUNCTION("if(iferror(small(filter(Scores!B385:AX385,Scores!B385:AX385&gt;0),2),-1)&lt;&gt;F382,iferror(small(filter(Scores!B385:AX385,Scores!B385:AX385&gt;0),2),-1),-1)"),106.0)</f>
        <v>106</v>
      </c>
      <c r="H382" s="14">
        <f>IFERROR(__xludf.DUMMYFUNCTION("if(iferror(small(filter(Scores!B385:AX385,Scores!B385:AX385&gt;0),3),-1)&lt;&gt;iferror(small(filter(Scores!B385:AX385,Scores!B385:AX385&gt;0),2),-1),iferror(small(filter(Scores!B385:AX385,Scores!B385:AX385&gt;0),3),-1),-1)"),-1.0)</f>
        <v>-1</v>
      </c>
      <c r="I382" s="14">
        <f>IFERROR(__xludf.DUMMYFUNCTION("IFERROR(COLUMNS(filter(Scores!B385:AE385,Scores!B385:AE385)),"""")"),36.0)</f>
        <v>36</v>
      </c>
      <c r="J382" s="14">
        <f>COUNTIF(Scores!B385:AX385,B382)</f>
        <v>1</v>
      </c>
      <c r="K382" s="21">
        <f>IFERROR(__xludf.DUMMYFUNCTION("""COMPUTED_VALUE"""),374.0)</f>
        <v>374</v>
      </c>
      <c r="L382" s="36"/>
      <c r="S382" s="21">
        <v>308.0</v>
      </c>
      <c r="T382" s="14">
        <v>192.0</v>
      </c>
      <c r="U382" s="14">
        <v>2308.0</v>
      </c>
      <c r="W382" s="21">
        <v>262.0</v>
      </c>
      <c r="X382" s="14">
        <v>39.0</v>
      </c>
      <c r="Y382" s="14">
        <v>2461.0</v>
      </c>
      <c r="AA382" s="21">
        <v>376.0</v>
      </c>
      <c r="AB382" s="14">
        <v>45.0</v>
      </c>
      <c r="AC382" s="14">
        <v>30.0</v>
      </c>
    </row>
    <row r="383">
      <c r="A383" s="27">
        <f>HYPERLINK("https://arcprize.org/play?task=ea786f4a", 375)</f>
        <v>375</v>
      </c>
      <c r="B383" s="14">
        <f>IFERROR(__xludf.DUMMYFUNCTION("min(filter(Scores!B386:AX386,Scores!B386:AX386&gt;0))"),53.0)</f>
        <v>53</v>
      </c>
      <c r="C383" s="14">
        <v>2447.0</v>
      </c>
      <c r="D383" s="51" t="str">
        <f t="array" ref="D383">if(B383,if(countif(Scores!B386:AX386,B383)=1,concat("💎",XLOOKUP(B383,Scores!B386:AX386,Scores!B$1:AX$1)),concat("🥇 x",countif(Scores!B386:AX386,B383))),"")</f>
        <v>🥇 x18</v>
      </c>
      <c r="E383" s="14">
        <f>if(countif(Scores!B386:AX386,B383)=1,F383,-1)</f>
        <v>-1</v>
      </c>
      <c r="F383" s="14">
        <f t="shared" si="1"/>
        <v>53</v>
      </c>
      <c r="G383" s="14">
        <f>IFERROR(__xludf.DUMMYFUNCTION("if(iferror(small(filter(Scores!B386:AX386,Scores!B386:AX386&gt;0),2),-1)&lt;&gt;F383,iferror(small(filter(Scores!B386:AX386,Scores!B386:AX386&gt;0),2),-1),-1)"),-1.0)</f>
        <v>-1</v>
      </c>
      <c r="H383" s="14">
        <f>IFERROR(__xludf.DUMMYFUNCTION("if(iferror(small(filter(Scores!B386:AX386,Scores!B386:AX386&gt;0),3),-1)&lt;&gt;iferror(small(filter(Scores!B386:AX386,Scores!B386:AX386&gt;0),2),-1),iferror(small(filter(Scores!B386:AX386,Scores!B386:AX386&gt;0),3),-1),-1)"),-1.0)</f>
        <v>-1</v>
      </c>
      <c r="I383" s="14">
        <f>IFERROR(__xludf.DUMMYFUNCTION("IFERROR(COLUMNS(filter(Scores!B386:AE386,Scores!B386:AE386)),"""")"),45.0)</f>
        <v>45</v>
      </c>
      <c r="J383" s="14">
        <f>COUNTIF(Scores!B386:AX386,B383)</f>
        <v>18</v>
      </c>
      <c r="K383" s="21">
        <f>IFERROR(__xludf.DUMMYFUNCTION("""COMPUTED_VALUE"""),375.0)</f>
        <v>375</v>
      </c>
      <c r="L383" s="36"/>
      <c r="S383" s="21">
        <v>387.0</v>
      </c>
      <c r="T383" s="14">
        <v>192.0</v>
      </c>
      <c r="U383" s="14">
        <v>2308.0</v>
      </c>
      <c r="W383" s="21">
        <v>373.0</v>
      </c>
      <c r="X383" s="14">
        <v>38.0</v>
      </c>
      <c r="Y383" s="14">
        <v>2462.0</v>
      </c>
      <c r="AA383" s="21">
        <v>380.0</v>
      </c>
      <c r="AB383" s="14">
        <v>45.0</v>
      </c>
      <c r="AC383" s="14">
        <v>27.0</v>
      </c>
    </row>
    <row r="384">
      <c r="A384" s="27">
        <f>HYPERLINK("https://arcprize.org/play?task=eb281b96", 376)</f>
        <v>376</v>
      </c>
      <c r="B384" s="14">
        <f>IFERROR(__xludf.DUMMYFUNCTION("min(filter(Scores!B387:AX387,Scores!B387:AX387&gt;0))"),30.0)</f>
        <v>30</v>
      </c>
      <c r="C384" s="14">
        <v>2470.0</v>
      </c>
      <c r="D384" s="51" t="str">
        <f t="array" ref="D384">if(B384,if(countif(Scores!B387:AX387,B384)=1,concat("💎",XLOOKUP(B384,Scores!B387:AX387,Scores!B$1:AX$1)),concat("🥇 x",countif(Scores!B387:AX387,B384))),"")</f>
        <v>🥇 x17</v>
      </c>
      <c r="E384" s="14">
        <f>if(countif(Scores!B387:AX387,B384)=1,F384,-1)</f>
        <v>-1</v>
      </c>
      <c r="F384" s="14">
        <f t="shared" si="1"/>
        <v>30</v>
      </c>
      <c r="G384" s="14">
        <f>IFERROR(__xludf.DUMMYFUNCTION("if(iferror(small(filter(Scores!B387:AX387,Scores!B387:AX387&gt;0),2),-1)&lt;&gt;F384,iferror(small(filter(Scores!B387:AX387,Scores!B387:AX387&gt;0),2),-1),-1)"),-1.0)</f>
        <v>-1</v>
      </c>
      <c r="H384" s="14">
        <f>IFERROR(__xludf.DUMMYFUNCTION("if(iferror(small(filter(Scores!B387:AX387,Scores!B387:AX387&gt;0),3),-1)&lt;&gt;iferror(small(filter(Scores!B387:AX387,Scores!B387:AX387&gt;0),2),-1),iferror(small(filter(Scores!B387:AX387,Scores!B387:AX387&gt;0),3),-1),-1)"),-1.0)</f>
        <v>-1</v>
      </c>
      <c r="I384" s="14">
        <f>IFERROR(__xludf.DUMMYFUNCTION("IFERROR(COLUMNS(filter(Scores!B387:AE387,Scores!B387:AE387)),"""")"),45.0)</f>
        <v>45</v>
      </c>
      <c r="J384" s="14">
        <f>COUNTIF(Scores!B387:AX387,B384)</f>
        <v>17</v>
      </c>
      <c r="K384" s="21">
        <f>IFERROR(__xludf.DUMMYFUNCTION("""COMPUTED_VALUE"""),376.0)</f>
        <v>376</v>
      </c>
      <c r="L384" s="36"/>
      <c r="S384" s="21">
        <v>319.0</v>
      </c>
      <c r="T384" s="14">
        <v>194.0</v>
      </c>
      <c r="U384" s="14">
        <v>2306.0</v>
      </c>
      <c r="W384" s="21">
        <v>276.0</v>
      </c>
      <c r="X384" s="14">
        <v>37.0</v>
      </c>
      <c r="Y384" s="14">
        <v>2463.0</v>
      </c>
      <c r="AA384" s="21">
        <v>113.0</v>
      </c>
      <c r="AB384" s="14">
        <v>45.0</v>
      </c>
      <c r="AC384" s="14">
        <v>25.0</v>
      </c>
    </row>
    <row r="385">
      <c r="A385" s="27">
        <f>HYPERLINK("https://arcprize.org/play?task=eb5a1d5d", 377)</f>
        <v>377</v>
      </c>
      <c r="B385" s="14">
        <f>IFERROR(__xludf.DUMMYFUNCTION("min(filter(Scores!B388:AX388,Scores!B388:AX388&gt;0))"),55.0)</f>
        <v>55</v>
      </c>
      <c r="C385" s="14">
        <v>2445.0</v>
      </c>
      <c r="D385" s="51" t="str">
        <f t="array" ref="D385">if(B385,if(countif(Scores!B388:AX388,B385)=1,concat("💎",XLOOKUP(B385,Scores!B388:AX388,Scores!B$1:AX$1)),concat("🥇 x",countif(Scores!B388:AX388,B385))),"")</f>
        <v>🥇 x5</v>
      </c>
      <c r="E385" s="14">
        <f>if(countif(Scores!B388:AX388,B385)=1,F385,-1)</f>
        <v>-1</v>
      </c>
      <c r="F385" s="14">
        <f t="shared" si="1"/>
        <v>55</v>
      </c>
      <c r="G385" s="14">
        <f>IFERROR(__xludf.DUMMYFUNCTION("if(iferror(small(filter(Scores!B388:AX388,Scores!B388:AX388&gt;0),2),-1)&lt;&gt;F385,iferror(small(filter(Scores!B388:AX388,Scores!B388:AX388&gt;0),2),-1),-1)"),-1.0)</f>
        <v>-1</v>
      </c>
      <c r="H385" s="14">
        <f>IFERROR(__xludf.DUMMYFUNCTION("if(iferror(small(filter(Scores!B388:AX388,Scores!B388:AX388&gt;0),3),-1)&lt;&gt;iferror(small(filter(Scores!B388:AX388,Scores!B388:AX388&gt;0),2),-1),iferror(small(filter(Scores!B388:AX388,Scores!B388:AX388&gt;0),3),-1),-1)"),-1.0)</f>
        <v>-1</v>
      </c>
      <c r="I385" s="14">
        <f>IFERROR(__xludf.DUMMYFUNCTION("IFERROR(COLUMNS(filter(Scores!B388:AE388,Scores!B388:AE388)),"""")"),39.0)</f>
        <v>39</v>
      </c>
      <c r="J385" s="14">
        <f>COUNTIF(Scores!B388:AX388,B385)</f>
        <v>5</v>
      </c>
      <c r="K385" s="21">
        <f>IFERROR(__xludf.DUMMYFUNCTION("""COMPUTED_VALUE"""),377.0)</f>
        <v>377</v>
      </c>
      <c r="L385" s="36"/>
      <c r="S385" s="21">
        <v>44.0</v>
      </c>
      <c r="T385" s="14">
        <v>195.0</v>
      </c>
      <c r="U385" s="14">
        <v>2305.0</v>
      </c>
      <c r="W385" s="21">
        <v>339.0</v>
      </c>
      <c r="X385" s="14">
        <v>37.0</v>
      </c>
      <c r="Y385" s="14">
        <v>2463.0</v>
      </c>
      <c r="AA385" s="21">
        <v>179.0</v>
      </c>
      <c r="AB385" s="14">
        <v>45.0</v>
      </c>
      <c r="AC385" s="14">
        <v>21.0</v>
      </c>
    </row>
    <row r="386">
      <c r="A386" s="27">
        <f>HYPERLINK("https://arcprize.org/play?task=ec883f72", 378)</f>
        <v>378</v>
      </c>
      <c r="B386" s="14">
        <f>IFERROR(__xludf.DUMMYFUNCTION("min(filter(Scores!B389:AX389,Scores!B389:AX389&gt;0))"),131.0)</f>
        <v>131</v>
      </c>
      <c r="C386" s="14">
        <v>2369.0</v>
      </c>
      <c r="D386" s="51" t="str">
        <f t="array" ref="D386">if(B386,if(countif(Scores!B389:AX389,B386)=1,concat("💎",XLOOKUP(B386,Scores!B389:AX389,Scores!B$1:AX$1)),concat("🥇 x",countif(Scores!B389:AX389,B386))),"")</f>
        <v>💎jailctf merger</v>
      </c>
      <c r="E386" s="14">
        <f>if(countif(Scores!B389:AX389,B386)=1,F386,-1)</f>
        <v>131</v>
      </c>
      <c r="F386" s="14">
        <f t="shared" si="1"/>
        <v>131</v>
      </c>
      <c r="G386" s="14">
        <f>IFERROR(__xludf.DUMMYFUNCTION("if(iferror(small(filter(Scores!B389:AX389,Scores!B389:AX389&gt;0),2),-1)&lt;&gt;F386,iferror(small(filter(Scores!B389:AX389,Scores!B389:AX389&gt;0),2),-1),-1)"),138.0)</f>
        <v>138</v>
      </c>
      <c r="H386" s="14">
        <f>IFERROR(__xludf.DUMMYFUNCTION("if(iferror(small(filter(Scores!B389:AX389,Scores!B389:AX389&gt;0),3),-1)&lt;&gt;iferror(small(filter(Scores!B389:AX389,Scores!B389:AX389&gt;0),2),-1),iferror(small(filter(Scores!B389:AX389,Scores!B389:AX389&gt;0),3),-1),-1)"),140.0)</f>
        <v>140</v>
      </c>
      <c r="I386" s="14">
        <f>IFERROR(__xludf.DUMMYFUNCTION("IFERROR(COLUMNS(filter(Scores!B389:AE389,Scores!B389:AE389)),"""")"),37.0)</f>
        <v>37</v>
      </c>
      <c r="J386" s="14">
        <f>COUNTIF(Scores!B389:AX389,B386)</f>
        <v>1</v>
      </c>
      <c r="K386" s="21">
        <f>IFERROR(__xludf.DUMMYFUNCTION("""COMPUTED_VALUE"""),378.0)</f>
        <v>378</v>
      </c>
      <c r="L386" s="36"/>
      <c r="S386" s="21">
        <v>238.0</v>
      </c>
      <c r="T386" s="14">
        <v>195.0</v>
      </c>
      <c r="U386" s="14">
        <v>2305.0</v>
      </c>
      <c r="W386" s="21">
        <v>87.0</v>
      </c>
      <c r="X386" s="14">
        <v>36.0</v>
      </c>
      <c r="Y386" s="14">
        <v>2464.0</v>
      </c>
      <c r="AA386" s="21">
        <v>116.0</v>
      </c>
      <c r="AB386" s="14">
        <v>45.0</v>
      </c>
      <c r="AC386" s="14">
        <v>20.0</v>
      </c>
    </row>
    <row r="387">
      <c r="A387" s="27">
        <f>HYPERLINK("https://arcprize.org/play?task=ecdecbb3", 379)</f>
        <v>379</v>
      </c>
      <c r="B387" s="14">
        <f>IFERROR(__xludf.DUMMYFUNCTION("min(filter(Scores!B390:AX390,Scores!B390:AX390&gt;0))"),135.0)</f>
        <v>135</v>
      </c>
      <c r="C387" s="14">
        <v>2365.0</v>
      </c>
      <c r="D387" s="51" t="str">
        <f t="array" ref="D387">if(B387,if(countif(Scores!B390:AX390,B387)=1,concat("💎",XLOOKUP(B387,Scores!B390:AX390,Scores!B$1:AX$1)),concat("🥇 x",countif(Scores!B390:AX390,B387))),"")</f>
        <v>💎jailctf merger</v>
      </c>
      <c r="E387" s="14">
        <f>if(countif(Scores!B390:AX390,B387)=1,F387,-1)</f>
        <v>135</v>
      </c>
      <c r="F387" s="14">
        <f t="shared" si="1"/>
        <v>135</v>
      </c>
      <c r="G387" s="14">
        <f>IFERROR(__xludf.DUMMYFUNCTION("if(iferror(small(filter(Scores!B390:AX390,Scores!B390:AX390&gt;0),2),-1)&lt;&gt;F387,iferror(small(filter(Scores!B390:AX390,Scores!B390:AX390&gt;0),2),-1),-1)"),137.0)</f>
        <v>137</v>
      </c>
      <c r="H387" s="14">
        <f>IFERROR(__xludf.DUMMYFUNCTION("if(iferror(small(filter(Scores!B390:AX390,Scores!B390:AX390&gt;0),3),-1)&lt;&gt;iferror(small(filter(Scores!B390:AX390,Scores!B390:AX390&gt;0),2),-1),iferror(small(filter(Scores!B390:AX390,Scores!B390:AX390&gt;0),3),-1),-1)"),-1.0)</f>
        <v>-1</v>
      </c>
      <c r="I387" s="14">
        <f>IFERROR(__xludf.DUMMYFUNCTION("IFERROR(COLUMNS(filter(Scores!B390:AE390,Scores!B390:AE390)),"""")"),36.0)</f>
        <v>36</v>
      </c>
      <c r="J387" s="14">
        <f>COUNTIF(Scores!B390:AX390,B387)</f>
        <v>1</v>
      </c>
      <c r="K387" s="21">
        <f>IFERROR(__xludf.DUMMYFUNCTION("""COMPUTED_VALUE"""),379.0)</f>
        <v>379</v>
      </c>
      <c r="L387" s="36"/>
      <c r="S387" s="21">
        <v>284.0</v>
      </c>
      <c r="T387" s="14">
        <v>195.0</v>
      </c>
      <c r="U387" s="14">
        <v>2305.0</v>
      </c>
      <c r="W387" s="21">
        <v>140.0</v>
      </c>
      <c r="X387" s="14">
        <v>36.0</v>
      </c>
      <c r="Y387" s="14">
        <v>2464.0</v>
      </c>
      <c r="AA387" s="21">
        <v>172.0</v>
      </c>
      <c r="AB387" s="14">
        <v>45.0</v>
      </c>
      <c r="AC387" s="14">
        <v>20.0</v>
      </c>
    </row>
    <row r="388">
      <c r="A388" s="27">
        <f>HYPERLINK("https://arcprize.org/play?task=ed36ccf7", 380)</f>
        <v>380</v>
      </c>
      <c r="B388" s="14">
        <f>IFERROR(__xludf.DUMMYFUNCTION("min(filter(Scores!B391:AX391,Scores!B391:AX391&gt;0))"),27.0)</f>
        <v>27</v>
      </c>
      <c r="C388" s="14">
        <v>2473.0</v>
      </c>
      <c r="D388" s="51" t="str">
        <f t="array" ref="D388">if(B388,if(countif(Scores!B391:AX391,B388)=1,concat("💎",XLOOKUP(B388,Scores!B391:AX391,Scores!B$1:AX$1)),concat("🥇 x",countif(Scores!B391:AX391,B388))),"")</f>
        <v>🥇 x36</v>
      </c>
      <c r="E388" s="14">
        <f>if(countif(Scores!B391:AX391,B388)=1,F388,-1)</f>
        <v>-1</v>
      </c>
      <c r="F388" s="14">
        <f t="shared" si="1"/>
        <v>27</v>
      </c>
      <c r="G388" s="14">
        <f>IFERROR(__xludf.DUMMYFUNCTION("if(iferror(small(filter(Scores!B391:AX391,Scores!B391:AX391&gt;0),2),-1)&lt;&gt;F388,iferror(small(filter(Scores!B391:AX391,Scores!B391:AX391&gt;0),2),-1),-1)"),-1.0)</f>
        <v>-1</v>
      </c>
      <c r="H388" s="14">
        <f>IFERROR(__xludf.DUMMYFUNCTION("if(iferror(small(filter(Scores!B391:AX391,Scores!B391:AX391&gt;0),3),-1)&lt;&gt;iferror(small(filter(Scores!B391:AX391,Scores!B391:AX391&gt;0),2),-1),iferror(small(filter(Scores!B391:AX391,Scores!B391:AX391&gt;0),3),-1),-1)"),-1.0)</f>
        <v>-1</v>
      </c>
      <c r="I388" s="14">
        <f>IFERROR(__xludf.DUMMYFUNCTION("IFERROR(COLUMNS(filter(Scores!B391:AE391,Scores!B391:AE391)),"""")"),45.0)</f>
        <v>45</v>
      </c>
      <c r="J388" s="14">
        <f>COUNTIF(Scores!B391:AX391,B388)</f>
        <v>36</v>
      </c>
      <c r="K388" s="21">
        <f>IFERROR(__xludf.DUMMYFUNCTION("""COMPUTED_VALUE"""),380.0)</f>
        <v>380</v>
      </c>
      <c r="L388" s="36"/>
      <c r="S388" s="21">
        <v>173.0</v>
      </c>
      <c r="T388" s="14">
        <v>201.0</v>
      </c>
      <c r="U388" s="14">
        <v>2299.0</v>
      </c>
      <c r="W388" s="21">
        <v>309.0</v>
      </c>
      <c r="X388" s="14">
        <v>36.0</v>
      </c>
      <c r="Y388" s="14">
        <v>2464.0</v>
      </c>
      <c r="AA388" s="21">
        <v>210.0</v>
      </c>
      <c r="AB388" s="14">
        <v>45.0</v>
      </c>
      <c r="AC388" s="14">
        <v>20.0</v>
      </c>
    </row>
    <row r="389">
      <c r="A389" s="27">
        <f>HYPERLINK("https://arcprize.org/play?task=ef135b50", 381)</f>
        <v>381</v>
      </c>
      <c r="B389" s="14">
        <f>IFERROR(__xludf.DUMMYFUNCTION("min(filter(Scores!B392:AX392,Scores!B392:AX392&gt;0))"),79.0)</f>
        <v>79</v>
      </c>
      <c r="C389" s="14">
        <v>2421.0</v>
      </c>
      <c r="D389" s="51" t="str">
        <f t="array" ref="D389">if(B389,if(countif(Scores!B392:AX392,B389)=1,concat("💎",XLOOKUP(B389,Scores!B392:AX392,Scores!B$1:AX$1)),concat("🥇 x",countif(Scores!B392:AX392,B389))),"")</f>
        <v>🥇 x3</v>
      </c>
      <c r="E389" s="14">
        <f>if(countif(Scores!B392:AX392,B389)=1,F389,-1)</f>
        <v>-1</v>
      </c>
      <c r="F389" s="14">
        <f t="shared" si="1"/>
        <v>79</v>
      </c>
      <c r="G389" s="14">
        <f>IFERROR(__xludf.DUMMYFUNCTION("if(iferror(small(filter(Scores!B392:AX392,Scores!B392:AX392&gt;0),2),-1)&lt;&gt;F389,iferror(small(filter(Scores!B392:AX392,Scores!B392:AX392&gt;0),2),-1),-1)"),-1.0)</f>
        <v>-1</v>
      </c>
      <c r="H389" s="14">
        <f>IFERROR(__xludf.DUMMYFUNCTION("if(iferror(small(filter(Scores!B392:AX392,Scores!B392:AX392&gt;0),3),-1)&lt;&gt;iferror(small(filter(Scores!B392:AX392,Scores!B392:AX392&gt;0),2),-1),iferror(small(filter(Scores!B392:AX392,Scores!B392:AX392&gt;0),3),-1),-1)"),-1.0)</f>
        <v>-1</v>
      </c>
      <c r="I389" s="14">
        <f>IFERROR(__xludf.DUMMYFUNCTION("IFERROR(COLUMNS(filter(Scores!B392:AE392,Scores!B392:AE392)),"""")"),39.0)</f>
        <v>39</v>
      </c>
      <c r="J389" s="14">
        <f>COUNTIF(Scores!B392:AX392,B389)</f>
        <v>3</v>
      </c>
      <c r="K389" s="21">
        <f>IFERROR(__xludf.DUMMYFUNCTION("""COMPUTED_VALUE"""),381.0)</f>
        <v>381</v>
      </c>
      <c r="L389" s="36"/>
      <c r="S389" s="21">
        <v>255.0</v>
      </c>
      <c r="T389" s="14">
        <v>212.0</v>
      </c>
      <c r="U389" s="14">
        <v>2288.0</v>
      </c>
      <c r="W389" s="21">
        <v>67.0</v>
      </c>
      <c r="X389" s="14">
        <v>33.0</v>
      </c>
      <c r="Y389" s="14">
        <v>2467.0</v>
      </c>
      <c r="AA389" s="21">
        <v>155.0</v>
      </c>
      <c r="AB389" s="14">
        <v>45.0</v>
      </c>
      <c r="AC389" s="14">
        <v>18.0</v>
      </c>
    </row>
    <row r="390">
      <c r="A390" s="27">
        <f>HYPERLINK("https://arcprize.org/play?task=f15e1fac", 382)</f>
        <v>382</v>
      </c>
      <c r="B390" s="14">
        <f>IFERROR(__xludf.DUMMYFUNCTION("min(filter(Scores!B393:AX393,Scores!B393:AX393&gt;0))"),124.0)</f>
        <v>124</v>
      </c>
      <c r="C390" s="14">
        <v>2376.0</v>
      </c>
      <c r="D390" s="51" t="str">
        <f t="array" ref="D390">if(B390,if(countif(Scores!B393:AX393,B390)=1,concat("💎",XLOOKUP(B390,Scores!B393:AX393,Scores!B$1:AX$1)),concat("🥇 x",countif(Scores!B393:AX393,B390))),"")</f>
        <v>💎ox jam</v>
      </c>
      <c r="E390" s="14">
        <f>if(countif(Scores!B393:AX393,B390)=1,F390,-1)</f>
        <v>124</v>
      </c>
      <c r="F390" s="14">
        <f t="shared" si="1"/>
        <v>124</v>
      </c>
      <c r="G390" s="14">
        <f>IFERROR(__xludf.DUMMYFUNCTION("if(iferror(small(filter(Scores!B393:AX393,Scores!B393:AX393&gt;0),2),-1)&lt;&gt;F390,iferror(small(filter(Scores!B393:AX393,Scores!B393:AX393&gt;0),2),-1),-1)"),129.0)</f>
        <v>129</v>
      </c>
      <c r="H390" s="14">
        <f>IFERROR(__xludf.DUMMYFUNCTION("if(iferror(small(filter(Scores!B393:AX393,Scores!B393:AX393&gt;0),3),-1)&lt;&gt;iferror(small(filter(Scores!B393:AX393,Scores!B393:AX393&gt;0),2),-1),iferror(small(filter(Scores!B393:AX393,Scores!B393:AX393&gt;0),3),-1),-1)"),133.0)</f>
        <v>133</v>
      </c>
      <c r="I390" s="14">
        <f>IFERROR(__xludf.DUMMYFUNCTION("IFERROR(COLUMNS(filter(Scores!B393:AE393,Scores!B393:AE393)),"""")"),34.0)</f>
        <v>34</v>
      </c>
      <c r="J390" s="14">
        <f>COUNTIF(Scores!B393:AX393,B390)</f>
        <v>1</v>
      </c>
      <c r="K390" s="21">
        <f>IFERROR(__xludf.DUMMYFUNCTION("""COMPUTED_VALUE"""),382.0)</f>
        <v>382</v>
      </c>
      <c r="L390" s="36"/>
      <c r="S390" s="21">
        <v>324.0</v>
      </c>
      <c r="T390" s="14">
        <v>216.0</v>
      </c>
      <c r="U390" s="14">
        <v>2284.0</v>
      </c>
      <c r="W390" s="21">
        <v>135.0</v>
      </c>
      <c r="X390" s="14">
        <v>32.0</v>
      </c>
      <c r="Y390" s="14">
        <v>2468.0</v>
      </c>
      <c r="AA390" s="21">
        <v>3.0</v>
      </c>
      <c r="AB390" s="14">
        <v>46.0</v>
      </c>
      <c r="AC390" s="14">
        <v>58.0</v>
      </c>
    </row>
    <row r="391">
      <c r="A391" s="27">
        <f>HYPERLINK("https://arcprize.org/play?task=f1cefba8", 383)</f>
        <v>383</v>
      </c>
      <c r="B391" s="14">
        <f>IFERROR(__xludf.DUMMYFUNCTION("min(filter(Scores!B394:AX394,Scores!B394:AX394&gt;0))"),120.0)</f>
        <v>120</v>
      </c>
      <c r="C391" s="14">
        <v>2380.0</v>
      </c>
      <c r="D391" s="51" t="str">
        <f t="array" ref="D391">if(B391,if(countif(Scores!B394:AX394,B391)=1,concat("💎",XLOOKUP(B391,Scores!B394:AX394,Scores!B$1:AX$1)),concat("🥇 x",countif(Scores!B394:AX394,B391))),"")</f>
        <v>💎jailctf merger</v>
      </c>
      <c r="E391" s="14">
        <f>if(countif(Scores!B394:AX394,B391)=1,F391,-1)</f>
        <v>120</v>
      </c>
      <c r="F391" s="14">
        <f t="shared" si="1"/>
        <v>120</v>
      </c>
      <c r="G391" s="14">
        <f>IFERROR(__xludf.DUMMYFUNCTION("if(iferror(small(filter(Scores!B394:AX394,Scores!B394:AX394&gt;0),2),-1)&lt;&gt;F391,iferror(small(filter(Scores!B394:AX394,Scores!B394:AX394&gt;0),2),-1),-1)"),121.0)</f>
        <v>121</v>
      </c>
      <c r="H391" s="14">
        <f>IFERROR(__xludf.DUMMYFUNCTION("if(iferror(small(filter(Scores!B394:AX394,Scores!B394:AX394&gt;0),3),-1)&lt;&gt;iferror(small(filter(Scores!B394:AX394,Scores!B394:AX394&gt;0),2),-1),iferror(small(filter(Scores!B394:AX394,Scores!B394:AX394&gt;0),3),-1),-1)"),-1.0)</f>
        <v>-1</v>
      </c>
      <c r="I391" s="14">
        <f>IFERROR(__xludf.DUMMYFUNCTION("IFERROR(COLUMNS(filter(Scores!B394:AE394,Scores!B394:AE394)),"""")"),34.0)</f>
        <v>34</v>
      </c>
      <c r="J391" s="14">
        <f>COUNTIF(Scores!B394:AX394,B391)</f>
        <v>1</v>
      </c>
      <c r="K391" s="21">
        <f>IFERROR(__xludf.DUMMYFUNCTION("""COMPUTED_VALUE"""),383.0)</f>
        <v>383</v>
      </c>
      <c r="L391" s="36"/>
      <c r="S391" s="21">
        <v>191.0</v>
      </c>
      <c r="T391" s="14">
        <v>221.0</v>
      </c>
      <c r="U391" s="14">
        <v>2279.0</v>
      </c>
      <c r="W391" s="21">
        <v>164.0</v>
      </c>
      <c r="X391" s="14">
        <v>32.0</v>
      </c>
      <c r="Y391" s="14">
        <v>2468.0</v>
      </c>
      <c r="AA391" s="21">
        <v>144.0</v>
      </c>
      <c r="AB391" s="14">
        <v>46.0</v>
      </c>
      <c r="AC391" s="14">
        <v>53.0</v>
      </c>
    </row>
    <row r="392">
      <c r="A392" s="27">
        <f>HYPERLINK("https://arcprize.org/play?task=f25fbde4", 384)</f>
        <v>384</v>
      </c>
      <c r="B392" s="14">
        <f>IFERROR(__xludf.DUMMYFUNCTION("min(filter(Scores!B395:AX395,Scores!B395:AX395&gt;0))"),61.0)</f>
        <v>61</v>
      </c>
      <c r="C392" s="14">
        <v>2439.0</v>
      </c>
      <c r="D392" s="51" t="str">
        <f t="array" ref="D392">if(B392,if(countif(Scores!B395:AX395,B392)=1,concat("💎",XLOOKUP(B392,Scores!B395:AX395,Scores!B$1:AX$1)),concat("🥇 x",countif(Scores!B395:AX395,B392))),"")</f>
        <v>💎jailctf merger</v>
      </c>
      <c r="E392" s="14">
        <f>if(countif(Scores!B395:AX395,B392)=1,F392,-1)</f>
        <v>61</v>
      </c>
      <c r="F392" s="14">
        <f t="shared" si="1"/>
        <v>61</v>
      </c>
      <c r="G392" s="14">
        <f>IFERROR(__xludf.DUMMYFUNCTION("if(iferror(small(filter(Scores!B395:AX395,Scores!B395:AX395&gt;0),2),-1)&lt;&gt;F392,iferror(small(filter(Scores!B395:AX395,Scores!B395:AX395&gt;0),2),-1),-1)"),62.0)</f>
        <v>62</v>
      </c>
      <c r="H392" s="14">
        <f>IFERROR(__xludf.DUMMYFUNCTION("if(iferror(small(filter(Scores!B395:AX395,Scores!B395:AX395&gt;0),3),-1)&lt;&gt;iferror(small(filter(Scores!B395:AX395,Scores!B395:AX395&gt;0),2),-1),iferror(small(filter(Scores!B395:AX395,Scores!B395:AX395&gt;0),3),-1),-1)"),-1.0)</f>
        <v>-1</v>
      </c>
      <c r="I392" s="14">
        <f>IFERROR(__xludf.DUMMYFUNCTION("IFERROR(COLUMNS(filter(Scores!B395:AE395,Scores!B395:AE395)),"""")"),41.0)</f>
        <v>41</v>
      </c>
      <c r="J392" s="14">
        <f>COUNTIF(Scores!B395:AX395,B392)</f>
        <v>1</v>
      </c>
      <c r="K392" s="21">
        <f>IFERROR(__xludf.DUMMYFUNCTION("""COMPUTED_VALUE"""),384.0)</f>
        <v>384</v>
      </c>
      <c r="L392" s="36"/>
      <c r="S392" s="21">
        <v>118.0</v>
      </c>
      <c r="T392" s="14">
        <v>225.0</v>
      </c>
      <c r="U392" s="14">
        <v>2275.0</v>
      </c>
      <c r="W392" s="21">
        <v>311.0</v>
      </c>
      <c r="X392" s="14">
        <v>32.0</v>
      </c>
      <c r="Y392" s="14">
        <v>2468.0</v>
      </c>
      <c r="AA392" s="21">
        <v>82.0</v>
      </c>
      <c r="AB392" s="14">
        <v>46.0</v>
      </c>
      <c r="AC392" s="14">
        <v>50.0</v>
      </c>
    </row>
    <row r="393">
      <c r="A393" s="27">
        <f>HYPERLINK("https://arcprize.org/play?task=f25ffba3", 385)</f>
        <v>385</v>
      </c>
      <c r="B393" s="14">
        <f>IFERROR(__xludf.DUMMYFUNCTION("min(filter(Scores!B396:AX396,Scores!B396:AX396&gt;0))"),25.0)</f>
        <v>25</v>
      </c>
      <c r="C393" s="14">
        <v>2475.0</v>
      </c>
      <c r="D393" s="51" t="str">
        <f t="array" ref="D393">if(B393,if(countif(Scores!B396:AX396,B393)=1,concat("💎",XLOOKUP(B393,Scores!B396:AX396,Scores!B$1:AX$1)),concat("🥇 x",countif(Scores!B396:AX396,B393))),"")</f>
        <v>🥇 x28</v>
      </c>
      <c r="E393" s="14">
        <f>if(countif(Scores!B396:AX396,B393)=1,F393,-1)</f>
        <v>-1</v>
      </c>
      <c r="F393" s="14">
        <f t="shared" si="1"/>
        <v>25</v>
      </c>
      <c r="G393" s="14">
        <f>IFERROR(__xludf.DUMMYFUNCTION("if(iferror(small(filter(Scores!B396:AX396,Scores!B396:AX396&gt;0),2),-1)&lt;&gt;F393,iferror(small(filter(Scores!B396:AX396,Scores!B396:AX396&gt;0),2),-1),-1)"),-1.0)</f>
        <v>-1</v>
      </c>
      <c r="H393" s="14">
        <f>IFERROR(__xludf.DUMMYFUNCTION("if(iferror(small(filter(Scores!B396:AX396,Scores!B396:AX396&gt;0),3),-1)&lt;&gt;iferror(small(filter(Scores!B396:AX396,Scores!B396:AX396&gt;0),2),-1),iferror(small(filter(Scores!B396:AX396,Scores!B396:AX396&gt;0),3),-1),-1)"),-1.0)</f>
        <v>-1</v>
      </c>
      <c r="I393" s="14">
        <f>IFERROR(__xludf.DUMMYFUNCTION("IFERROR(COLUMNS(filter(Scores!B396:AE396,Scores!B396:AE396)),"""")"),44.0)</f>
        <v>44</v>
      </c>
      <c r="J393" s="14">
        <f>COUNTIF(Scores!B396:AX396,B393)</f>
        <v>28</v>
      </c>
      <c r="K393" s="21">
        <f>IFERROR(__xludf.DUMMYFUNCTION("""COMPUTED_VALUE"""),385.0)</f>
        <v>385</v>
      </c>
      <c r="L393" s="36"/>
      <c r="S393" s="21">
        <v>285.0</v>
      </c>
      <c r="T393" s="14">
        <v>226.0</v>
      </c>
      <c r="U393" s="14">
        <v>2274.0</v>
      </c>
      <c r="W393" s="21">
        <v>301.0</v>
      </c>
      <c r="X393" s="14">
        <v>31.0</v>
      </c>
      <c r="Y393" s="14">
        <v>2469.0</v>
      </c>
      <c r="AA393" s="21">
        <v>60.0</v>
      </c>
      <c r="AB393" s="14">
        <v>46.0</v>
      </c>
      <c r="AC393" s="14">
        <v>47.0</v>
      </c>
    </row>
    <row r="394">
      <c r="A394" s="27">
        <f>HYPERLINK("https://arcprize.org/play?task=f2829549", 386)</f>
        <v>386</v>
      </c>
      <c r="B394" s="14">
        <f>IFERROR(__xludf.DUMMYFUNCTION("min(filter(Scores!B397:AX397,Scores!B397:AX397&gt;0))"),50.0)</f>
        <v>50</v>
      </c>
      <c r="C394" s="14">
        <v>2450.0</v>
      </c>
      <c r="D394" s="51" t="str">
        <f t="array" ref="D394">if(B394,if(countif(Scores!B397:AX397,B394)=1,concat("💎",XLOOKUP(B394,Scores!B397:AX397,Scores!B$1:AX$1)),concat("🥇 x",countif(Scores!B397:AX397,B394))),"")</f>
        <v>🥇 x3</v>
      </c>
      <c r="E394" s="14">
        <f>if(countif(Scores!B397:AX397,B394)=1,F394,-1)</f>
        <v>-1</v>
      </c>
      <c r="F394" s="14">
        <f t="shared" si="1"/>
        <v>50</v>
      </c>
      <c r="G394" s="14">
        <f>IFERROR(__xludf.DUMMYFUNCTION("if(iferror(small(filter(Scores!B397:AX397,Scores!B397:AX397&gt;0),2),-1)&lt;&gt;F394,iferror(small(filter(Scores!B397:AX397,Scores!B397:AX397&gt;0),2),-1),-1)"),-1.0)</f>
        <v>-1</v>
      </c>
      <c r="H394" s="14">
        <f>IFERROR(__xludf.DUMMYFUNCTION("if(iferror(small(filter(Scores!B397:AX397,Scores!B397:AX397&gt;0),3),-1)&lt;&gt;iferror(small(filter(Scores!B397:AX397,Scores!B397:AX397&gt;0),2),-1),iferror(small(filter(Scores!B397:AX397,Scores!B397:AX397&gt;0),3),-1),-1)"),-1.0)</f>
        <v>-1</v>
      </c>
      <c r="I394" s="14">
        <f>IFERROR(__xludf.DUMMYFUNCTION("IFERROR(COLUMNS(filter(Scores!B397:AE397,Scores!B397:AE397)),"""")"),45.0)</f>
        <v>45</v>
      </c>
      <c r="J394" s="14">
        <f>COUNTIF(Scores!B397:AX397,B394)</f>
        <v>3</v>
      </c>
      <c r="K394" s="21">
        <f>IFERROR(__xludf.DUMMYFUNCTION("""COMPUTED_VALUE"""),386.0)</f>
        <v>386</v>
      </c>
      <c r="L394" s="36"/>
      <c r="S394" s="21">
        <v>80.0</v>
      </c>
      <c r="T394" s="14">
        <v>231.0</v>
      </c>
      <c r="U394" s="14">
        <v>2269.0</v>
      </c>
      <c r="W394" s="21">
        <v>150.0</v>
      </c>
      <c r="X394" s="14">
        <v>30.0</v>
      </c>
      <c r="Y394" s="14">
        <v>2470.0</v>
      </c>
      <c r="AA394" s="21">
        <v>31.0</v>
      </c>
      <c r="AB394" s="14">
        <v>46.0</v>
      </c>
      <c r="AC394" s="14">
        <v>45.0</v>
      </c>
    </row>
    <row r="395">
      <c r="A395" s="27">
        <f>HYPERLINK("https://arcprize.org/play?task=f35d900a", 387)</f>
        <v>387</v>
      </c>
      <c r="B395" s="14">
        <f>IFERROR(__xludf.DUMMYFUNCTION("min(filter(Scores!B398:AX398,Scores!B398:AX398&gt;0))"),192.0)</f>
        <v>192</v>
      </c>
      <c r="C395" s="14">
        <v>2308.0</v>
      </c>
      <c r="D395" s="51" t="str">
        <f t="array" ref="D395">if(B395,if(countif(Scores!B398:AX398,B395)=1,concat("💎",XLOOKUP(B395,Scores!B398:AX398,Scores!B$1:AX$1)),concat("🥇 x",countif(Scores!B398:AX398,B395))),"")</f>
        <v>💎Code Golf International</v>
      </c>
      <c r="E395" s="14">
        <f>if(countif(Scores!B398:AX398,B395)=1,F395,-1)</f>
        <v>192</v>
      </c>
      <c r="F395" s="14">
        <f t="shared" si="1"/>
        <v>192</v>
      </c>
      <c r="G395" s="14">
        <f>IFERROR(__xludf.DUMMYFUNCTION("if(iferror(small(filter(Scores!B398:AX398,Scores!B398:AX398&gt;0),2),-1)&lt;&gt;F395,iferror(small(filter(Scores!B398:AX398,Scores!B398:AX398&gt;0),2),-1),-1)"),201.0)</f>
        <v>201</v>
      </c>
      <c r="H395" s="14">
        <f>IFERROR(__xludf.DUMMYFUNCTION("if(iferror(small(filter(Scores!B398:AX398,Scores!B398:AX398&gt;0),3),-1)&lt;&gt;iferror(small(filter(Scores!B398:AX398,Scores!B398:AX398&gt;0),2),-1),iferror(small(filter(Scores!B398:AX398,Scores!B398:AX398&gt;0),3),-1),-1)"),205.0)</f>
        <v>205</v>
      </c>
      <c r="I395" s="14">
        <f>IFERROR(__xludf.DUMMYFUNCTION("IFERROR(COLUMNS(filter(Scores!B398:AE398,Scores!B398:AE398)),"""")"),35.0)</f>
        <v>35</v>
      </c>
      <c r="J395" s="14">
        <f>COUNTIF(Scores!B398:AX398,B395)</f>
        <v>1</v>
      </c>
      <c r="K395" s="21">
        <f>IFERROR(__xludf.DUMMYFUNCTION("""COMPUTED_VALUE"""),387.0)</f>
        <v>387</v>
      </c>
      <c r="L395" s="36"/>
      <c r="S395" s="21">
        <v>89.0</v>
      </c>
      <c r="T395" s="14">
        <v>232.0</v>
      </c>
      <c r="U395" s="14">
        <v>2268.0</v>
      </c>
      <c r="W395" s="21">
        <v>326.0</v>
      </c>
      <c r="X395" s="14">
        <v>30.0</v>
      </c>
      <c r="Y395" s="14">
        <v>2470.0</v>
      </c>
      <c r="AA395" s="21">
        <v>52.0</v>
      </c>
      <c r="AB395" s="14">
        <v>46.0</v>
      </c>
      <c r="AC395" s="14">
        <v>40.0</v>
      </c>
    </row>
    <row r="396">
      <c r="A396" s="27">
        <f>HYPERLINK("https://arcprize.org/play?task=f5b8619d", 388)</f>
        <v>388</v>
      </c>
      <c r="B396" s="14">
        <f>IFERROR(__xludf.DUMMYFUNCTION("min(filter(Scores!B399:AX399,Scores!B399:AX399&gt;0))"),61.0)</f>
        <v>61</v>
      </c>
      <c r="C396" s="14">
        <v>2439.0</v>
      </c>
      <c r="D396" s="51" t="str">
        <f t="array" ref="D396">if(B396,if(countif(Scores!B399:AX399,B396)=1,concat("💎",XLOOKUP(B396,Scores!B399:AX399,Scores!B$1:AX$1)),concat("🥇 x",countif(Scores!B399:AX399,B396))),"")</f>
        <v>🥇 x4</v>
      </c>
      <c r="E396" s="14">
        <f>if(countif(Scores!B399:AX399,B396)=1,F396,-1)</f>
        <v>-1</v>
      </c>
      <c r="F396" s="14">
        <f t="shared" si="1"/>
        <v>61</v>
      </c>
      <c r="G396" s="14">
        <f>IFERROR(__xludf.DUMMYFUNCTION("if(iferror(small(filter(Scores!B399:AX399,Scores!B399:AX399&gt;0),2),-1)&lt;&gt;F396,iferror(small(filter(Scores!B399:AX399,Scores!B399:AX399&gt;0),2),-1),-1)"),-1.0)</f>
        <v>-1</v>
      </c>
      <c r="H396" s="14">
        <f>IFERROR(__xludf.DUMMYFUNCTION("if(iferror(small(filter(Scores!B399:AX399,Scores!B399:AX399&gt;0),3),-1)&lt;&gt;iferror(small(filter(Scores!B399:AX399,Scores!B399:AX399&gt;0),2),-1),iferror(small(filter(Scores!B399:AX399,Scores!B399:AX399&gt;0),3),-1),-1)"),-1.0)</f>
        <v>-1</v>
      </c>
      <c r="I396" s="14">
        <f>IFERROR(__xludf.DUMMYFUNCTION("IFERROR(COLUMNS(filter(Scores!B399:AE399,Scores!B399:AE399)),"""")"),43.0)</f>
        <v>43</v>
      </c>
      <c r="J396" s="14">
        <f>COUNTIF(Scores!B399:AX399,B396)</f>
        <v>4</v>
      </c>
      <c r="K396" s="21">
        <f>IFERROR(__xludf.DUMMYFUNCTION("""COMPUTED_VALUE"""),388.0)</f>
        <v>388</v>
      </c>
      <c r="L396" s="36"/>
      <c r="S396" s="21">
        <v>66.0</v>
      </c>
      <c r="T396" s="14">
        <v>237.0</v>
      </c>
      <c r="U396" s="14">
        <v>2263.0</v>
      </c>
      <c r="W396" s="21">
        <v>376.0</v>
      </c>
      <c r="X396" s="14">
        <v>30.0</v>
      </c>
      <c r="Y396" s="14">
        <v>2470.0</v>
      </c>
      <c r="AA396" s="21">
        <v>142.0</v>
      </c>
      <c r="AB396" s="14">
        <v>46.0</v>
      </c>
      <c r="AC396" s="14">
        <v>40.0</v>
      </c>
    </row>
    <row r="397">
      <c r="A397" s="27">
        <f>HYPERLINK("https://arcprize.org/play?task=f76d97a5", 389)</f>
        <v>389</v>
      </c>
      <c r="B397" s="14">
        <f>IFERROR(__xludf.DUMMYFUNCTION("min(filter(Scores!B400:AX400,Scores!B400:AX400&gt;0))"),57.0)</f>
        <v>57</v>
      </c>
      <c r="C397" s="14">
        <v>2443.0</v>
      </c>
      <c r="D397" s="51" t="str">
        <f t="array" ref="D397">if(B397,if(countif(Scores!B400:AX400,B397)=1,concat("💎",XLOOKUP(B397,Scores!B400:AX400,Scores!B$1:AX$1)),concat("🥇 x",countif(Scores!B400:AX400,B397))),"")</f>
        <v>🥇 x9</v>
      </c>
      <c r="E397" s="14">
        <f>if(countif(Scores!B400:AX400,B397)=1,F397,-1)</f>
        <v>-1</v>
      </c>
      <c r="F397" s="14">
        <f t="shared" si="1"/>
        <v>57</v>
      </c>
      <c r="G397" s="14">
        <f>IFERROR(__xludf.DUMMYFUNCTION("if(iferror(small(filter(Scores!B400:AX400,Scores!B400:AX400&gt;0),2),-1)&lt;&gt;F397,iferror(small(filter(Scores!B400:AX400,Scores!B400:AX400&gt;0),2),-1),-1)"),-1.0)</f>
        <v>-1</v>
      </c>
      <c r="H397" s="14">
        <f>IFERROR(__xludf.DUMMYFUNCTION("if(iferror(small(filter(Scores!B400:AX400,Scores!B400:AX400&gt;0),3),-1)&lt;&gt;iferror(small(filter(Scores!B400:AX400,Scores!B400:AX400&gt;0),2),-1),iferror(small(filter(Scores!B400:AX400,Scores!B400:AX400&gt;0),3),-1),-1)"),-1.0)</f>
        <v>-1</v>
      </c>
      <c r="I397" s="14">
        <f>IFERROR(__xludf.DUMMYFUNCTION("IFERROR(COLUMNS(filter(Scores!B400:AE400,Scores!B400:AE400)),"""")"),43.0)</f>
        <v>43</v>
      </c>
      <c r="J397" s="14">
        <f>COUNTIF(Scores!B400:AX400,B397)</f>
        <v>9</v>
      </c>
      <c r="K397" s="21">
        <f>IFERROR(__xludf.DUMMYFUNCTION("""COMPUTED_VALUE"""),389.0)</f>
        <v>389</v>
      </c>
      <c r="L397" s="36"/>
      <c r="S397" s="21">
        <v>157.0</v>
      </c>
      <c r="T397" s="14">
        <v>237.0</v>
      </c>
      <c r="U397" s="14">
        <v>2263.0</v>
      </c>
      <c r="W397" s="21">
        <v>103.0</v>
      </c>
      <c r="X397" s="14">
        <v>29.0</v>
      </c>
      <c r="Y397" s="14">
        <v>2471.0</v>
      </c>
      <c r="AA397" s="21">
        <v>32.0</v>
      </c>
      <c r="AB397" s="14">
        <v>46.0</v>
      </c>
      <c r="AC397" s="14">
        <v>39.0</v>
      </c>
    </row>
    <row r="398">
      <c r="A398" s="27">
        <f>HYPERLINK("https://arcprize.org/play?task=f8a8fe49", 390)</f>
        <v>390</v>
      </c>
      <c r="B398" s="14">
        <f>IFERROR(__xludf.DUMMYFUNCTION("min(filter(Scores!B401:AX401,Scores!B401:AX401&gt;0))"),98.0)</f>
        <v>98</v>
      </c>
      <c r="C398" s="14">
        <v>2402.0</v>
      </c>
      <c r="D398" s="51" t="str">
        <f t="array" ref="D398">if(B398,if(countif(Scores!B401:AX401,B398)=1,concat("💎",XLOOKUP(B398,Scores!B401:AX401,Scores!B$1:AX$1)),concat("🥇 x",countif(Scores!B401:AX401,B398))),"")</f>
        <v>🥇 x2</v>
      </c>
      <c r="E398" s="14">
        <f>if(countif(Scores!B401:AX401,B398)=1,F398,-1)</f>
        <v>-1</v>
      </c>
      <c r="F398" s="14">
        <f t="shared" si="1"/>
        <v>98</v>
      </c>
      <c r="G398" s="14">
        <f>IFERROR(__xludf.DUMMYFUNCTION("if(iferror(small(filter(Scores!B401:AX401,Scores!B401:AX401&gt;0),2),-1)&lt;&gt;F398,iferror(small(filter(Scores!B401:AX401,Scores!B401:AX401&gt;0),2),-1),-1)"),-1.0)</f>
        <v>-1</v>
      </c>
      <c r="H398" s="14">
        <f>IFERROR(__xludf.DUMMYFUNCTION("if(iferror(small(filter(Scores!B401:AX401,Scores!B401:AX401&gt;0),3),-1)&lt;&gt;iferror(small(filter(Scores!B401:AX401,Scores!B401:AX401&gt;0),2),-1),iferror(small(filter(Scores!B401:AX401,Scores!B401:AX401&gt;0),3),-1),-1)"),100.0)</f>
        <v>100</v>
      </c>
      <c r="I398" s="14">
        <f>IFERROR(__xludf.DUMMYFUNCTION("IFERROR(COLUMNS(filter(Scores!B401:AE401,Scores!B401:AE401)),"""")"),36.0)</f>
        <v>36</v>
      </c>
      <c r="J398" s="14">
        <f>COUNTIF(Scores!B401:AX401,B398)</f>
        <v>2</v>
      </c>
      <c r="K398" s="21">
        <f>IFERROR(__xludf.DUMMYFUNCTION("""COMPUTED_VALUE"""),390.0)</f>
        <v>390</v>
      </c>
      <c r="L398" s="36"/>
      <c r="S398" s="21">
        <v>219.0</v>
      </c>
      <c r="T398" s="14">
        <v>241.0</v>
      </c>
      <c r="U398" s="14">
        <v>2259.0</v>
      </c>
      <c r="W398" s="21">
        <v>380.0</v>
      </c>
      <c r="X398" s="14">
        <v>27.0</v>
      </c>
      <c r="Y398" s="14">
        <v>2473.0</v>
      </c>
      <c r="AA398" s="21">
        <v>87.0</v>
      </c>
      <c r="AB398" s="14">
        <v>46.0</v>
      </c>
      <c r="AC398" s="14">
        <v>36.0</v>
      </c>
    </row>
    <row r="399">
      <c r="A399" s="27">
        <f>HYPERLINK("https://arcprize.org/play?task=f8b3ba0a", 391)</f>
        <v>391</v>
      </c>
      <c r="B399" s="14">
        <f>IFERROR(__xludf.DUMMYFUNCTION("min(filter(Scores!B402:AX402,Scores!B402:AX402&gt;0))"),63.0)</f>
        <v>63</v>
      </c>
      <c r="C399" s="14">
        <v>2437.0</v>
      </c>
      <c r="D399" s="51" t="str">
        <f t="array" ref="D399">if(B399,if(countif(Scores!B402:AX402,B399)=1,concat("💎",XLOOKUP(B399,Scores!B402:AX402,Scores!B$1:AX$1)),concat("🥇 x",countif(Scores!B402:AX402,B399))),"")</f>
        <v>🥇 x15</v>
      </c>
      <c r="E399" s="14">
        <f>if(countif(Scores!B402:AX402,B399)=1,F399,-1)</f>
        <v>-1</v>
      </c>
      <c r="F399" s="14">
        <f t="shared" si="1"/>
        <v>63</v>
      </c>
      <c r="G399" s="14">
        <f>IFERROR(__xludf.DUMMYFUNCTION("if(iferror(small(filter(Scores!B402:AX402,Scores!B402:AX402&gt;0),2),-1)&lt;&gt;F399,iferror(small(filter(Scores!B402:AX402,Scores!B402:AX402&gt;0),2),-1),-1)"),-1.0)</f>
        <v>-1</v>
      </c>
      <c r="H399" s="14">
        <f>IFERROR(__xludf.DUMMYFUNCTION("if(iferror(small(filter(Scores!B402:AX402,Scores!B402:AX402&gt;0),3),-1)&lt;&gt;iferror(small(filter(Scores!B402:AX402,Scores!B402:AX402&gt;0),2),-1),iferror(small(filter(Scores!B402:AX402,Scores!B402:AX402&gt;0),3),-1),-1)"),-1.0)</f>
        <v>-1</v>
      </c>
      <c r="I399" s="14">
        <f>IFERROR(__xludf.DUMMYFUNCTION("IFERROR(COLUMNS(filter(Scores!B402:AE402,Scores!B402:AE402)),"""")"),43.0)</f>
        <v>43</v>
      </c>
      <c r="J399" s="14">
        <f>COUNTIF(Scores!B402:AX402,B399)</f>
        <v>15</v>
      </c>
      <c r="K399" s="21">
        <f>IFERROR(__xludf.DUMMYFUNCTION("""COMPUTED_VALUE"""),391.0)</f>
        <v>391</v>
      </c>
      <c r="L399" s="36"/>
      <c r="S399" s="21">
        <v>209.0</v>
      </c>
      <c r="T399" s="14">
        <v>247.0</v>
      </c>
      <c r="U399" s="14">
        <v>2253.0</v>
      </c>
      <c r="W399" s="21">
        <v>249.0</v>
      </c>
      <c r="X399" s="14">
        <v>26.0</v>
      </c>
      <c r="Y399" s="14">
        <v>2474.0</v>
      </c>
      <c r="AA399" s="21">
        <v>135.0</v>
      </c>
      <c r="AB399" s="14">
        <v>46.0</v>
      </c>
      <c r="AC399" s="14">
        <v>32.0</v>
      </c>
    </row>
    <row r="400">
      <c r="A400" s="27">
        <f>HYPERLINK("https://arcprize.org/play?task=f8c80d96", 392)</f>
        <v>392</v>
      </c>
      <c r="B400" s="14">
        <f>IFERROR(__xludf.DUMMYFUNCTION("min(filter(Scores!B403:AX403,Scores!B403:AX403&gt;0))"),135.0)</f>
        <v>135</v>
      </c>
      <c r="C400" s="14">
        <v>2365.0</v>
      </c>
      <c r="D400" s="51" t="str">
        <f t="array" ref="D400">if(B400,if(countif(Scores!B403:AX403,B400)=1,concat("💎",XLOOKUP(B400,Scores!B403:AX403,Scores!B$1:AX$1)),concat("🥇 x",countif(Scores!B403:AX403,B400))),"")</f>
        <v>💎Code Golf International</v>
      </c>
      <c r="E400" s="14">
        <f>if(countif(Scores!B403:AX403,B400)=1,F400,-1)</f>
        <v>135</v>
      </c>
      <c r="F400" s="14">
        <f t="shared" si="1"/>
        <v>135</v>
      </c>
      <c r="G400" s="14">
        <f>IFERROR(__xludf.DUMMYFUNCTION("if(iferror(small(filter(Scores!B403:AX403,Scores!B403:AX403&gt;0),2),-1)&lt;&gt;F400,iferror(small(filter(Scores!B403:AX403,Scores!B403:AX403&gt;0),2),-1),-1)"),149.0)</f>
        <v>149</v>
      </c>
      <c r="H400" s="14">
        <f>IFERROR(__xludf.DUMMYFUNCTION("if(iferror(small(filter(Scores!B403:AX403,Scores!B403:AX403&gt;0),3),-1)&lt;&gt;iferror(small(filter(Scores!B403:AX403,Scores!B403:AX403&gt;0),2),-1),iferror(small(filter(Scores!B403:AX403,Scores!B403:AX403&gt;0),3),-1),-1)"),-1.0)</f>
        <v>-1</v>
      </c>
      <c r="I400" s="14">
        <f>IFERROR(__xludf.DUMMYFUNCTION("IFERROR(COLUMNS(filter(Scores!B403:AE403,Scores!B403:AE403)),"""")"),38.0)</f>
        <v>38</v>
      </c>
      <c r="J400" s="14">
        <f>COUNTIF(Scores!B403:AX403,B400)</f>
        <v>1</v>
      </c>
      <c r="K400" s="21">
        <f>IFERROR(__xludf.DUMMYFUNCTION("""COMPUTED_VALUE"""),392.0)</f>
        <v>392</v>
      </c>
      <c r="L400" s="36"/>
      <c r="S400" s="21">
        <v>76.0</v>
      </c>
      <c r="T400" s="14">
        <v>258.0</v>
      </c>
      <c r="U400" s="14">
        <v>2242.0</v>
      </c>
      <c r="W400" s="21">
        <v>113.0</v>
      </c>
      <c r="X400" s="14">
        <v>25.0</v>
      </c>
      <c r="Y400" s="14">
        <v>2475.0</v>
      </c>
      <c r="AA400" s="21">
        <v>103.0</v>
      </c>
      <c r="AB400" s="14">
        <v>46.0</v>
      </c>
      <c r="AC400" s="14">
        <v>29.0</v>
      </c>
    </row>
    <row r="401">
      <c r="A401" s="27">
        <f>HYPERLINK("https://arcprize.org/play?task=f8ff0b80", 393)</f>
        <v>393</v>
      </c>
      <c r="B401" s="14">
        <f>IFERROR(__xludf.DUMMYFUNCTION("min(filter(Scores!B404:AX404,Scores!B404:AX404&gt;0))"),63.0)</f>
        <v>63</v>
      </c>
      <c r="C401" s="14">
        <v>2437.0</v>
      </c>
      <c r="D401" s="51" t="str">
        <f t="array" ref="D401">if(B401,if(countif(Scores!B404:AX404,B401)=1,concat("💎",XLOOKUP(B401,Scores!B404:AX404,Scores!B$1:AX$1)),concat("🥇 x",countif(Scores!B404:AX404,B401))),"")</f>
        <v>🥇 x16</v>
      </c>
      <c r="E401" s="14">
        <f>if(countif(Scores!B404:AX404,B401)=1,F401,-1)</f>
        <v>-1</v>
      </c>
      <c r="F401" s="14">
        <f t="shared" si="1"/>
        <v>63</v>
      </c>
      <c r="G401" s="14">
        <f>IFERROR(__xludf.DUMMYFUNCTION("if(iferror(small(filter(Scores!B404:AX404,Scores!B404:AX404&gt;0),2),-1)&lt;&gt;F401,iferror(small(filter(Scores!B404:AX404,Scores!B404:AX404&gt;0),2),-1),-1)"),-1.0)</f>
        <v>-1</v>
      </c>
      <c r="H401" s="14">
        <f>IFERROR(__xludf.DUMMYFUNCTION("if(iferror(small(filter(Scores!B404:AX404,Scores!B404:AX404&gt;0),3),-1)&lt;&gt;iferror(small(filter(Scores!B404:AX404,Scores!B404:AX404&gt;0),2),-1),iferror(small(filter(Scores!B404:AX404,Scores!B404:AX404&gt;0),3),-1),-1)"),-1.0)</f>
        <v>-1</v>
      </c>
      <c r="I401" s="14">
        <f>IFERROR(__xludf.DUMMYFUNCTION("IFERROR(COLUMNS(filter(Scores!B404:AE404,Scores!B404:AE404)),"""")"),42.0)</f>
        <v>42</v>
      </c>
      <c r="J401" s="14">
        <f>COUNTIF(Scores!B404:AX404,B401)</f>
        <v>16</v>
      </c>
      <c r="K401" s="21">
        <f>IFERROR(__xludf.DUMMYFUNCTION("""COMPUTED_VALUE"""),393.0)</f>
        <v>393</v>
      </c>
      <c r="L401" s="36"/>
      <c r="S401" s="21">
        <v>101.0</v>
      </c>
      <c r="T401" s="14">
        <v>258.0</v>
      </c>
      <c r="U401" s="14">
        <v>2242.0</v>
      </c>
      <c r="W401" s="21">
        <v>385.0</v>
      </c>
      <c r="X401" s="14">
        <v>25.0</v>
      </c>
      <c r="Y401" s="14">
        <v>2475.0</v>
      </c>
      <c r="AA401" s="21">
        <v>53.0</v>
      </c>
      <c r="AB401" s="14">
        <v>46.0</v>
      </c>
      <c r="AC401" s="14">
        <v>21.0</v>
      </c>
    </row>
    <row r="402">
      <c r="A402" s="27">
        <f>HYPERLINK("https://arcprize.org/play?task=f9012d9b", 394)</f>
        <v>394</v>
      </c>
      <c r="B402" s="14">
        <f>IFERROR(__xludf.DUMMYFUNCTION("min(filter(Scores!B405:AX405,Scores!B405:AX405&gt;0))"),85.0)</f>
        <v>85</v>
      </c>
      <c r="C402" s="14">
        <v>2415.0</v>
      </c>
      <c r="D402" s="51" t="str">
        <f t="array" ref="D402">if(B402,if(countif(Scores!B405:AX405,B402)=1,concat("💎",XLOOKUP(B402,Scores!B405:AX405,Scores!B$1:AX$1)),concat("🥇 x",countif(Scores!B405:AX405,B402))),"")</f>
        <v>🥇 x3</v>
      </c>
      <c r="E402" s="14">
        <f>if(countif(Scores!B405:AX405,B402)=1,F402,-1)</f>
        <v>-1</v>
      </c>
      <c r="F402" s="14">
        <f t="shared" si="1"/>
        <v>85</v>
      </c>
      <c r="G402" s="14">
        <f>IFERROR(__xludf.DUMMYFUNCTION("if(iferror(small(filter(Scores!B405:AX405,Scores!B405:AX405&gt;0),2),-1)&lt;&gt;F402,iferror(small(filter(Scores!B405:AX405,Scores!B405:AX405&gt;0),2),-1),-1)"),-1.0)</f>
        <v>-1</v>
      </c>
      <c r="H402" s="14">
        <f>IFERROR(__xludf.DUMMYFUNCTION("if(iferror(small(filter(Scores!B405:AX405,Scores!B405:AX405&gt;0),3),-1)&lt;&gt;iferror(small(filter(Scores!B405:AX405,Scores!B405:AX405&gt;0),2),-1),iferror(small(filter(Scores!B405:AX405,Scores!B405:AX405&gt;0),3),-1),-1)"),-1.0)</f>
        <v>-1</v>
      </c>
      <c r="I402" s="14">
        <f>IFERROR(__xludf.DUMMYFUNCTION("IFERROR(COLUMNS(filter(Scores!B405:AE405,Scores!B405:AE405)),"""")"),36.0)</f>
        <v>36</v>
      </c>
      <c r="J402" s="14">
        <f>COUNTIF(Scores!B405:AX405,B402)</f>
        <v>3</v>
      </c>
      <c r="K402" s="21">
        <f>IFERROR(__xludf.DUMMYFUNCTION("""COMPUTED_VALUE"""),394.0)</f>
        <v>394</v>
      </c>
      <c r="L402" s="36"/>
      <c r="S402" s="21">
        <v>158.0</v>
      </c>
      <c r="T402" s="14">
        <v>260.0</v>
      </c>
      <c r="U402" s="14">
        <v>2240.0</v>
      </c>
      <c r="W402" s="21">
        <v>53.0</v>
      </c>
      <c r="X402" s="14">
        <v>21.0</v>
      </c>
      <c r="Y402" s="14">
        <v>2479.0</v>
      </c>
      <c r="AA402" s="21">
        <v>72.0</v>
      </c>
      <c r="AB402" s="14">
        <v>47.0</v>
      </c>
      <c r="AC402" s="14">
        <v>54.0</v>
      </c>
    </row>
    <row r="403">
      <c r="A403" s="27">
        <f>HYPERLINK("https://arcprize.org/play?task=fafffa47", 395)</f>
        <v>395</v>
      </c>
      <c r="B403" s="14">
        <f>IFERROR(__xludf.DUMMYFUNCTION("min(filter(Scores!B406:AX406,Scores!B406:AX406&gt;0))"),53.0)</f>
        <v>53</v>
      </c>
      <c r="C403" s="14">
        <v>2447.0</v>
      </c>
      <c r="D403" s="51" t="str">
        <f t="array" ref="D403">if(B403,if(countif(Scores!B406:AX406,B403)=1,concat("💎",XLOOKUP(B403,Scores!B406:AX406,Scores!B$1:AX$1)),concat("🥇 x",countif(Scores!B406:AX406,B403))),"")</f>
        <v>🥇 x4</v>
      </c>
      <c r="E403" s="14">
        <f>if(countif(Scores!B406:AX406,B403)=1,F403,-1)</f>
        <v>-1</v>
      </c>
      <c r="F403" s="14">
        <f t="shared" si="1"/>
        <v>53</v>
      </c>
      <c r="G403" s="14">
        <f>IFERROR(__xludf.DUMMYFUNCTION("if(iferror(small(filter(Scores!B406:AX406,Scores!B406:AX406&gt;0),2),-1)&lt;&gt;F403,iferror(small(filter(Scores!B406:AX406,Scores!B406:AX406&gt;0),2),-1),-1)"),-1.0)</f>
        <v>-1</v>
      </c>
      <c r="H403" s="14">
        <f>IFERROR(__xludf.DUMMYFUNCTION("if(iferror(small(filter(Scores!B406:AX406,Scores!B406:AX406&gt;0),3),-1)&lt;&gt;iferror(small(filter(Scores!B406:AX406,Scores!B406:AX406&gt;0),2),-1),iferror(small(filter(Scores!B406:AX406,Scores!B406:AX406&gt;0),3),-1),-1)"),-1.0)</f>
        <v>-1</v>
      </c>
      <c r="I403" s="14">
        <f>IFERROR(__xludf.DUMMYFUNCTION("IFERROR(COLUMNS(filter(Scores!B406:AE406,Scores!B406:AE406)),"""")"),42.0)</f>
        <v>42</v>
      </c>
      <c r="J403" s="14">
        <f>COUNTIF(Scores!B406:AX406,B403)</f>
        <v>4</v>
      </c>
      <c r="K403" s="21">
        <f>IFERROR(__xludf.DUMMYFUNCTION("""COMPUTED_VALUE"""),395.0)</f>
        <v>395</v>
      </c>
      <c r="L403" s="36"/>
      <c r="S403" s="21">
        <v>233.0</v>
      </c>
      <c r="T403" s="14">
        <v>261.0</v>
      </c>
      <c r="U403" s="14">
        <v>2239.0</v>
      </c>
      <c r="W403" s="21">
        <v>179.0</v>
      </c>
      <c r="X403" s="14">
        <v>21.0</v>
      </c>
      <c r="Y403" s="14">
        <v>2479.0</v>
      </c>
      <c r="AA403" s="21">
        <v>6.0</v>
      </c>
      <c r="AB403" s="14">
        <v>47.0</v>
      </c>
      <c r="AC403" s="14">
        <v>49.0</v>
      </c>
    </row>
    <row r="404">
      <c r="A404" s="27">
        <f>HYPERLINK("https://arcprize.org/play?task=fcb5c309", 396)</f>
        <v>396</v>
      </c>
      <c r="B404" s="14">
        <f>IFERROR(__xludf.DUMMYFUNCTION("min(filter(Scores!B407:AX407,Scores!B407:AX407&gt;0))"),139.0)</f>
        <v>139</v>
      </c>
      <c r="C404" s="14">
        <v>2361.0</v>
      </c>
      <c r="D404" s="51" t="str">
        <f t="array" ref="D404">if(B404,if(countif(Scores!B407:AX407,B404)=1,concat("💎",XLOOKUP(B404,Scores!B407:AX407,Scores!B$1:AX$1)),concat("🥇 x",countif(Scores!B407:AX407,B404))),"")</f>
        <v>💎ox jam</v>
      </c>
      <c r="E404" s="14">
        <f>if(countif(Scores!B407:AX407,B404)=1,F404,-1)</f>
        <v>139</v>
      </c>
      <c r="F404" s="14">
        <f t="shared" si="1"/>
        <v>139</v>
      </c>
      <c r="G404" s="14">
        <f>IFERROR(__xludf.DUMMYFUNCTION("if(iferror(small(filter(Scores!B407:AX407,Scores!B407:AX407&gt;0),2),-1)&lt;&gt;F404,iferror(small(filter(Scores!B407:AX407,Scores!B407:AX407&gt;0),2),-1),-1)"),167.0)</f>
        <v>167</v>
      </c>
      <c r="H404" s="14">
        <f>IFERROR(__xludf.DUMMYFUNCTION("if(iferror(small(filter(Scores!B407:AX407,Scores!B407:AX407&gt;0),3),-1)&lt;&gt;iferror(small(filter(Scores!B407:AX407,Scores!B407:AX407&gt;0),2),-1),iferror(small(filter(Scores!B407:AX407,Scores!B407:AX407&gt;0),3),-1),-1)"),171.0)</f>
        <v>171</v>
      </c>
      <c r="I404" s="14">
        <f>IFERROR(__xludf.DUMMYFUNCTION("IFERROR(COLUMNS(filter(Scores!B407:AE407,Scores!B407:AE407)),"""")"),37.0)</f>
        <v>37</v>
      </c>
      <c r="J404" s="14">
        <f>COUNTIF(Scores!B407:AX407,B404)</f>
        <v>1</v>
      </c>
      <c r="K404" s="21">
        <f>IFERROR(__xludf.DUMMYFUNCTION("""COMPUTED_VALUE"""),396.0)</f>
        <v>396</v>
      </c>
      <c r="L404" s="36"/>
      <c r="S404" s="21">
        <v>54.0</v>
      </c>
      <c r="T404" s="14">
        <v>266.0</v>
      </c>
      <c r="U404" s="14">
        <v>2234.0</v>
      </c>
      <c r="W404" s="21">
        <v>241.0</v>
      </c>
      <c r="X404" s="14">
        <v>21.0</v>
      </c>
      <c r="Y404" s="14">
        <v>2479.0</v>
      </c>
      <c r="AA404" s="21">
        <v>45.0</v>
      </c>
      <c r="AB404" s="14">
        <v>47.0</v>
      </c>
      <c r="AC404" s="14">
        <v>45.0</v>
      </c>
    </row>
    <row r="405">
      <c r="A405" s="27">
        <f>HYPERLINK("https://arcprize.org/play?task=fcc82909", 397)</f>
        <v>397</v>
      </c>
      <c r="B405" s="14">
        <f>IFERROR(__xludf.DUMMYFUNCTION("min(filter(Scores!B408:AX408,Scores!B408:AX408&gt;0))"),110.0)</f>
        <v>110</v>
      </c>
      <c r="C405" s="14">
        <v>2390.0</v>
      </c>
      <c r="D405" s="51" t="str">
        <f t="array" ref="D405">if(B405,if(countif(Scores!B408:AX408,B405)=1,concat("💎",XLOOKUP(B405,Scores!B408:AX408,Scores!B$1:AX$1)),concat("🥇 x",countif(Scores!B408:AX408,B405))),"")</f>
        <v>💎jailctf merger</v>
      </c>
      <c r="E405" s="14">
        <f>if(countif(Scores!B408:AX408,B405)=1,F405,-1)</f>
        <v>110</v>
      </c>
      <c r="F405" s="14">
        <f t="shared" si="1"/>
        <v>110</v>
      </c>
      <c r="G405" s="14">
        <f>IFERROR(__xludf.DUMMYFUNCTION("if(iferror(small(filter(Scores!B408:AX408,Scores!B408:AX408&gt;0),2),-1)&lt;&gt;F405,iferror(small(filter(Scores!B408:AX408,Scores!B408:AX408&gt;0),2),-1),-1)"),113.0)</f>
        <v>113</v>
      </c>
      <c r="H405" s="14">
        <f>IFERROR(__xludf.DUMMYFUNCTION("if(iferror(small(filter(Scores!B408:AX408,Scores!B408:AX408&gt;0),3),-1)&lt;&gt;iferror(small(filter(Scores!B408:AX408,Scores!B408:AX408&gt;0),2),-1),iferror(small(filter(Scores!B408:AX408,Scores!B408:AX408&gt;0),3),-1),-1)"),117.0)</f>
        <v>117</v>
      </c>
      <c r="I405" s="14">
        <f>IFERROR(__xludf.DUMMYFUNCTION("IFERROR(COLUMNS(filter(Scores!B408:AE408,Scores!B408:AE408)),"""")"),38.0)</f>
        <v>38</v>
      </c>
      <c r="J405" s="14">
        <f>COUNTIF(Scores!B408:AX408,B405)</f>
        <v>1</v>
      </c>
      <c r="K405" s="21">
        <f>IFERROR(__xludf.DUMMYFUNCTION("""COMPUTED_VALUE"""),397.0)</f>
        <v>397</v>
      </c>
      <c r="L405" s="36"/>
      <c r="S405" s="21">
        <v>133.0</v>
      </c>
      <c r="T405" s="14">
        <v>273.0</v>
      </c>
      <c r="U405" s="14">
        <v>2227.0</v>
      </c>
      <c r="W405" s="21">
        <v>116.0</v>
      </c>
      <c r="X405" s="14">
        <v>20.0</v>
      </c>
      <c r="Y405" s="14">
        <v>2480.0</v>
      </c>
      <c r="AA405" s="21">
        <v>16.0</v>
      </c>
      <c r="AB405" s="14">
        <v>47.0</v>
      </c>
      <c r="AC405" s="14">
        <v>43.0</v>
      </c>
    </row>
    <row r="406">
      <c r="A406" s="27">
        <f>HYPERLINK("https://arcprize.org/play?task=feca6190", 398)</f>
        <v>398</v>
      </c>
      <c r="B406" s="14">
        <f>IFERROR(__xludf.DUMMYFUNCTION("min(filter(Scores!B409:AX409,Scores!B409:AX409&gt;0))"),72.0)</f>
        <v>72</v>
      </c>
      <c r="C406" s="14">
        <v>2428.0</v>
      </c>
      <c r="D406" s="51" t="str">
        <f t="array" ref="D406">if(B406,if(countif(Scores!B409:AX409,B406)=1,concat("💎",XLOOKUP(B406,Scores!B409:AX409,Scores!B$1:AX$1)),concat("🥇 x",countif(Scores!B409:AX409,B406))),"")</f>
        <v>🥇 x2</v>
      </c>
      <c r="E406" s="14">
        <f>if(countif(Scores!B409:AX409,B406)=1,F406,-1)</f>
        <v>-1</v>
      </c>
      <c r="F406" s="14">
        <f t="shared" si="1"/>
        <v>72</v>
      </c>
      <c r="G406" s="14">
        <f>IFERROR(__xludf.DUMMYFUNCTION("if(iferror(small(filter(Scores!B409:AX409,Scores!B409:AX409&gt;0),2),-1)&lt;&gt;F406,iferror(small(filter(Scores!B409:AX409,Scores!B409:AX409&gt;0),2),-1),-1)"),-1.0)</f>
        <v>-1</v>
      </c>
      <c r="H406" s="14">
        <f>IFERROR(__xludf.DUMMYFUNCTION("if(iferror(small(filter(Scores!B409:AX409,Scores!B409:AX409&gt;0),3),-1)&lt;&gt;iferror(small(filter(Scores!B409:AX409,Scores!B409:AX409&gt;0),2),-1),iferror(small(filter(Scores!B409:AX409,Scores!B409:AX409&gt;0),3),-1),-1)"),73.0)</f>
        <v>73</v>
      </c>
      <c r="I406" s="14">
        <f>IFERROR(__xludf.DUMMYFUNCTION("IFERROR(COLUMNS(filter(Scores!B409:AE409,Scores!B409:AE409)),"""")"),40.0)</f>
        <v>40</v>
      </c>
      <c r="J406" s="14">
        <f>COUNTIF(Scores!B409:AX409,B406)</f>
        <v>2</v>
      </c>
      <c r="K406" s="21">
        <f>IFERROR(__xludf.DUMMYFUNCTION("""COMPUTED_VALUE"""),398.0)</f>
        <v>398</v>
      </c>
      <c r="L406" s="36"/>
      <c r="S406" s="21">
        <v>18.0</v>
      </c>
      <c r="T406" s="14">
        <v>275.0</v>
      </c>
      <c r="U406" s="14">
        <v>2225.0</v>
      </c>
      <c r="W406" s="21">
        <v>172.0</v>
      </c>
      <c r="X406" s="14">
        <v>20.0</v>
      </c>
      <c r="Y406" s="14">
        <v>2480.0</v>
      </c>
      <c r="AA406" s="21">
        <v>83.0</v>
      </c>
      <c r="AB406" s="14">
        <v>47.0</v>
      </c>
      <c r="AC406" s="14">
        <v>40.0</v>
      </c>
    </row>
    <row r="407">
      <c r="A407" s="27">
        <f>HYPERLINK("https://arcprize.org/play?task=ff28f65a", 399)</f>
        <v>399</v>
      </c>
      <c r="B407" s="14">
        <f>IFERROR(__xludf.DUMMYFUNCTION("min(filter(Scores!B410:AX410,Scores!B410:AX410&gt;0))"),62.0)</f>
        <v>62</v>
      </c>
      <c r="C407" s="14">
        <v>2438.0</v>
      </c>
      <c r="D407" s="51" t="str">
        <f t="array" ref="D407">if(B407,if(countif(Scores!B410:AX410,B407)=1,concat("💎",XLOOKUP(B407,Scores!B410:AX410,Scores!B$1:AX$1)),concat("🥇 x",countif(Scores!B410:AX410,B407))),"")</f>
        <v>💎jailctf merger</v>
      </c>
      <c r="E407" s="14">
        <f>if(countif(Scores!B410:AX410,B407)=1,F407,-1)</f>
        <v>62</v>
      </c>
      <c r="F407" s="14">
        <f t="shared" si="1"/>
        <v>62</v>
      </c>
      <c r="G407" s="14">
        <f>IFERROR(__xludf.DUMMYFUNCTION("if(iferror(small(filter(Scores!B410:AX410,Scores!B410:AX410&gt;0),2),-1)&lt;&gt;F407,iferror(small(filter(Scores!B410:AX410,Scores!B410:AX410&gt;0),2),-1),-1)"),63.0)</f>
        <v>63</v>
      </c>
      <c r="H407" s="14">
        <f>IFERROR(__xludf.DUMMYFUNCTION("if(iferror(small(filter(Scores!B410:AX410,Scores!B410:AX410&gt;0),3),-1)&lt;&gt;iferror(small(filter(Scores!B410:AX410,Scores!B410:AX410&gt;0),2),-1),iferror(small(filter(Scores!B410:AX410,Scores!B410:AX410&gt;0),3),-1),-1)"),-1.0)</f>
        <v>-1</v>
      </c>
      <c r="I407" s="14">
        <f>IFERROR(__xludf.DUMMYFUNCTION("IFERROR(COLUMNS(filter(Scores!B410:AE410,Scores!B410:AE410)),"""")"),43.0)</f>
        <v>43</v>
      </c>
      <c r="J407" s="14">
        <f>COUNTIF(Scores!B410:AX410,B407)</f>
        <v>1</v>
      </c>
      <c r="K407" s="21">
        <f>IFERROR(__xludf.DUMMYFUNCTION("""COMPUTED_VALUE"""),399.0)</f>
        <v>399</v>
      </c>
      <c r="L407" s="36"/>
      <c r="S407" s="21">
        <v>96.0</v>
      </c>
      <c r="T407" s="14">
        <v>282.0</v>
      </c>
      <c r="U407" s="14">
        <v>2218.0</v>
      </c>
      <c r="W407" s="21">
        <v>210.0</v>
      </c>
      <c r="X407" s="14">
        <v>20.0</v>
      </c>
      <c r="Y407" s="14">
        <v>2480.0</v>
      </c>
      <c r="AA407" s="21">
        <v>67.0</v>
      </c>
      <c r="AB407" s="14">
        <v>47.0</v>
      </c>
      <c r="AC407" s="14">
        <v>33.0</v>
      </c>
    </row>
    <row r="408">
      <c r="A408" s="27">
        <f>HYPERLINK("https://arcprize.org/play?task=ff805c23", 400)</f>
        <v>400</v>
      </c>
      <c r="B408" s="14">
        <f>IFERROR(__xludf.DUMMYFUNCTION("min(filter(Scores!B411:AX411,Scores!B411:AX411&gt;0))"),66.0)</f>
        <v>66</v>
      </c>
      <c r="C408" s="14">
        <v>2434.0</v>
      </c>
      <c r="D408" s="51" t="str">
        <f t="array" ref="D408">if(B408,if(countif(Scores!B411:AX411,B408)=1,concat("💎",XLOOKUP(B408,Scores!B411:AX411,Scores!B$1:AX$1)),concat("🥇 x",countif(Scores!B411:AX411,B408))),"")</f>
        <v>💎ox jam</v>
      </c>
      <c r="E408" s="14">
        <f>if(countif(Scores!B411:AX411,B408)=1,F408,-1)</f>
        <v>66</v>
      </c>
      <c r="F408" s="14">
        <f t="shared" si="1"/>
        <v>66</v>
      </c>
      <c r="G408" s="14">
        <f>IFERROR(__xludf.DUMMYFUNCTION("if(iferror(small(filter(Scores!B411:AX411,Scores!B411:AX411&gt;0),2),-1)&lt;&gt;F408,iferror(small(filter(Scores!B411:AX411,Scores!B411:AX411&gt;0),2),-1),-1)"),67.0)</f>
        <v>67</v>
      </c>
      <c r="H408" s="14">
        <f>IFERROR(__xludf.DUMMYFUNCTION("if(iferror(small(filter(Scores!B411:AX411,Scores!B411:AX411&gt;0),3),-1)&lt;&gt;iferror(small(filter(Scores!B411:AX411,Scores!B411:AX411&gt;0),2),-1),iferror(small(filter(Scores!B411:AX411,Scores!B411:AX411&gt;0),3),-1),-1)"),-1.0)</f>
        <v>-1</v>
      </c>
      <c r="I408" s="14">
        <f>IFERROR(__xludf.DUMMYFUNCTION("IFERROR(COLUMNS(filter(Scores!B411:AE411,Scores!B411:AE411)),"""")"),41.0)</f>
        <v>41</v>
      </c>
      <c r="J408" s="14">
        <f>COUNTIF(Scores!B411:AX411,B408)</f>
        <v>1</v>
      </c>
      <c r="K408" s="21">
        <f>IFERROR(__xludf.DUMMYFUNCTION("""COMPUTED_VALUE"""),400.0)</f>
        <v>400</v>
      </c>
      <c r="L408" s="36"/>
      <c r="S408" s="21">
        <v>366.0</v>
      </c>
      <c r="T408" s="14">
        <v>301.0</v>
      </c>
      <c r="U408" s="14">
        <v>2199.0</v>
      </c>
      <c r="W408" s="21">
        <v>155.0</v>
      </c>
      <c r="X408" s="14">
        <v>18.0</v>
      </c>
      <c r="Y408" s="14">
        <v>2482.0</v>
      </c>
      <c r="AA408" s="21">
        <v>1.0</v>
      </c>
      <c r="AB408" s="14">
        <v>48.0</v>
      </c>
      <c r="AC408" s="14">
        <v>58.0</v>
      </c>
    </row>
  </sheetData>
  <dataValidations>
    <dataValidation type="list" allowBlank="1" showErrorMessage="1" sqref="K2">
      <formula1>Scores!$B$1:AE$1</formula1>
    </dataValidation>
  </dataValidations>
  <hyperlinks>
    <hyperlink r:id="rId1" ref="K10"/>
    <hyperlink r:id="rId2" ref="S10"/>
    <hyperlink r:id="rId3" ref="W10"/>
    <hyperlink r:id="rId4" ref="AA10"/>
    <hyperlink r:id="rId5" ref="K11"/>
    <hyperlink r:id="rId6" ref="S11"/>
    <hyperlink r:id="rId7" ref="W11"/>
    <hyperlink r:id="rId8" ref="AA11"/>
    <hyperlink r:id="rId9" ref="K12"/>
    <hyperlink r:id="rId10" ref="S12"/>
    <hyperlink r:id="rId11" ref="W12"/>
    <hyperlink r:id="rId12" ref="AA12"/>
    <hyperlink r:id="rId13" ref="K13"/>
    <hyperlink r:id="rId14" ref="S13"/>
    <hyperlink r:id="rId15" ref="W13"/>
    <hyperlink r:id="rId16" ref="AA13"/>
    <hyperlink r:id="rId17" ref="K14"/>
    <hyperlink r:id="rId18" ref="S14"/>
    <hyperlink r:id="rId19" ref="W14"/>
    <hyperlink r:id="rId20" ref="AA14"/>
    <hyperlink r:id="rId21" ref="K15"/>
    <hyperlink r:id="rId22" ref="S15"/>
    <hyperlink r:id="rId23" ref="W15"/>
    <hyperlink r:id="rId24" ref="AA15"/>
    <hyperlink r:id="rId25" ref="K16"/>
    <hyperlink r:id="rId26" ref="S16"/>
    <hyperlink r:id="rId27" ref="W16"/>
    <hyperlink r:id="rId28" ref="AA16"/>
    <hyperlink r:id="rId29" ref="K17"/>
    <hyperlink r:id="rId30" ref="S17"/>
    <hyperlink r:id="rId31" ref="W17"/>
    <hyperlink r:id="rId32" ref="AA17"/>
    <hyperlink r:id="rId33" ref="K18"/>
    <hyperlink r:id="rId34" ref="S18"/>
    <hyperlink r:id="rId35" ref="W18"/>
    <hyperlink r:id="rId36" ref="AA18"/>
    <hyperlink r:id="rId37" ref="K19"/>
    <hyperlink r:id="rId38" ref="S19"/>
    <hyperlink r:id="rId39" ref="W19"/>
    <hyperlink r:id="rId40" ref="AA19"/>
    <hyperlink r:id="rId41" ref="K20"/>
    <hyperlink r:id="rId42" ref="S20"/>
    <hyperlink r:id="rId43" ref="W20"/>
    <hyperlink r:id="rId44" ref="AA20"/>
    <hyperlink r:id="rId45" ref="K21"/>
    <hyperlink r:id="rId46" ref="S21"/>
    <hyperlink r:id="rId47" ref="W21"/>
    <hyperlink r:id="rId48" ref="AA21"/>
    <hyperlink r:id="rId49" ref="K22"/>
    <hyperlink r:id="rId50" ref="S22"/>
    <hyperlink r:id="rId51" ref="W22"/>
    <hyperlink r:id="rId52" ref="AA22"/>
    <hyperlink r:id="rId53" ref="K23"/>
    <hyperlink r:id="rId54" ref="S23"/>
    <hyperlink r:id="rId55" ref="W23"/>
    <hyperlink r:id="rId56" ref="AA23"/>
    <hyperlink r:id="rId57" ref="K24"/>
    <hyperlink r:id="rId58" ref="S24"/>
    <hyperlink r:id="rId59" ref="W24"/>
    <hyperlink r:id="rId60" ref="AA24"/>
    <hyperlink r:id="rId61" ref="K25"/>
    <hyperlink r:id="rId62" ref="S25"/>
    <hyperlink r:id="rId63" ref="W25"/>
    <hyperlink r:id="rId64" ref="AA25"/>
    <hyperlink r:id="rId65" ref="K26"/>
    <hyperlink r:id="rId66" ref="S26"/>
    <hyperlink r:id="rId67" ref="W26"/>
    <hyperlink r:id="rId68" ref="AA26"/>
    <hyperlink r:id="rId69" ref="K27"/>
    <hyperlink r:id="rId70" ref="S27"/>
    <hyperlink r:id="rId71" ref="W27"/>
    <hyperlink r:id="rId72" ref="AA27"/>
    <hyperlink r:id="rId73" ref="K28"/>
    <hyperlink r:id="rId74" ref="S28"/>
    <hyperlink r:id="rId75" ref="W28"/>
    <hyperlink r:id="rId76" ref="AA28"/>
    <hyperlink r:id="rId77" ref="K29"/>
    <hyperlink r:id="rId78" ref="S29"/>
    <hyperlink r:id="rId79" ref="W29"/>
    <hyperlink r:id="rId80" ref="AA29"/>
    <hyperlink r:id="rId81" ref="K30"/>
    <hyperlink r:id="rId82" ref="S30"/>
    <hyperlink r:id="rId83" ref="W30"/>
    <hyperlink r:id="rId84" ref="AA30"/>
    <hyperlink r:id="rId85" ref="K31"/>
    <hyperlink r:id="rId86" ref="S31"/>
    <hyperlink r:id="rId87" ref="W31"/>
    <hyperlink r:id="rId88" ref="AA31"/>
    <hyperlink r:id="rId89" ref="K32"/>
    <hyperlink r:id="rId90" ref="S32"/>
    <hyperlink r:id="rId91" ref="W32"/>
    <hyperlink r:id="rId92" ref="AA32"/>
    <hyperlink r:id="rId93" ref="K33"/>
    <hyperlink r:id="rId94" ref="S33"/>
    <hyperlink r:id="rId95" ref="W33"/>
    <hyperlink r:id="rId96" ref="AA33"/>
    <hyperlink r:id="rId97" ref="K34"/>
    <hyperlink r:id="rId98" ref="S34"/>
    <hyperlink r:id="rId99" ref="W34"/>
    <hyperlink r:id="rId100" ref="AA34"/>
    <hyperlink r:id="rId101" ref="K35"/>
    <hyperlink r:id="rId102" ref="S35"/>
    <hyperlink r:id="rId103" ref="W35"/>
    <hyperlink r:id="rId104" ref="AA35"/>
    <hyperlink r:id="rId105" ref="K36"/>
    <hyperlink r:id="rId106" ref="S36"/>
    <hyperlink r:id="rId107" ref="W36"/>
    <hyperlink r:id="rId108" ref="AA36"/>
    <hyperlink r:id="rId109" ref="K37"/>
    <hyperlink r:id="rId110" ref="S37"/>
    <hyperlink r:id="rId111" ref="W37"/>
    <hyperlink r:id="rId112" ref="AA37"/>
    <hyperlink r:id="rId113" ref="K38"/>
    <hyperlink r:id="rId114" ref="S38"/>
    <hyperlink r:id="rId115" ref="W38"/>
    <hyperlink r:id="rId116" ref="AA38"/>
    <hyperlink r:id="rId117" ref="K39"/>
    <hyperlink r:id="rId118" ref="S39"/>
    <hyperlink r:id="rId119" ref="W39"/>
    <hyperlink r:id="rId120" ref="AA39"/>
    <hyperlink r:id="rId121" ref="K40"/>
    <hyperlink r:id="rId122" ref="S40"/>
    <hyperlink r:id="rId123" ref="W40"/>
    <hyperlink r:id="rId124" ref="AA40"/>
    <hyperlink r:id="rId125" ref="K41"/>
    <hyperlink r:id="rId126" ref="S41"/>
    <hyperlink r:id="rId127" ref="W41"/>
    <hyperlink r:id="rId128" ref="AA41"/>
    <hyperlink r:id="rId129" ref="K42"/>
    <hyperlink r:id="rId130" ref="S42"/>
    <hyperlink r:id="rId131" ref="W42"/>
    <hyperlink r:id="rId132" ref="AA42"/>
    <hyperlink r:id="rId133" ref="K43"/>
    <hyperlink r:id="rId134" ref="S43"/>
    <hyperlink r:id="rId135" ref="W43"/>
    <hyperlink r:id="rId136" ref="AA43"/>
    <hyperlink r:id="rId137" ref="K44"/>
    <hyperlink r:id="rId138" ref="S44"/>
    <hyperlink r:id="rId139" ref="W44"/>
    <hyperlink r:id="rId140" ref="AA44"/>
    <hyperlink r:id="rId141" ref="K45"/>
    <hyperlink r:id="rId142" ref="S45"/>
    <hyperlink r:id="rId143" ref="W45"/>
    <hyperlink r:id="rId144" ref="AA45"/>
    <hyperlink r:id="rId145" ref="K46"/>
    <hyperlink r:id="rId146" ref="S46"/>
    <hyperlink r:id="rId147" ref="W46"/>
    <hyperlink r:id="rId148" ref="AA46"/>
    <hyperlink r:id="rId149" ref="K47"/>
    <hyperlink r:id="rId150" ref="S47"/>
    <hyperlink r:id="rId151" ref="W47"/>
    <hyperlink r:id="rId152" ref="AA47"/>
    <hyperlink r:id="rId153" ref="K48"/>
    <hyperlink r:id="rId154" ref="S48"/>
    <hyperlink r:id="rId155" ref="W48"/>
    <hyperlink r:id="rId156" ref="AA48"/>
    <hyperlink r:id="rId157" ref="K49"/>
    <hyperlink r:id="rId158" ref="S49"/>
    <hyperlink r:id="rId159" ref="W49"/>
    <hyperlink r:id="rId160" ref="AA49"/>
    <hyperlink r:id="rId161" ref="K50"/>
    <hyperlink r:id="rId162" ref="S50"/>
    <hyperlink r:id="rId163" ref="W50"/>
    <hyperlink r:id="rId164" ref="AA50"/>
    <hyperlink r:id="rId165" ref="K51"/>
    <hyperlink r:id="rId166" ref="S51"/>
    <hyperlink r:id="rId167" ref="W51"/>
    <hyperlink r:id="rId168" ref="AA51"/>
    <hyperlink r:id="rId169" ref="K52"/>
    <hyperlink r:id="rId170" ref="S52"/>
    <hyperlink r:id="rId171" ref="W52"/>
    <hyperlink r:id="rId172" ref="AA52"/>
    <hyperlink r:id="rId173" ref="K53"/>
    <hyperlink r:id="rId174" ref="S53"/>
    <hyperlink r:id="rId175" ref="W53"/>
    <hyperlink r:id="rId176" ref="AA53"/>
    <hyperlink r:id="rId177" ref="K54"/>
    <hyperlink r:id="rId178" ref="S54"/>
    <hyperlink r:id="rId179" ref="W54"/>
    <hyperlink r:id="rId180" ref="AA54"/>
    <hyperlink r:id="rId181" ref="K55"/>
    <hyperlink r:id="rId182" ref="S55"/>
    <hyperlink r:id="rId183" ref="W55"/>
    <hyperlink r:id="rId184" ref="AA55"/>
    <hyperlink r:id="rId185" ref="K56"/>
    <hyperlink r:id="rId186" ref="S56"/>
    <hyperlink r:id="rId187" ref="W56"/>
    <hyperlink r:id="rId188" ref="AA56"/>
    <hyperlink r:id="rId189" ref="K57"/>
    <hyperlink r:id="rId190" ref="S57"/>
    <hyperlink r:id="rId191" ref="W57"/>
    <hyperlink r:id="rId192" ref="AA57"/>
    <hyperlink r:id="rId193" ref="K58"/>
    <hyperlink r:id="rId194" ref="S58"/>
    <hyperlink r:id="rId195" ref="W58"/>
    <hyperlink r:id="rId196" ref="AA58"/>
    <hyperlink r:id="rId197" ref="K59"/>
    <hyperlink r:id="rId198" ref="S59"/>
    <hyperlink r:id="rId199" ref="W59"/>
    <hyperlink r:id="rId200" ref="AA59"/>
    <hyperlink r:id="rId201" ref="K60"/>
    <hyperlink r:id="rId202" ref="S60"/>
    <hyperlink r:id="rId203" ref="W60"/>
    <hyperlink r:id="rId204" ref="AA60"/>
    <hyperlink r:id="rId205" ref="K61"/>
    <hyperlink r:id="rId206" ref="S61"/>
    <hyperlink r:id="rId207" ref="W61"/>
    <hyperlink r:id="rId208" ref="AA61"/>
    <hyperlink r:id="rId209" ref="K62"/>
    <hyperlink r:id="rId210" ref="S62"/>
    <hyperlink r:id="rId211" ref="W62"/>
    <hyperlink r:id="rId212" ref="AA62"/>
    <hyperlink r:id="rId213" ref="K63"/>
    <hyperlink r:id="rId214" ref="S63"/>
    <hyperlink r:id="rId215" ref="W63"/>
    <hyperlink r:id="rId216" ref="AA63"/>
    <hyperlink r:id="rId217" ref="K64"/>
    <hyperlink r:id="rId218" ref="S64"/>
    <hyperlink r:id="rId219" ref="W64"/>
    <hyperlink r:id="rId220" ref="AA64"/>
    <hyperlink r:id="rId221" ref="K65"/>
    <hyperlink r:id="rId222" ref="S65"/>
    <hyperlink r:id="rId223" ref="W65"/>
    <hyperlink r:id="rId224" ref="AA65"/>
    <hyperlink r:id="rId225" ref="K66"/>
    <hyperlink r:id="rId226" ref="S66"/>
    <hyperlink r:id="rId227" ref="W66"/>
    <hyperlink r:id="rId228" ref="AA66"/>
    <hyperlink r:id="rId229" ref="K67"/>
    <hyperlink r:id="rId230" ref="S67"/>
    <hyperlink r:id="rId231" ref="W67"/>
    <hyperlink r:id="rId232" ref="AA67"/>
    <hyperlink r:id="rId233" ref="K68"/>
    <hyperlink r:id="rId234" ref="S68"/>
    <hyperlink r:id="rId235" ref="W68"/>
    <hyperlink r:id="rId236" ref="AA68"/>
    <hyperlink r:id="rId237" ref="K69"/>
    <hyperlink r:id="rId238" ref="S69"/>
    <hyperlink r:id="rId239" ref="W69"/>
    <hyperlink r:id="rId240" ref="AA69"/>
    <hyperlink r:id="rId241" ref="K70"/>
    <hyperlink r:id="rId242" ref="S70"/>
    <hyperlink r:id="rId243" ref="W70"/>
    <hyperlink r:id="rId244" ref="AA70"/>
    <hyperlink r:id="rId245" ref="K71"/>
    <hyperlink r:id="rId246" ref="S71"/>
    <hyperlink r:id="rId247" ref="W71"/>
    <hyperlink r:id="rId248" ref="AA71"/>
    <hyperlink r:id="rId249" ref="K72"/>
    <hyperlink r:id="rId250" ref="S72"/>
    <hyperlink r:id="rId251" ref="W72"/>
    <hyperlink r:id="rId252" ref="AA72"/>
    <hyperlink r:id="rId253" ref="K73"/>
    <hyperlink r:id="rId254" ref="S73"/>
    <hyperlink r:id="rId255" ref="W73"/>
    <hyperlink r:id="rId256" ref="AA73"/>
    <hyperlink r:id="rId257" ref="K74"/>
    <hyperlink r:id="rId258" ref="S74"/>
    <hyperlink r:id="rId259" ref="W74"/>
    <hyperlink r:id="rId260" ref="AA74"/>
    <hyperlink r:id="rId261" ref="K75"/>
    <hyperlink r:id="rId262" ref="S75"/>
    <hyperlink r:id="rId263" ref="W75"/>
    <hyperlink r:id="rId264" ref="AA75"/>
    <hyperlink r:id="rId265" ref="K76"/>
    <hyperlink r:id="rId266" ref="S76"/>
    <hyperlink r:id="rId267" ref="W76"/>
    <hyperlink r:id="rId268" ref="AA76"/>
    <hyperlink r:id="rId269" ref="K77"/>
    <hyperlink r:id="rId270" ref="S77"/>
    <hyperlink r:id="rId271" ref="W77"/>
    <hyperlink r:id="rId272" ref="AA77"/>
    <hyperlink r:id="rId273" ref="K78"/>
    <hyperlink r:id="rId274" ref="S78"/>
    <hyperlink r:id="rId275" ref="W78"/>
    <hyperlink r:id="rId276" ref="AA78"/>
    <hyperlink r:id="rId277" ref="K79"/>
    <hyperlink r:id="rId278" ref="S79"/>
    <hyperlink r:id="rId279" ref="W79"/>
    <hyperlink r:id="rId280" ref="AA79"/>
    <hyperlink r:id="rId281" ref="K80"/>
    <hyperlink r:id="rId282" ref="S80"/>
    <hyperlink r:id="rId283" ref="W80"/>
    <hyperlink r:id="rId284" ref="AA80"/>
    <hyperlink r:id="rId285" ref="K81"/>
    <hyperlink r:id="rId286" ref="S81"/>
    <hyperlink r:id="rId287" ref="W81"/>
    <hyperlink r:id="rId288" ref="AA81"/>
    <hyperlink r:id="rId289" ref="K82"/>
    <hyperlink r:id="rId290" ref="S82"/>
    <hyperlink r:id="rId291" ref="W82"/>
    <hyperlink r:id="rId292" ref="AA82"/>
    <hyperlink r:id="rId293" ref="K83"/>
    <hyperlink r:id="rId294" ref="S83"/>
    <hyperlink r:id="rId295" ref="W83"/>
    <hyperlink r:id="rId296" ref="AA83"/>
    <hyperlink r:id="rId297" ref="K84"/>
    <hyperlink r:id="rId298" ref="S84"/>
    <hyperlink r:id="rId299" ref="W84"/>
    <hyperlink r:id="rId300" ref="AA84"/>
    <hyperlink r:id="rId301" ref="K85"/>
    <hyperlink r:id="rId302" ref="S85"/>
    <hyperlink r:id="rId303" ref="W85"/>
    <hyperlink r:id="rId304" ref="AA85"/>
    <hyperlink r:id="rId305" ref="K86"/>
    <hyperlink r:id="rId306" ref="S86"/>
    <hyperlink r:id="rId307" ref="W86"/>
    <hyperlink r:id="rId308" ref="AA86"/>
    <hyperlink r:id="rId309" ref="K87"/>
    <hyperlink r:id="rId310" ref="S87"/>
    <hyperlink r:id="rId311" ref="W87"/>
    <hyperlink r:id="rId312" ref="AA87"/>
    <hyperlink r:id="rId313" ref="K88"/>
    <hyperlink r:id="rId314" ref="S88"/>
    <hyperlink r:id="rId315" ref="W88"/>
    <hyperlink r:id="rId316" ref="AA88"/>
    <hyperlink r:id="rId317" ref="K89"/>
    <hyperlink r:id="rId318" ref="S89"/>
    <hyperlink r:id="rId319" ref="W89"/>
    <hyperlink r:id="rId320" ref="AA89"/>
    <hyperlink r:id="rId321" ref="K90"/>
    <hyperlink r:id="rId322" ref="S90"/>
    <hyperlink r:id="rId323" ref="W90"/>
    <hyperlink r:id="rId324" ref="AA90"/>
    <hyperlink r:id="rId325" ref="K91"/>
    <hyperlink r:id="rId326" ref="S91"/>
    <hyperlink r:id="rId327" ref="W91"/>
    <hyperlink r:id="rId328" ref="AA91"/>
    <hyperlink r:id="rId329" ref="K92"/>
    <hyperlink r:id="rId330" ref="S92"/>
    <hyperlink r:id="rId331" ref="W92"/>
    <hyperlink r:id="rId332" ref="AA92"/>
    <hyperlink r:id="rId333" ref="K93"/>
    <hyperlink r:id="rId334" ref="S93"/>
    <hyperlink r:id="rId335" ref="W93"/>
    <hyperlink r:id="rId336" ref="AA93"/>
    <hyperlink r:id="rId337" ref="K94"/>
    <hyperlink r:id="rId338" ref="S94"/>
    <hyperlink r:id="rId339" ref="W94"/>
    <hyperlink r:id="rId340" ref="AA94"/>
    <hyperlink r:id="rId341" ref="K95"/>
    <hyperlink r:id="rId342" ref="S95"/>
    <hyperlink r:id="rId343" ref="W95"/>
    <hyperlink r:id="rId344" ref="AA95"/>
    <hyperlink r:id="rId345" ref="K96"/>
    <hyperlink r:id="rId346" ref="S96"/>
    <hyperlink r:id="rId347" ref="W96"/>
    <hyperlink r:id="rId348" ref="AA96"/>
    <hyperlink r:id="rId349" ref="K97"/>
    <hyperlink r:id="rId350" ref="S97"/>
    <hyperlink r:id="rId351" ref="W97"/>
    <hyperlink r:id="rId352" ref="AA97"/>
    <hyperlink r:id="rId353" ref="K98"/>
    <hyperlink r:id="rId354" ref="S98"/>
    <hyperlink r:id="rId355" ref="W98"/>
    <hyperlink r:id="rId356" ref="AA98"/>
    <hyperlink r:id="rId357" ref="K99"/>
    <hyperlink r:id="rId358" ref="S99"/>
    <hyperlink r:id="rId359" ref="W99"/>
    <hyperlink r:id="rId360" ref="AA99"/>
    <hyperlink r:id="rId361" ref="K100"/>
    <hyperlink r:id="rId362" ref="S100"/>
    <hyperlink r:id="rId363" ref="W100"/>
    <hyperlink r:id="rId364" ref="AA100"/>
    <hyperlink r:id="rId365" ref="K101"/>
    <hyperlink r:id="rId366" ref="S101"/>
    <hyperlink r:id="rId367" ref="W101"/>
    <hyperlink r:id="rId368" ref="AA101"/>
    <hyperlink r:id="rId369" ref="K102"/>
    <hyperlink r:id="rId370" ref="S102"/>
    <hyperlink r:id="rId371" ref="W102"/>
    <hyperlink r:id="rId372" ref="AA102"/>
    <hyperlink r:id="rId373" ref="K103"/>
    <hyperlink r:id="rId374" ref="S103"/>
    <hyperlink r:id="rId375" ref="W103"/>
    <hyperlink r:id="rId376" ref="AA103"/>
    <hyperlink r:id="rId377" ref="K104"/>
    <hyperlink r:id="rId378" ref="S104"/>
    <hyperlink r:id="rId379" ref="W104"/>
    <hyperlink r:id="rId380" ref="AA104"/>
    <hyperlink r:id="rId381" ref="K105"/>
    <hyperlink r:id="rId382" ref="S105"/>
    <hyperlink r:id="rId383" ref="W105"/>
    <hyperlink r:id="rId384" ref="AA105"/>
    <hyperlink r:id="rId385" ref="K106"/>
    <hyperlink r:id="rId386" ref="S106"/>
    <hyperlink r:id="rId387" ref="W106"/>
    <hyperlink r:id="rId388" ref="AA106"/>
    <hyperlink r:id="rId389" ref="K107"/>
    <hyperlink r:id="rId390" ref="S107"/>
    <hyperlink r:id="rId391" ref="W107"/>
    <hyperlink r:id="rId392" ref="AA107"/>
    <hyperlink r:id="rId393" ref="K108"/>
    <hyperlink r:id="rId394" ref="S108"/>
    <hyperlink r:id="rId395" ref="W108"/>
    <hyperlink r:id="rId396" ref="AA108"/>
    <hyperlink r:id="rId397" ref="K109"/>
    <hyperlink r:id="rId398" ref="S109"/>
    <hyperlink r:id="rId399" ref="W109"/>
    <hyperlink r:id="rId400" ref="AA109"/>
    <hyperlink r:id="rId401" ref="K110"/>
    <hyperlink r:id="rId402" ref="S110"/>
    <hyperlink r:id="rId403" ref="W110"/>
    <hyperlink r:id="rId404" ref="AA110"/>
    <hyperlink r:id="rId405" ref="K111"/>
    <hyperlink r:id="rId406" ref="S111"/>
    <hyperlink r:id="rId407" ref="W111"/>
    <hyperlink r:id="rId408" ref="AA111"/>
    <hyperlink r:id="rId409" ref="K112"/>
    <hyperlink r:id="rId410" ref="S112"/>
    <hyperlink r:id="rId411" ref="W112"/>
    <hyperlink r:id="rId412" ref="AA112"/>
    <hyperlink r:id="rId413" ref="K113"/>
    <hyperlink r:id="rId414" ref="S113"/>
    <hyperlink r:id="rId415" ref="W113"/>
    <hyperlink r:id="rId416" ref="AA113"/>
    <hyperlink r:id="rId417" ref="K114"/>
    <hyperlink r:id="rId418" ref="S114"/>
    <hyperlink r:id="rId419" ref="W114"/>
    <hyperlink r:id="rId420" ref="AA114"/>
    <hyperlink r:id="rId421" ref="K115"/>
    <hyperlink r:id="rId422" ref="S115"/>
    <hyperlink r:id="rId423" ref="W115"/>
    <hyperlink r:id="rId424" ref="AA115"/>
    <hyperlink r:id="rId425" ref="K116"/>
    <hyperlink r:id="rId426" ref="S116"/>
    <hyperlink r:id="rId427" ref="W116"/>
    <hyperlink r:id="rId428" ref="AA116"/>
    <hyperlink r:id="rId429" ref="K117"/>
    <hyperlink r:id="rId430" ref="S117"/>
    <hyperlink r:id="rId431" ref="W117"/>
    <hyperlink r:id="rId432" ref="AA117"/>
    <hyperlink r:id="rId433" ref="K118"/>
    <hyperlink r:id="rId434" ref="S118"/>
    <hyperlink r:id="rId435" ref="W118"/>
    <hyperlink r:id="rId436" ref="AA118"/>
    <hyperlink r:id="rId437" ref="K119"/>
    <hyperlink r:id="rId438" ref="S119"/>
    <hyperlink r:id="rId439" ref="W119"/>
    <hyperlink r:id="rId440" ref="AA119"/>
    <hyperlink r:id="rId441" ref="K120"/>
    <hyperlink r:id="rId442" ref="S120"/>
    <hyperlink r:id="rId443" ref="W120"/>
    <hyperlink r:id="rId444" ref="AA120"/>
    <hyperlink r:id="rId445" ref="K121"/>
    <hyperlink r:id="rId446" ref="S121"/>
    <hyperlink r:id="rId447" ref="W121"/>
    <hyperlink r:id="rId448" ref="AA121"/>
    <hyperlink r:id="rId449" ref="K122"/>
    <hyperlink r:id="rId450" ref="S122"/>
    <hyperlink r:id="rId451" ref="W122"/>
    <hyperlink r:id="rId452" ref="AA122"/>
    <hyperlink r:id="rId453" ref="K123"/>
    <hyperlink r:id="rId454" ref="S123"/>
    <hyperlink r:id="rId455" ref="W123"/>
    <hyperlink r:id="rId456" ref="AA123"/>
    <hyperlink r:id="rId457" ref="K124"/>
    <hyperlink r:id="rId458" ref="S124"/>
    <hyperlink r:id="rId459" ref="W124"/>
    <hyperlink r:id="rId460" ref="AA124"/>
    <hyperlink r:id="rId461" ref="K125"/>
    <hyperlink r:id="rId462" ref="S125"/>
    <hyperlink r:id="rId463" ref="W125"/>
    <hyperlink r:id="rId464" ref="AA125"/>
    <hyperlink r:id="rId465" ref="K126"/>
    <hyperlink r:id="rId466" ref="S126"/>
    <hyperlink r:id="rId467" ref="W126"/>
    <hyperlink r:id="rId468" ref="AA126"/>
    <hyperlink r:id="rId469" ref="K127"/>
    <hyperlink r:id="rId470" ref="S127"/>
    <hyperlink r:id="rId471" ref="W127"/>
    <hyperlink r:id="rId472" ref="AA127"/>
    <hyperlink r:id="rId473" ref="K128"/>
    <hyperlink r:id="rId474" ref="S128"/>
    <hyperlink r:id="rId475" ref="W128"/>
    <hyperlink r:id="rId476" ref="AA128"/>
    <hyperlink r:id="rId477" ref="K129"/>
    <hyperlink r:id="rId478" ref="S129"/>
    <hyperlink r:id="rId479" ref="W129"/>
    <hyperlink r:id="rId480" ref="AA129"/>
    <hyperlink r:id="rId481" ref="K130"/>
    <hyperlink r:id="rId482" ref="S130"/>
    <hyperlink r:id="rId483" ref="W130"/>
    <hyperlink r:id="rId484" ref="AA130"/>
    <hyperlink r:id="rId485" ref="K131"/>
    <hyperlink r:id="rId486" ref="S131"/>
    <hyperlink r:id="rId487" ref="W131"/>
    <hyperlink r:id="rId488" ref="AA131"/>
    <hyperlink r:id="rId489" ref="K132"/>
    <hyperlink r:id="rId490" ref="S132"/>
    <hyperlink r:id="rId491" ref="W132"/>
    <hyperlink r:id="rId492" ref="AA132"/>
    <hyperlink r:id="rId493" ref="K133"/>
    <hyperlink r:id="rId494" ref="S133"/>
    <hyperlink r:id="rId495" ref="W133"/>
    <hyperlink r:id="rId496" ref="AA133"/>
    <hyperlink r:id="rId497" ref="K134"/>
    <hyperlink r:id="rId498" ref="S134"/>
    <hyperlink r:id="rId499" ref="W134"/>
    <hyperlink r:id="rId500" ref="AA134"/>
    <hyperlink r:id="rId501" ref="K135"/>
    <hyperlink r:id="rId502" ref="S135"/>
    <hyperlink r:id="rId503" ref="W135"/>
    <hyperlink r:id="rId504" ref="AA135"/>
    <hyperlink r:id="rId505" ref="K136"/>
    <hyperlink r:id="rId506" ref="S136"/>
    <hyperlink r:id="rId507" ref="W136"/>
    <hyperlink r:id="rId508" ref="AA136"/>
    <hyperlink r:id="rId509" ref="K137"/>
    <hyperlink r:id="rId510" ref="S137"/>
    <hyperlink r:id="rId511" ref="W137"/>
    <hyperlink r:id="rId512" ref="AA137"/>
    <hyperlink r:id="rId513" ref="K138"/>
    <hyperlink r:id="rId514" ref="S138"/>
    <hyperlink r:id="rId515" ref="W138"/>
    <hyperlink r:id="rId516" ref="AA138"/>
    <hyperlink r:id="rId517" ref="K139"/>
    <hyperlink r:id="rId518" ref="S139"/>
    <hyperlink r:id="rId519" ref="W139"/>
    <hyperlink r:id="rId520" ref="AA139"/>
    <hyperlink r:id="rId521" ref="K140"/>
    <hyperlink r:id="rId522" ref="S140"/>
    <hyperlink r:id="rId523" ref="W140"/>
    <hyperlink r:id="rId524" ref="AA140"/>
    <hyperlink r:id="rId525" ref="K141"/>
    <hyperlink r:id="rId526" ref="S141"/>
    <hyperlink r:id="rId527" ref="W141"/>
    <hyperlink r:id="rId528" ref="AA141"/>
    <hyperlink r:id="rId529" ref="K142"/>
    <hyperlink r:id="rId530" ref="S142"/>
    <hyperlink r:id="rId531" ref="W142"/>
    <hyperlink r:id="rId532" ref="AA142"/>
    <hyperlink r:id="rId533" ref="K143"/>
    <hyperlink r:id="rId534" ref="S143"/>
    <hyperlink r:id="rId535" ref="W143"/>
    <hyperlink r:id="rId536" ref="AA143"/>
    <hyperlink r:id="rId537" ref="K144"/>
    <hyperlink r:id="rId538" ref="S144"/>
    <hyperlink r:id="rId539" ref="W144"/>
    <hyperlink r:id="rId540" ref="AA144"/>
    <hyperlink r:id="rId541" ref="K145"/>
    <hyperlink r:id="rId542" ref="S145"/>
    <hyperlink r:id="rId543" ref="W145"/>
    <hyperlink r:id="rId544" ref="AA145"/>
    <hyperlink r:id="rId545" ref="K146"/>
    <hyperlink r:id="rId546" ref="S146"/>
    <hyperlink r:id="rId547" ref="W146"/>
    <hyperlink r:id="rId548" ref="AA146"/>
    <hyperlink r:id="rId549" ref="K147"/>
    <hyperlink r:id="rId550" ref="S147"/>
    <hyperlink r:id="rId551" ref="W147"/>
    <hyperlink r:id="rId552" ref="AA147"/>
    <hyperlink r:id="rId553" ref="K148"/>
    <hyperlink r:id="rId554" ref="S148"/>
    <hyperlink r:id="rId555" ref="W148"/>
    <hyperlink r:id="rId556" ref="AA148"/>
    <hyperlink r:id="rId557" ref="K149"/>
    <hyperlink r:id="rId558" ref="S149"/>
    <hyperlink r:id="rId559" ref="W149"/>
    <hyperlink r:id="rId560" ref="AA149"/>
    <hyperlink r:id="rId561" ref="K150"/>
    <hyperlink r:id="rId562" ref="S150"/>
    <hyperlink r:id="rId563" ref="W150"/>
    <hyperlink r:id="rId564" ref="AA150"/>
    <hyperlink r:id="rId565" ref="K151"/>
    <hyperlink r:id="rId566" ref="S151"/>
    <hyperlink r:id="rId567" ref="W151"/>
    <hyperlink r:id="rId568" ref="AA151"/>
    <hyperlink r:id="rId569" ref="K152"/>
    <hyperlink r:id="rId570" ref="S152"/>
    <hyperlink r:id="rId571" ref="W152"/>
    <hyperlink r:id="rId572" ref="AA152"/>
    <hyperlink r:id="rId573" ref="K153"/>
    <hyperlink r:id="rId574" ref="S153"/>
    <hyperlink r:id="rId575" ref="W153"/>
    <hyperlink r:id="rId576" ref="AA153"/>
    <hyperlink r:id="rId577" ref="K154"/>
    <hyperlink r:id="rId578" ref="S154"/>
    <hyperlink r:id="rId579" ref="W154"/>
    <hyperlink r:id="rId580" ref="AA154"/>
    <hyperlink r:id="rId581" ref="K155"/>
    <hyperlink r:id="rId582" ref="S155"/>
    <hyperlink r:id="rId583" ref="W155"/>
    <hyperlink r:id="rId584" ref="AA155"/>
    <hyperlink r:id="rId585" ref="K156"/>
    <hyperlink r:id="rId586" ref="S156"/>
    <hyperlink r:id="rId587" ref="W156"/>
    <hyperlink r:id="rId588" ref="AA156"/>
    <hyperlink r:id="rId589" ref="K157"/>
    <hyperlink r:id="rId590" ref="S157"/>
    <hyperlink r:id="rId591" ref="W157"/>
    <hyperlink r:id="rId592" ref="AA157"/>
    <hyperlink r:id="rId593" ref="K158"/>
    <hyperlink r:id="rId594" ref="S158"/>
    <hyperlink r:id="rId595" ref="W158"/>
    <hyperlink r:id="rId596" ref="AA158"/>
    <hyperlink r:id="rId597" ref="K159"/>
    <hyperlink r:id="rId598" ref="S159"/>
    <hyperlink r:id="rId599" ref="W159"/>
    <hyperlink r:id="rId600" ref="AA159"/>
    <hyperlink r:id="rId601" ref="K160"/>
    <hyperlink r:id="rId602" ref="S160"/>
    <hyperlink r:id="rId603" ref="W160"/>
    <hyperlink r:id="rId604" ref="AA160"/>
    <hyperlink r:id="rId605" ref="K161"/>
    <hyperlink r:id="rId606" ref="S161"/>
    <hyperlink r:id="rId607" ref="W161"/>
    <hyperlink r:id="rId608" ref="AA161"/>
    <hyperlink r:id="rId609" ref="K162"/>
    <hyperlink r:id="rId610" ref="S162"/>
    <hyperlink r:id="rId611" ref="W162"/>
    <hyperlink r:id="rId612" ref="AA162"/>
    <hyperlink r:id="rId613" ref="K163"/>
    <hyperlink r:id="rId614" ref="S163"/>
    <hyperlink r:id="rId615" ref="W163"/>
    <hyperlink r:id="rId616" ref="AA163"/>
    <hyperlink r:id="rId617" ref="K164"/>
    <hyperlink r:id="rId618" ref="S164"/>
    <hyperlink r:id="rId619" ref="W164"/>
    <hyperlink r:id="rId620" ref="AA164"/>
    <hyperlink r:id="rId621" ref="K165"/>
    <hyperlink r:id="rId622" ref="S165"/>
    <hyperlink r:id="rId623" ref="W165"/>
    <hyperlink r:id="rId624" ref="AA165"/>
    <hyperlink r:id="rId625" ref="K166"/>
    <hyperlink r:id="rId626" ref="S166"/>
    <hyperlink r:id="rId627" ref="W166"/>
    <hyperlink r:id="rId628" ref="AA166"/>
    <hyperlink r:id="rId629" ref="K167"/>
    <hyperlink r:id="rId630" ref="S167"/>
    <hyperlink r:id="rId631" ref="W167"/>
    <hyperlink r:id="rId632" ref="AA167"/>
    <hyperlink r:id="rId633" ref="K168"/>
    <hyperlink r:id="rId634" ref="S168"/>
    <hyperlink r:id="rId635" ref="W168"/>
    <hyperlink r:id="rId636" ref="AA168"/>
    <hyperlink r:id="rId637" ref="K169"/>
    <hyperlink r:id="rId638" ref="S169"/>
    <hyperlink r:id="rId639" ref="W169"/>
    <hyperlink r:id="rId640" ref="AA169"/>
    <hyperlink r:id="rId641" ref="K170"/>
    <hyperlink r:id="rId642" ref="S170"/>
    <hyperlink r:id="rId643" ref="W170"/>
    <hyperlink r:id="rId644" ref="AA170"/>
    <hyperlink r:id="rId645" ref="K171"/>
    <hyperlink r:id="rId646" ref="S171"/>
    <hyperlink r:id="rId647" ref="W171"/>
    <hyperlink r:id="rId648" ref="AA171"/>
    <hyperlink r:id="rId649" ref="K172"/>
    <hyperlink r:id="rId650" ref="S172"/>
    <hyperlink r:id="rId651" ref="W172"/>
    <hyperlink r:id="rId652" ref="AA172"/>
    <hyperlink r:id="rId653" ref="K173"/>
    <hyperlink r:id="rId654" ref="S173"/>
    <hyperlink r:id="rId655" ref="W173"/>
    <hyperlink r:id="rId656" ref="AA173"/>
    <hyperlink r:id="rId657" ref="K174"/>
    <hyperlink r:id="rId658" ref="S174"/>
    <hyperlink r:id="rId659" ref="W174"/>
    <hyperlink r:id="rId660" ref="AA174"/>
    <hyperlink r:id="rId661" ref="K175"/>
    <hyperlink r:id="rId662" ref="S175"/>
    <hyperlink r:id="rId663" ref="W175"/>
    <hyperlink r:id="rId664" ref="AA175"/>
    <hyperlink r:id="rId665" ref="K176"/>
    <hyperlink r:id="rId666" ref="S176"/>
    <hyperlink r:id="rId667" ref="W176"/>
    <hyperlink r:id="rId668" ref="AA176"/>
    <hyperlink r:id="rId669" ref="K177"/>
    <hyperlink r:id="rId670" ref="S177"/>
    <hyperlink r:id="rId671" ref="W177"/>
    <hyperlink r:id="rId672" ref="AA177"/>
    <hyperlink r:id="rId673" ref="K178"/>
    <hyperlink r:id="rId674" ref="S178"/>
    <hyperlink r:id="rId675" ref="W178"/>
    <hyperlink r:id="rId676" ref="AA178"/>
    <hyperlink r:id="rId677" ref="K179"/>
    <hyperlink r:id="rId678" ref="S179"/>
    <hyperlink r:id="rId679" ref="W179"/>
    <hyperlink r:id="rId680" ref="AA179"/>
    <hyperlink r:id="rId681" ref="K180"/>
    <hyperlink r:id="rId682" ref="S180"/>
    <hyperlink r:id="rId683" ref="W180"/>
    <hyperlink r:id="rId684" ref="AA180"/>
    <hyperlink r:id="rId685" ref="K181"/>
    <hyperlink r:id="rId686" ref="S181"/>
    <hyperlink r:id="rId687" ref="W181"/>
    <hyperlink r:id="rId688" ref="AA181"/>
    <hyperlink r:id="rId689" ref="K182"/>
    <hyperlink r:id="rId690" ref="S182"/>
    <hyperlink r:id="rId691" ref="W182"/>
    <hyperlink r:id="rId692" ref="AA182"/>
    <hyperlink r:id="rId693" ref="K183"/>
    <hyperlink r:id="rId694" ref="S183"/>
    <hyperlink r:id="rId695" ref="W183"/>
    <hyperlink r:id="rId696" ref="AA183"/>
    <hyperlink r:id="rId697" ref="K184"/>
    <hyperlink r:id="rId698" ref="S184"/>
    <hyperlink r:id="rId699" ref="W184"/>
    <hyperlink r:id="rId700" ref="AA184"/>
    <hyperlink r:id="rId701" ref="K185"/>
    <hyperlink r:id="rId702" ref="S185"/>
    <hyperlink r:id="rId703" ref="W185"/>
    <hyperlink r:id="rId704" ref="AA185"/>
    <hyperlink r:id="rId705" ref="K186"/>
    <hyperlink r:id="rId706" ref="S186"/>
    <hyperlink r:id="rId707" ref="W186"/>
    <hyperlink r:id="rId708" ref="AA186"/>
    <hyperlink r:id="rId709" ref="K187"/>
    <hyperlink r:id="rId710" ref="S187"/>
    <hyperlink r:id="rId711" ref="W187"/>
    <hyperlink r:id="rId712" ref="AA187"/>
    <hyperlink r:id="rId713" ref="K188"/>
    <hyperlink r:id="rId714" ref="S188"/>
    <hyperlink r:id="rId715" ref="W188"/>
    <hyperlink r:id="rId716" ref="AA188"/>
    <hyperlink r:id="rId717" ref="K189"/>
    <hyperlink r:id="rId718" ref="S189"/>
    <hyperlink r:id="rId719" ref="W189"/>
    <hyperlink r:id="rId720" ref="AA189"/>
    <hyperlink r:id="rId721" ref="K190"/>
    <hyperlink r:id="rId722" ref="S190"/>
    <hyperlink r:id="rId723" ref="W190"/>
    <hyperlink r:id="rId724" ref="AA190"/>
    <hyperlink r:id="rId725" ref="K191"/>
    <hyperlink r:id="rId726" ref="S191"/>
    <hyperlink r:id="rId727" ref="W191"/>
    <hyperlink r:id="rId728" ref="AA191"/>
    <hyperlink r:id="rId729" ref="K192"/>
    <hyperlink r:id="rId730" ref="S192"/>
    <hyperlink r:id="rId731" ref="W192"/>
    <hyperlink r:id="rId732" ref="AA192"/>
    <hyperlink r:id="rId733" ref="K193"/>
    <hyperlink r:id="rId734" ref="S193"/>
    <hyperlink r:id="rId735" ref="W193"/>
    <hyperlink r:id="rId736" ref="AA193"/>
    <hyperlink r:id="rId737" ref="K194"/>
    <hyperlink r:id="rId738" ref="S194"/>
    <hyperlink r:id="rId739" ref="W194"/>
    <hyperlink r:id="rId740" ref="AA194"/>
    <hyperlink r:id="rId741" ref="K195"/>
    <hyperlink r:id="rId742" ref="S195"/>
    <hyperlink r:id="rId743" ref="W195"/>
    <hyperlink r:id="rId744" ref="AA195"/>
    <hyperlink r:id="rId745" ref="K196"/>
    <hyperlink r:id="rId746" ref="S196"/>
    <hyperlink r:id="rId747" ref="W196"/>
    <hyperlink r:id="rId748" ref="AA196"/>
    <hyperlink r:id="rId749" ref="K197"/>
    <hyperlink r:id="rId750" ref="S197"/>
    <hyperlink r:id="rId751" ref="W197"/>
    <hyperlink r:id="rId752" ref="AA197"/>
    <hyperlink r:id="rId753" ref="K198"/>
    <hyperlink r:id="rId754" ref="S198"/>
    <hyperlink r:id="rId755" ref="W198"/>
    <hyperlink r:id="rId756" ref="AA198"/>
    <hyperlink r:id="rId757" ref="K199"/>
    <hyperlink r:id="rId758" ref="S199"/>
    <hyperlink r:id="rId759" ref="W199"/>
    <hyperlink r:id="rId760" ref="AA199"/>
    <hyperlink r:id="rId761" ref="K200"/>
    <hyperlink r:id="rId762" ref="S200"/>
    <hyperlink r:id="rId763" ref="W200"/>
    <hyperlink r:id="rId764" ref="AA200"/>
    <hyperlink r:id="rId765" ref="K201"/>
    <hyperlink r:id="rId766" ref="S201"/>
    <hyperlink r:id="rId767" ref="W201"/>
    <hyperlink r:id="rId768" ref="AA201"/>
    <hyperlink r:id="rId769" ref="K202"/>
    <hyperlink r:id="rId770" ref="S202"/>
    <hyperlink r:id="rId771" ref="W202"/>
    <hyperlink r:id="rId772" ref="AA202"/>
    <hyperlink r:id="rId773" ref="K203"/>
    <hyperlink r:id="rId774" ref="S203"/>
    <hyperlink r:id="rId775" ref="W203"/>
    <hyperlink r:id="rId776" ref="AA203"/>
    <hyperlink r:id="rId777" ref="K204"/>
    <hyperlink r:id="rId778" ref="S204"/>
    <hyperlink r:id="rId779" ref="W204"/>
    <hyperlink r:id="rId780" ref="AA204"/>
    <hyperlink r:id="rId781" ref="K205"/>
    <hyperlink r:id="rId782" ref="S205"/>
    <hyperlink r:id="rId783" ref="W205"/>
    <hyperlink r:id="rId784" ref="AA205"/>
    <hyperlink r:id="rId785" ref="K206"/>
    <hyperlink r:id="rId786" ref="S206"/>
    <hyperlink r:id="rId787" ref="W206"/>
    <hyperlink r:id="rId788" ref="AA206"/>
    <hyperlink r:id="rId789" ref="K207"/>
    <hyperlink r:id="rId790" ref="S207"/>
    <hyperlink r:id="rId791" ref="W207"/>
    <hyperlink r:id="rId792" ref="AA207"/>
    <hyperlink r:id="rId793" ref="K208"/>
    <hyperlink r:id="rId794" ref="S208"/>
    <hyperlink r:id="rId795" ref="W208"/>
    <hyperlink r:id="rId796" ref="AA208"/>
    <hyperlink r:id="rId797" ref="K209"/>
    <hyperlink r:id="rId798" ref="S209"/>
    <hyperlink r:id="rId799" ref="W209"/>
    <hyperlink r:id="rId800" ref="AA209"/>
    <hyperlink r:id="rId801" ref="K210"/>
    <hyperlink r:id="rId802" ref="S210"/>
    <hyperlink r:id="rId803" ref="W210"/>
    <hyperlink r:id="rId804" ref="AA210"/>
    <hyperlink r:id="rId805" ref="K211"/>
    <hyperlink r:id="rId806" ref="S211"/>
    <hyperlink r:id="rId807" ref="W211"/>
    <hyperlink r:id="rId808" ref="AA211"/>
    <hyperlink r:id="rId809" ref="K212"/>
    <hyperlink r:id="rId810" ref="S212"/>
    <hyperlink r:id="rId811" ref="W212"/>
    <hyperlink r:id="rId812" ref="AA212"/>
    <hyperlink r:id="rId813" ref="K213"/>
    <hyperlink r:id="rId814" ref="S213"/>
    <hyperlink r:id="rId815" ref="W213"/>
    <hyperlink r:id="rId816" ref="AA213"/>
    <hyperlink r:id="rId817" ref="K214"/>
    <hyperlink r:id="rId818" ref="S214"/>
    <hyperlink r:id="rId819" ref="W214"/>
    <hyperlink r:id="rId820" ref="AA214"/>
    <hyperlink r:id="rId821" ref="K215"/>
    <hyperlink r:id="rId822" ref="S215"/>
    <hyperlink r:id="rId823" ref="W215"/>
    <hyperlink r:id="rId824" ref="AA215"/>
    <hyperlink r:id="rId825" ref="K216"/>
    <hyperlink r:id="rId826" ref="S216"/>
    <hyperlink r:id="rId827" ref="W216"/>
    <hyperlink r:id="rId828" ref="AA216"/>
    <hyperlink r:id="rId829" ref="K217"/>
    <hyperlink r:id="rId830" ref="S217"/>
    <hyperlink r:id="rId831" ref="W217"/>
    <hyperlink r:id="rId832" ref="AA217"/>
    <hyperlink r:id="rId833" ref="K218"/>
    <hyperlink r:id="rId834" ref="S218"/>
    <hyperlink r:id="rId835" ref="W218"/>
    <hyperlink r:id="rId836" ref="AA218"/>
    <hyperlink r:id="rId837" ref="K219"/>
    <hyperlink r:id="rId838" ref="S219"/>
    <hyperlink r:id="rId839" ref="W219"/>
    <hyperlink r:id="rId840" ref="AA219"/>
    <hyperlink r:id="rId841" ref="K220"/>
    <hyperlink r:id="rId842" ref="S220"/>
    <hyperlink r:id="rId843" ref="W220"/>
    <hyperlink r:id="rId844" ref="AA220"/>
    <hyperlink r:id="rId845" ref="K221"/>
    <hyperlink r:id="rId846" ref="S221"/>
    <hyperlink r:id="rId847" ref="W221"/>
    <hyperlink r:id="rId848" ref="AA221"/>
    <hyperlink r:id="rId849" ref="K222"/>
    <hyperlink r:id="rId850" ref="S222"/>
    <hyperlink r:id="rId851" ref="W222"/>
    <hyperlink r:id="rId852" ref="AA222"/>
    <hyperlink r:id="rId853" ref="K223"/>
    <hyperlink r:id="rId854" ref="S223"/>
    <hyperlink r:id="rId855" ref="W223"/>
    <hyperlink r:id="rId856" ref="AA223"/>
    <hyperlink r:id="rId857" ref="K224"/>
    <hyperlink r:id="rId858" ref="S224"/>
    <hyperlink r:id="rId859" ref="W224"/>
    <hyperlink r:id="rId860" ref="AA224"/>
    <hyperlink r:id="rId861" ref="K225"/>
    <hyperlink r:id="rId862" ref="S225"/>
    <hyperlink r:id="rId863" ref="W225"/>
    <hyperlink r:id="rId864" ref="AA225"/>
    <hyperlink r:id="rId865" ref="K226"/>
    <hyperlink r:id="rId866" ref="S226"/>
    <hyperlink r:id="rId867" ref="W226"/>
    <hyperlink r:id="rId868" ref="AA226"/>
    <hyperlink r:id="rId869" ref="K227"/>
    <hyperlink r:id="rId870" ref="S227"/>
    <hyperlink r:id="rId871" ref="W227"/>
    <hyperlink r:id="rId872" ref="AA227"/>
    <hyperlink r:id="rId873" ref="K228"/>
    <hyperlink r:id="rId874" ref="S228"/>
    <hyperlink r:id="rId875" ref="W228"/>
    <hyperlink r:id="rId876" ref="AA228"/>
    <hyperlink r:id="rId877" ref="K229"/>
    <hyperlink r:id="rId878" ref="S229"/>
    <hyperlink r:id="rId879" ref="W229"/>
    <hyperlink r:id="rId880" ref="AA229"/>
    <hyperlink r:id="rId881" ref="K230"/>
    <hyperlink r:id="rId882" ref="S230"/>
    <hyperlink r:id="rId883" ref="W230"/>
    <hyperlink r:id="rId884" ref="AA230"/>
    <hyperlink r:id="rId885" ref="K231"/>
    <hyperlink r:id="rId886" ref="S231"/>
    <hyperlink r:id="rId887" ref="W231"/>
    <hyperlink r:id="rId888" ref="AA231"/>
    <hyperlink r:id="rId889" ref="K232"/>
    <hyperlink r:id="rId890" ref="S232"/>
    <hyperlink r:id="rId891" ref="W232"/>
    <hyperlink r:id="rId892" ref="AA232"/>
    <hyperlink r:id="rId893" ref="K233"/>
    <hyperlink r:id="rId894" ref="S233"/>
    <hyperlink r:id="rId895" ref="W233"/>
    <hyperlink r:id="rId896" ref="AA233"/>
    <hyperlink r:id="rId897" ref="K234"/>
    <hyperlink r:id="rId898" ref="S234"/>
    <hyperlink r:id="rId899" ref="W234"/>
    <hyperlink r:id="rId900" ref="AA234"/>
    <hyperlink r:id="rId901" ref="K235"/>
    <hyperlink r:id="rId902" ref="S235"/>
    <hyperlink r:id="rId903" ref="W235"/>
    <hyperlink r:id="rId904" ref="AA235"/>
    <hyperlink r:id="rId905" ref="K236"/>
    <hyperlink r:id="rId906" ref="S236"/>
    <hyperlink r:id="rId907" ref="W236"/>
    <hyperlink r:id="rId908" ref="AA236"/>
    <hyperlink r:id="rId909" ref="K237"/>
    <hyperlink r:id="rId910" ref="S237"/>
    <hyperlink r:id="rId911" ref="W237"/>
    <hyperlink r:id="rId912" ref="AA237"/>
    <hyperlink r:id="rId913" ref="K238"/>
    <hyperlink r:id="rId914" ref="S238"/>
    <hyperlink r:id="rId915" ref="W238"/>
    <hyperlink r:id="rId916" ref="AA238"/>
    <hyperlink r:id="rId917" ref="K239"/>
    <hyperlink r:id="rId918" ref="S239"/>
    <hyperlink r:id="rId919" ref="W239"/>
    <hyperlink r:id="rId920" ref="AA239"/>
    <hyperlink r:id="rId921" ref="K240"/>
    <hyperlink r:id="rId922" ref="S240"/>
    <hyperlink r:id="rId923" ref="W240"/>
    <hyperlink r:id="rId924" ref="AA240"/>
    <hyperlink r:id="rId925" ref="K241"/>
    <hyperlink r:id="rId926" ref="S241"/>
    <hyperlink r:id="rId927" ref="W241"/>
    <hyperlink r:id="rId928" ref="AA241"/>
    <hyperlink r:id="rId929" ref="K242"/>
    <hyperlink r:id="rId930" ref="S242"/>
    <hyperlink r:id="rId931" ref="W242"/>
    <hyperlink r:id="rId932" ref="AA242"/>
    <hyperlink r:id="rId933" ref="K243"/>
    <hyperlink r:id="rId934" ref="S243"/>
    <hyperlink r:id="rId935" ref="W243"/>
    <hyperlink r:id="rId936" ref="AA243"/>
    <hyperlink r:id="rId937" ref="K244"/>
    <hyperlink r:id="rId938" ref="S244"/>
    <hyperlink r:id="rId939" ref="W244"/>
    <hyperlink r:id="rId940" ref="AA244"/>
    <hyperlink r:id="rId941" ref="K245"/>
    <hyperlink r:id="rId942" ref="S245"/>
    <hyperlink r:id="rId943" ref="W245"/>
    <hyperlink r:id="rId944" ref="AA245"/>
    <hyperlink r:id="rId945" ref="K246"/>
    <hyperlink r:id="rId946" ref="S246"/>
    <hyperlink r:id="rId947" ref="W246"/>
    <hyperlink r:id="rId948" ref="AA246"/>
    <hyperlink r:id="rId949" ref="K247"/>
    <hyperlink r:id="rId950" ref="S247"/>
    <hyperlink r:id="rId951" ref="W247"/>
    <hyperlink r:id="rId952" ref="AA247"/>
    <hyperlink r:id="rId953" ref="K248"/>
    <hyperlink r:id="rId954" ref="S248"/>
    <hyperlink r:id="rId955" ref="W248"/>
    <hyperlink r:id="rId956" ref="AA248"/>
    <hyperlink r:id="rId957" ref="K249"/>
    <hyperlink r:id="rId958" ref="S249"/>
    <hyperlink r:id="rId959" ref="W249"/>
    <hyperlink r:id="rId960" ref="AA249"/>
    <hyperlink r:id="rId961" ref="K250"/>
    <hyperlink r:id="rId962" ref="S250"/>
    <hyperlink r:id="rId963" ref="W250"/>
    <hyperlink r:id="rId964" ref="AA250"/>
    <hyperlink r:id="rId965" ref="K251"/>
    <hyperlink r:id="rId966" ref="S251"/>
    <hyperlink r:id="rId967" ref="W251"/>
    <hyperlink r:id="rId968" ref="AA251"/>
    <hyperlink r:id="rId969" ref="K252"/>
    <hyperlink r:id="rId970" ref="S252"/>
    <hyperlink r:id="rId971" ref="W252"/>
    <hyperlink r:id="rId972" ref="AA252"/>
    <hyperlink r:id="rId973" ref="K253"/>
    <hyperlink r:id="rId974" ref="S253"/>
    <hyperlink r:id="rId975" ref="W253"/>
    <hyperlink r:id="rId976" ref="AA253"/>
    <hyperlink r:id="rId977" ref="K254"/>
    <hyperlink r:id="rId978" ref="S254"/>
    <hyperlink r:id="rId979" ref="W254"/>
    <hyperlink r:id="rId980" ref="AA254"/>
    <hyperlink r:id="rId981" ref="K255"/>
    <hyperlink r:id="rId982" ref="S255"/>
    <hyperlink r:id="rId983" ref="W255"/>
    <hyperlink r:id="rId984" ref="AA255"/>
    <hyperlink r:id="rId985" ref="K256"/>
    <hyperlink r:id="rId986" ref="S256"/>
    <hyperlink r:id="rId987" ref="W256"/>
    <hyperlink r:id="rId988" ref="AA256"/>
    <hyperlink r:id="rId989" ref="K257"/>
    <hyperlink r:id="rId990" ref="S257"/>
    <hyperlink r:id="rId991" ref="W257"/>
    <hyperlink r:id="rId992" ref="AA257"/>
    <hyperlink r:id="rId993" ref="K258"/>
    <hyperlink r:id="rId994" ref="S258"/>
    <hyperlink r:id="rId995" ref="W258"/>
    <hyperlink r:id="rId996" ref="AA258"/>
    <hyperlink r:id="rId997" ref="K259"/>
    <hyperlink r:id="rId998" ref="S259"/>
    <hyperlink r:id="rId999" ref="W259"/>
    <hyperlink r:id="rId1000" ref="AA259"/>
    <hyperlink r:id="rId1001" ref="K260"/>
    <hyperlink r:id="rId1002" ref="S260"/>
    <hyperlink r:id="rId1003" ref="W260"/>
    <hyperlink r:id="rId1004" ref="AA260"/>
    <hyperlink r:id="rId1005" ref="K261"/>
    <hyperlink r:id="rId1006" ref="S261"/>
    <hyperlink r:id="rId1007" ref="W261"/>
    <hyperlink r:id="rId1008" ref="AA261"/>
    <hyperlink r:id="rId1009" ref="K262"/>
    <hyperlink r:id="rId1010" ref="S262"/>
    <hyperlink r:id="rId1011" ref="W262"/>
    <hyperlink r:id="rId1012" ref="AA262"/>
    <hyperlink r:id="rId1013" ref="K263"/>
    <hyperlink r:id="rId1014" ref="S263"/>
    <hyperlink r:id="rId1015" ref="W263"/>
    <hyperlink r:id="rId1016" ref="AA263"/>
    <hyperlink r:id="rId1017" ref="K264"/>
    <hyperlink r:id="rId1018" ref="S264"/>
    <hyperlink r:id="rId1019" ref="W264"/>
    <hyperlink r:id="rId1020" ref="AA264"/>
    <hyperlink r:id="rId1021" ref="K265"/>
    <hyperlink r:id="rId1022" ref="S265"/>
    <hyperlink r:id="rId1023" ref="W265"/>
    <hyperlink r:id="rId1024" ref="AA265"/>
    <hyperlink r:id="rId1025" ref="K266"/>
    <hyperlink r:id="rId1026" ref="S266"/>
    <hyperlink r:id="rId1027" ref="W266"/>
    <hyperlink r:id="rId1028" ref="AA266"/>
    <hyperlink r:id="rId1029" ref="K267"/>
    <hyperlink r:id="rId1030" ref="S267"/>
    <hyperlink r:id="rId1031" ref="W267"/>
    <hyperlink r:id="rId1032" ref="AA267"/>
    <hyperlink r:id="rId1033" ref="K268"/>
    <hyperlink r:id="rId1034" ref="S268"/>
    <hyperlink r:id="rId1035" ref="W268"/>
    <hyperlink r:id="rId1036" ref="AA268"/>
    <hyperlink r:id="rId1037" ref="K269"/>
    <hyperlink r:id="rId1038" ref="S269"/>
    <hyperlink r:id="rId1039" ref="W269"/>
    <hyperlink r:id="rId1040" ref="AA269"/>
    <hyperlink r:id="rId1041" ref="K270"/>
    <hyperlink r:id="rId1042" ref="S270"/>
    <hyperlink r:id="rId1043" ref="W270"/>
    <hyperlink r:id="rId1044" ref="AA270"/>
    <hyperlink r:id="rId1045" ref="K271"/>
    <hyperlink r:id="rId1046" ref="S271"/>
    <hyperlink r:id="rId1047" ref="W271"/>
    <hyperlink r:id="rId1048" ref="AA271"/>
    <hyperlink r:id="rId1049" ref="K272"/>
    <hyperlink r:id="rId1050" ref="S272"/>
    <hyperlink r:id="rId1051" ref="W272"/>
    <hyperlink r:id="rId1052" ref="AA272"/>
    <hyperlink r:id="rId1053" ref="K273"/>
    <hyperlink r:id="rId1054" ref="S273"/>
    <hyperlink r:id="rId1055" ref="W273"/>
    <hyperlink r:id="rId1056" ref="AA273"/>
    <hyperlink r:id="rId1057" ref="K274"/>
    <hyperlink r:id="rId1058" ref="S274"/>
    <hyperlink r:id="rId1059" ref="W274"/>
    <hyperlink r:id="rId1060" ref="AA274"/>
    <hyperlink r:id="rId1061" ref="K275"/>
    <hyperlink r:id="rId1062" ref="S275"/>
    <hyperlink r:id="rId1063" ref="W275"/>
    <hyperlink r:id="rId1064" ref="AA275"/>
    <hyperlink r:id="rId1065" ref="K276"/>
    <hyperlink r:id="rId1066" ref="S276"/>
    <hyperlink r:id="rId1067" ref="W276"/>
    <hyperlink r:id="rId1068" ref="AA276"/>
    <hyperlink r:id="rId1069" ref="K277"/>
    <hyperlink r:id="rId1070" ref="S277"/>
    <hyperlink r:id="rId1071" ref="W277"/>
    <hyperlink r:id="rId1072" ref="AA277"/>
    <hyperlink r:id="rId1073" ref="K278"/>
    <hyperlink r:id="rId1074" ref="S278"/>
    <hyperlink r:id="rId1075" ref="W278"/>
    <hyperlink r:id="rId1076" ref="AA278"/>
    <hyperlink r:id="rId1077" ref="K279"/>
    <hyperlink r:id="rId1078" ref="S279"/>
    <hyperlink r:id="rId1079" ref="W279"/>
    <hyperlink r:id="rId1080" ref="AA279"/>
    <hyperlink r:id="rId1081" ref="K280"/>
    <hyperlink r:id="rId1082" ref="S280"/>
    <hyperlink r:id="rId1083" ref="W280"/>
    <hyperlink r:id="rId1084" ref="AA280"/>
    <hyperlink r:id="rId1085" ref="K281"/>
    <hyperlink r:id="rId1086" ref="S281"/>
    <hyperlink r:id="rId1087" ref="W281"/>
    <hyperlink r:id="rId1088" ref="AA281"/>
    <hyperlink r:id="rId1089" ref="K282"/>
    <hyperlink r:id="rId1090" ref="S282"/>
    <hyperlink r:id="rId1091" ref="W282"/>
    <hyperlink r:id="rId1092" ref="AA282"/>
    <hyperlink r:id="rId1093" ref="K283"/>
    <hyperlink r:id="rId1094" ref="S283"/>
    <hyperlink r:id="rId1095" ref="W283"/>
    <hyperlink r:id="rId1096" ref="AA283"/>
    <hyperlink r:id="rId1097" ref="K284"/>
    <hyperlink r:id="rId1098" ref="S284"/>
    <hyperlink r:id="rId1099" ref="W284"/>
    <hyperlink r:id="rId1100" ref="AA284"/>
    <hyperlink r:id="rId1101" ref="K285"/>
    <hyperlink r:id="rId1102" ref="S285"/>
    <hyperlink r:id="rId1103" ref="W285"/>
    <hyperlink r:id="rId1104" ref="AA285"/>
    <hyperlink r:id="rId1105" ref="K286"/>
    <hyperlink r:id="rId1106" ref="S286"/>
    <hyperlink r:id="rId1107" ref="W286"/>
    <hyperlink r:id="rId1108" ref="AA286"/>
    <hyperlink r:id="rId1109" ref="K287"/>
    <hyperlink r:id="rId1110" ref="S287"/>
    <hyperlink r:id="rId1111" ref="W287"/>
    <hyperlink r:id="rId1112" ref="AA287"/>
    <hyperlink r:id="rId1113" ref="K288"/>
    <hyperlink r:id="rId1114" ref="S288"/>
    <hyperlink r:id="rId1115" ref="W288"/>
    <hyperlink r:id="rId1116" ref="AA288"/>
    <hyperlink r:id="rId1117" ref="K289"/>
    <hyperlink r:id="rId1118" ref="S289"/>
    <hyperlink r:id="rId1119" ref="W289"/>
    <hyperlink r:id="rId1120" ref="AA289"/>
    <hyperlink r:id="rId1121" ref="K290"/>
    <hyperlink r:id="rId1122" ref="S290"/>
    <hyperlink r:id="rId1123" ref="W290"/>
    <hyperlink r:id="rId1124" ref="AA290"/>
    <hyperlink r:id="rId1125" ref="K291"/>
    <hyperlink r:id="rId1126" ref="S291"/>
    <hyperlink r:id="rId1127" ref="W291"/>
    <hyperlink r:id="rId1128" ref="AA291"/>
    <hyperlink r:id="rId1129" ref="K292"/>
    <hyperlink r:id="rId1130" ref="S292"/>
    <hyperlink r:id="rId1131" ref="W292"/>
    <hyperlink r:id="rId1132" ref="AA292"/>
    <hyperlink r:id="rId1133" ref="K293"/>
    <hyperlink r:id="rId1134" ref="S293"/>
    <hyperlink r:id="rId1135" ref="W293"/>
    <hyperlink r:id="rId1136" ref="AA293"/>
    <hyperlink r:id="rId1137" ref="K294"/>
    <hyperlink r:id="rId1138" ref="S294"/>
    <hyperlink r:id="rId1139" ref="W294"/>
    <hyperlink r:id="rId1140" ref="AA294"/>
    <hyperlink r:id="rId1141" ref="K295"/>
    <hyperlink r:id="rId1142" ref="S295"/>
    <hyperlink r:id="rId1143" ref="W295"/>
    <hyperlink r:id="rId1144" ref="AA295"/>
    <hyperlink r:id="rId1145" ref="K296"/>
    <hyperlink r:id="rId1146" ref="S296"/>
    <hyperlink r:id="rId1147" ref="W296"/>
    <hyperlink r:id="rId1148" ref="AA296"/>
    <hyperlink r:id="rId1149" ref="K297"/>
    <hyperlink r:id="rId1150" ref="S297"/>
    <hyperlink r:id="rId1151" ref="W297"/>
    <hyperlink r:id="rId1152" ref="AA297"/>
    <hyperlink r:id="rId1153" ref="K298"/>
    <hyperlink r:id="rId1154" ref="S298"/>
    <hyperlink r:id="rId1155" ref="W298"/>
    <hyperlink r:id="rId1156" ref="AA298"/>
    <hyperlink r:id="rId1157" ref="K299"/>
    <hyperlink r:id="rId1158" ref="S299"/>
    <hyperlink r:id="rId1159" ref="W299"/>
    <hyperlink r:id="rId1160" ref="AA299"/>
    <hyperlink r:id="rId1161" ref="K300"/>
    <hyperlink r:id="rId1162" ref="S300"/>
    <hyperlink r:id="rId1163" ref="W300"/>
    <hyperlink r:id="rId1164" ref="AA300"/>
    <hyperlink r:id="rId1165" ref="K301"/>
    <hyperlink r:id="rId1166" ref="S301"/>
    <hyperlink r:id="rId1167" ref="W301"/>
    <hyperlink r:id="rId1168" ref="AA301"/>
    <hyperlink r:id="rId1169" ref="K302"/>
    <hyperlink r:id="rId1170" ref="S302"/>
    <hyperlink r:id="rId1171" ref="W302"/>
    <hyperlink r:id="rId1172" ref="AA302"/>
    <hyperlink r:id="rId1173" ref="K303"/>
    <hyperlink r:id="rId1174" ref="S303"/>
    <hyperlink r:id="rId1175" ref="W303"/>
    <hyperlink r:id="rId1176" ref="AA303"/>
    <hyperlink r:id="rId1177" ref="K304"/>
    <hyperlink r:id="rId1178" ref="S304"/>
    <hyperlink r:id="rId1179" ref="W304"/>
    <hyperlink r:id="rId1180" ref="AA304"/>
    <hyperlink r:id="rId1181" ref="K305"/>
    <hyperlink r:id="rId1182" ref="S305"/>
    <hyperlink r:id="rId1183" ref="W305"/>
    <hyperlink r:id="rId1184" ref="AA305"/>
    <hyperlink r:id="rId1185" ref="K306"/>
    <hyperlink r:id="rId1186" ref="S306"/>
    <hyperlink r:id="rId1187" ref="W306"/>
    <hyperlink r:id="rId1188" ref="AA306"/>
    <hyperlink r:id="rId1189" ref="K307"/>
    <hyperlink r:id="rId1190" ref="S307"/>
    <hyperlink r:id="rId1191" ref="W307"/>
    <hyperlink r:id="rId1192" ref="AA307"/>
    <hyperlink r:id="rId1193" ref="K308"/>
    <hyperlink r:id="rId1194" ref="S308"/>
    <hyperlink r:id="rId1195" ref="W308"/>
    <hyperlink r:id="rId1196" ref="AA308"/>
    <hyperlink r:id="rId1197" ref="K309"/>
    <hyperlink r:id="rId1198" ref="S309"/>
    <hyperlink r:id="rId1199" ref="W309"/>
    <hyperlink r:id="rId1200" ref="AA309"/>
    <hyperlink r:id="rId1201" ref="K310"/>
    <hyperlink r:id="rId1202" ref="S310"/>
    <hyperlink r:id="rId1203" ref="W310"/>
    <hyperlink r:id="rId1204" ref="AA310"/>
    <hyperlink r:id="rId1205" ref="K311"/>
    <hyperlink r:id="rId1206" ref="S311"/>
    <hyperlink r:id="rId1207" ref="W311"/>
    <hyperlink r:id="rId1208" ref="AA311"/>
    <hyperlink r:id="rId1209" ref="K312"/>
    <hyperlink r:id="rId1210" ref="S312"/>
    <hyperlink r:id="rId1211" ref="W312"/>
    <hyperlink r:id="rId1212" ref="AA312"/>
    <hyperlink r:id="rId1213" ref="K313"/>
    <hyperlink r:id="rId1214" ref="S313"/>
    <hyperlink r:id="rId1215" ref="W313"/>
    <hyperlink r:id="rId1216" ref="AA313"/>
    <hyperlink r:id="rId1217" ref="K314"/>
    <hyperlink r:id="rId1218" ref="S314"/>
    <hyperlink r:id="rId1219" ref="W314"/>
    <hyperlink r:id="rId1220" ref="AA314"/>
    <hyperlink r:id="rId1221" ref="K315"/>
    <hyperlink r:id="rId1222" ref="S315"/>
    <hyperlink r:id="rId1223" ref="W315"/>
    <hyperlink r:id="rId1224" ref="AA315"/>
    <hyperlink r:id="rId1225" ref="K316"/>
    <hyperlink r:id="rId1226" ref="S316"/>
    <hyperlink r:id="rId1227" ref="W316"/>
    <hyperlink r:id="rId1228" ref="AA316"/>
    <hyperlink r:id="rId1229" ref="K317"/>
    <hyperlink r:id="rId1230" ref="S317"/>
    <hyperlink r:id="rId1231" ref="W317"/>
    <hyperlink r:id="rId1232" ref="AA317"/>
    <hyperlink r:id="rId1233" ref="K318"/>
    <hyperlink r:id="rId1234" ref="S318"/>
    <hyperlink r:id="rId1235" ref="W318"/>
    <hyperlink r:id="rId1236" ref="AA318"/>
    <hyperlink r:id="rId1237" ref="K319"/>
    <hyperlink r:id="rId1238" ref="S319"/>
    <hyperlink r:id="rId1239" ref="W319"/>
    <hyperlink r:id="rId1240" ref="AA319"/>
    <hyperlink r:id="rId1241" ref="K320"/>
    <hyperlink r:id="rId1242" ref="S320"/>
    <hyperlink r:id="rId1243" ref="W320"/>
    <hyperlink r:id="rId1244" ref="AA320"/>
    <hyperlink r:id="rId1245" ref="K321"/>
    <hyperlink r:id="rId1246" ref="S321"/>
    <hyperlink r:id="rId1247" ref="W321"/>
    <hyperlink r:id="rId1248" ref="AA321"/>
    <hyperlink r:id="rId1249" ref="K322"/>
    <hyperlink r:id="rId1250" ref="S322"/>
    <hyperlink r:id="rId1251" ref="W322"/>
    <hyperlink r:id="rId1252" ref="AA322"/>
    <hyperlink r:id="rId1253" ref="K323"/>
    <hyperlink r:id="rId1254" ref="S323"/>
    <hyperlink r:id="rId1255" ref="W323"/>
    <hyperlink r:id="rId1256" ref="AA323"/>
    <hyperlink r:id="rId1257" ref="K324"/>
    <hyperlink r:id="rId1258" ref="S324"/>
    <hyperlink r:id="rId1259" ref="W324"/>
    <hyperlink r:id="rId1260" ref="AA324"/>
    <hyperlink r:id="rId1261" ref="K325"/>
    <hyperlink r:id="rId1262" ref="S325"/>
    <hyperlink r:id="rId1263" ref="W325"/>
    <hyperlink r:id="rId1264" ref="AA325"/>
    <hyperlink r:id="rId1265" ref="K326"/>
    <hyperlink r:id="rId1266" ref="S326"/>
    <hyperlink r:id="rId1267" ref="W326"/>
    <hyperlink r:id="rId1268" ref="AA326"/>
    <hyperlink r:id="rId1269" ref="K327"/>
    <hyperlink r:id="rId1270" ref="S327"/>
    <hyperlink r:id="rId1271" ref="W327"/>
    <hyperlink r:id="rId1272" ref="AA327"/>
    <hyperlink r:id="rId1273" ref="K328"/>
    <hyperlink r:id="rId1274" ref="S328"/>
    <hyperlink r:id="rId1275" ref="W328"/>
    <hyperlink r:id="rId1276" ref="AA328"/>
    <hyperlink r:id="rId1277" ref="K329"/>
    <hyperlink r:id="rId1278" ref="S329"/>
    <hyperlink r:id="rId1279" ref="W329"/>
    <hyperlink r:id="rId1280" ref="AA329"/>
    <hyperlink r:id="rId1281" ref="K330"/>
    <hyperlink r:id="rId1282" ref="S330"/>
    <hyperlink r:id="rId1283" ref="W330"/>
    <hyperlink r:id="rId1284" ref="AA330"/>
    <hyperlink r:id="rId1285" ref="K331"/>
    <hyperlink r:id="rId1286" ref="S331"/>
    <hyperlink r:id="rId1287" ref="W331"/>
    <hyperlink r:id="rId1288" ref="AA331"/>
    <hyperlink r:id="rId1289" ref="K332"/>
    <hyperlink r:id="rId1290" ref="S332"/>
    <hyperlink r:id="rId1291" ref="W332"/>
    <hyperlink r:id="rId1292" ref="AA332"/>
    <hyperlink r:id="rId1293" ref="K333"/>
    <hyperlink r:id="rId1294" ref="S333"/>
    <hyperlink r:id="rId1295" ref="W333"/>
    <hyperlink r:id="rId1296" ref="AA333"/>
    <hyperlink r:id="rId1297" ref="K334"/>
    <hyperlink r:id="rId1298" ref="S334"/>
    <hyperlink r:id="rId1299" ref="W334"/>
    <hyperlink r:id="rId1300" ref="AA334"/>
    <hyperlink r:id="rId1301" ref="K335"/>
    <hyperlink r:id="rId1302" ref="S335"/>
    <hyperlink r:id="rId1303" ref="W335"/>
    <hyperlink r:id="rId1304" ref="AA335"/>
    <hyperlink r:id="rId1305" ref="K336"/>
    <hyperlink r:id="rId1306" ref="S336"/>
    <hyperlink r:id="rId1307" ref="W336"/>
    <hyperlink r:id="rId1308" ref="AA336"/>
    <hyperlink r:id="rId1309" ref="K337"/>
    <hyperlink r:id="rId1310" ref="S337"/>
    <hyperlink r:id="rId1311" ref="W337"/>
    <hyperlink r:id="rId1312" ref="AA337"/>
    <hyperlink r:id="rId1313" ref="K338"/>
    <hyperlink r:id="rId1314" ref="S338"/>
    <hyperlink r:id="rId1315" ref="W338"/>
    <hyperlink r:id="rId1316" ref="AA338"/>
    <hyperlink r:id="rId1317" ref="K339"/>
    <hyperlink r:id="rId1318" ref="S339"/>
    <hyperlink r:id="rId1319" ref="W339"/>
    <hyperlink r:id="rId1320" ref="AA339"/>
    <hyperlink r:id="rId1321" ref="K340"/>
    <hyperlink r:id="rId1322" ref="S340"/>
    <hyperlink r:id="rId1323" ref="W340"/>
    <hyperlink r:id="rId1324" ref="AA340"/>
    <hyperlink r:id="rId1325" ref="K341"/>
    <hyperlink r:id="rId1326" ref="S341"/>
    <hyperlink r:id="rId1327" ref="W341"/>
    <hyperlink r:id="rId1328" ref="AA341"/>
    <hyperlink r:id="rId1329" ref="K342"/>
    <hyperlink r:id="rId1330" ref="S342"/>
    <hyperlink r:id="rId1331" ref="W342"/>
    <hyperlink r:id="rId1332" ref="AA342"/>
    <hyperlink r:id="rId1333" ref="K343"/>
    <hyperlink r:id="rId1334" ref="S343"/>
    <hyperlink r:id="rId1335" ref="W343"/>
    <hyperlink r:id="rId1336" ref="AA343"/>
    <hyperlink r:id="rId1337" ref="K344"/>
    <hyperlink r:id="rId1338" ref="S344"/>
    <hyperlink r:id="rId1339" ref="W344"/>
    <hyperlink r:id="rId1340" ref="AA344"/>
    <hyperlink r:id="rId1341" ref="K345"/>
    <hyperlink r:id="rId1342" ref="S345"/>
    <hyperlink r:id="rId1343" ref="W345"/>
    <hyperlink r:id="rId1344" ref="AA345"/>
    <hyperlink r:id="rId1345" ref="K346"/>
    <hyperlink r:id="rId1346" ref="S346"/>
    <hyperlink r:id="rId1347" ref="W346"/>
    <hyperlink r:id="rId1348" ref="AA346"/>
    <hyperlink r:id="rId1349" ref="K347"/>
    <hyperlink r:id="rId1350" ref="S347"/>
    <hyperlink r:id="rId1351" ref="W347"/>
    <hyperlink r:id="rId1352" ref="AA347"/>
    <hyperlink r:id="rId1353" ref="K348"/>
    <hyperlink r:id="rId1354" ref="S348"/>
    <hyperlink r:id="rId1355" ref="W348"/>
    <hyperlink r:id="rId1356" ref="AA348"/>
    <hyperlink r:id="rId1357" ref="K349"/>
    <hyperlink r:id="rId1358" ref="S349"/>
    <hyperlink r:id="rId1359" ref="W349"/>
    <hyperlink r:id="rId1360" ref="AA349"/>
    <hyperlink r:id="rId1361" ref="K350"/>
    <hyperlink r:id="rId1362" ref="S350"/>
    <hyperlink r:id="rId1363" ref="W350"/>
    <hyperlink r:id="rId1364" ref="AA350"/>
    <hyperlink r:id="rId1365" ref="K351"/>
    <hyperlink r:id="rId1366" ref="S351"/>
    <hyperlink r:id="rId1367" ref="W351"/>
    <hyperlink r:id="rId1368" ref="AA351"/>
    <hyperlink r:id="rId1369" ref="K352"/>
    <hyperlink r:id="rId1370" ref="S352"/>
    <hyperlink r:id="rId1371" ref="W352"/>
    <hyperlink r:id="rId1372" ref="AA352"/>
    <hyperlink r:id="rId1373" ref="K353"/>
    <hyperlink r:id="rId1374" ref="S353"/>
    <hyperlink r:id="rId1375" ref="W353"/>
    <hyperlink r:id="rId1376" ref="AA353"/>
    <hyperlink r:id="rId1377" ref="K354"/>
    <hyperlink r:id="rId1378" ref="S354"/>
    <hyperlink r:id="rId1379" ref="W354"/>
    <hyperlink r:id="rId1380" ref="AA354"/>
    <hyperlink r:id="rId1381" ref="K355"/>
    <hyperlink r:id="rId1382" ref="S355"/>
    <hyperlink r:id="rId1383" ref="W355"/>
    <hyperlink r:id="rId1384" ref="AA355"/>
    <hyperlink r:id="rId1385" ref="K356"/>
    <hyperlink r:id="rId1386" ref="S356"/>
    <hyperlink r:id="rId1387" ref="W356"/>
    <hyperlink r:id="rId1388" ref="AA356"/>
    <hyperlink r:id="rId1389" ref="K357"/>
    <hyperlink r:id="rId1390" ref="S357"/>
    <hyperlink r:id="rId1391" ref="W357"/>
    <hyperlink r:id="rId1392" ref="AA357"/>
    <hyperlink r:id="rId1393" ref="K358"/>
    <hyperlink r:id="rId1394" ref="S358"/>
    <hyperlink r:id="rId1395" ref="W358"/>
    <hyperlink r:id="rId1396" ref="AA358"/>
    <hyperlink r:id="rId1397" ref="K359"/>
    <hyperlink r:id="rId1398" ref="S359"/>
    <hyperlink r:id="rId1399" ref="W359"/>
    <hyperlink r:id="rId1400" ref="AA359"/>
    <hyperlink r:id="rId1401" ref="K360"/>
    <hyperlink r:id="rId1402" ref="S360"/>
    <hyperlink r:id="rId1403" ref="W360"/>
    <hyperlink r:id="rId1404" ref="AA360"/>
    <hyperlink r:id="rId1405" ref="K361"/>
    <hyperlink r:id="rId1406" ref="S361"/>
    <hyperlink r:id="rId1407" ref="W361"/>
    <hyperlink r:id="rId1408" ref="AA361"/>
    <hyperlink r:id="rId1409" ref="K362"/>
    <hyperlink r:id="rId1410" ref="S362"/>
    <hyperlink r:id="rId1411" ref="W362"/>
    <hyperlink r:id="rId1412" ref="AA362"/>
    <hyperlink r:id="rId1413" ref="K363"/>
    <hyperlink r:id="rId1414" ref="S363"/>
    <hyperlink r:id="rId1415" ref="W363"/>
    <hyperlink r:id="rId1416" ref="AA363"/>
    <hyperlink r:id="rId1417" ref="K364"/>
    <hyperlink r:id="rId1418" ref="S364"/>
    <hyperlink r:id="rId1419" ref="W364"/>
    <hyperlink r:id="rId1420" ref="AA364"/>
    <hyperlink r:id="rId1421" ref="K365"/>
    <hyperlink r:id="rId1422" ref="S365"/>
    <hyperlink r:id="rId1423" ref="W365"/>
    <hyperlink r:id="rId1424" ref="AA365"/>
    <hyperlink r:id="rId1425" ref="K366"/>
    <hyperlink r:id="rId1426" ref="S366"/>
    <hyperlink r:id="rId1427" ref="W366"/>
    <hyperlink r:id="rId1428" ref="AA366"/>
    <hyperlink r:id="rId1429" ref="K367"/>
    <hyperlink r:id="rId1430" ref="S367"/>
    <hyperlink r:id="rId1431" ref="W367"/>
    <hyperlink r:id="rId1432" ref="AA367"/>
    <hyperlink r:id="rId1433" ref="K368"/>
    <hyperlink r:id="rId1434" ref="S368"/>
    <hyperlink r:id="rId1435" ref="W368"/>
    <hyperlink r:id="rId1436" ref="AA368"/>
    <hyperlink r:id="rId1437" ref="K369"/>
    <hyperlink r:id="rId1438" ref="S369"/>
    <hyperlink r:id="rId1439" ref="W369"/>
    <hyperlink r:id="rId1440" ref="AA369"/>
    <hyperlink r:id="rId1441" ref="K370"/>
    <hyperlink r:id="rId1442" ref="S370"/>
    <hyperlink r:id="rId1443" ref="W370"/>
    <hyperlink r:id="rId1444" ref="AA370"/>
    <hyperlink r:id="rId1445" ref="K371"/>
    <hyperlink r:id="rId1446" ref="S371"/>
    <hyperlink r:id="rId1447" ref="W371"/>
    <hyperlink r:id="rId1448" ref="AA371"/>
    <hyperlink r:id="rId1449" ref="K372"/>
    <hyperlink r:id="rId1450" ref="S372"/>
    <hyperlink r:id="rId1451" ref="W372"/>
    <hyperlink r:id="rId1452" ref="AA372"/>
    <hyperlink r:id="rId1453" ref="K373"/>
    <hyperlink r:id="rId1454" ref="S373"/>
    <hyperlink r:id="rId1455" ref="W373"/>
    <hyperlink r:id="rId1456" ref="AA373"/>
    <hyperlink r:id="rId1457" ref="K374"/>
    <hyperlink r:id="rId1458" ref="S374"/>
    <hyperlink r:id="rId1459" ref="W374"/>
    <hyperlink r:id="rId1460" ref="AA374"/>
    <hyperlink r:id="rId1461" ref="K375"/>
    <hyperlink r:id="rId1462" ref="S375"/>
    <hyperlink r:id="rId1463" ref="W375"/>
    <hyperlink r:id="rId1464" ref="AA375"/>
    <hyperlink r:id="rId1465" ref="K376"/>
    <hyperlink r:id="rId1466" ref="S376"/>
    <hyperlink r:id="rId1467" ref="W376"/>
    <hyperlink r:id="rId1468" ref="AA376"/>
    <hyperlink r:id="rId1469" ref="K377"/>
    <hyperlink r:id="rId1470" ref="S377"/>
    <hyperlink r:id="rId1471" ref="W377"/>
    <hyperlink r:id="rId1472" ref="AA377"/>
    <hyperlink r:id="rId1473" ref="K378"/>
    <hyperlink r:id="rId1474" ref="S378"/>
    <hyperlink r:id="rId1475" ref="W378"/>
    <hyperlink r:id="rId1476" ref="AA378"/>
    <hyperlink r:id="rId1477" ref="K379"/>
    <hyperlink r:id="rId1478" ref="S379"/>
    <hyperlink r:id="rId1479" ref="W379"/>
    <hyperlink r:id="rId1480" ref="AA379"/>
    <hyperlink r:id="rId1481" ref="K380"/>
    <hyperlink r:id="rId1482" ref="S380"/>
    <hyperlink r:id="rId1483" ref="W380"/>
    <hyperlink r:id="rId1484" ref="AA380"/>
    <hyperlink r:id="rId1485" ref="K381"/>
    <hyperlink r:id="rId1486" ref="S381"/>
    <hyperlink r:id="rId1487" ref="W381"/>
    <hyperlink r:id="rId1488" ref="AA381"/>
    <hyperlink r:id="rId1489" ref="K382"/>
    <hyperlink r:id="rId1490" ref="S382"/>
    <hyperlink r:id="rId1491" ref="W382"/>
    <hyperlink r:id="rId1492" ref="AA382"/>
    <hyperlink r:id="rId1493" ref="K383"/>
    <hyperlink r:id="rId1494" ref="S383"/>
    <hyperlink r:id="rId1495" ref="W383"/>
    <hyperlink r:id="rId1496" ref="AA383"/>
    <hyperlink r:id="rId1497" ref="K384"/>
    <hyperlink r:id="rId1498" ref="S384"/>
    <hyperlink r:id="rId1499" ref="W384"/>
    <hyperlink r:id="rId1500" ref="AA384"/>
    <hyperlink r:id="rId1501" ref="K385"/>
    <hyperlink r:id="rId1502" ref="S385"/>
    <hyperlink r:id="rId1503" ref="W385"/>
    <hyperlink r:id="rId1504" ref="AA385"/>
    <hyperlink r:id="rId1505" ref="K386"/>
    <hyperlink r:id="rId1506" ref="S386"/>
    <hyperlink r:id="rId1507" ref="W386"/>
    <hyperlink r:id="rId1508" ref="AA386"/>
    <hyperlink r:id="rId1509" ref="K387"/>
    <hyperlink r:id="rId1510" ref="S387"/>
    <hyperlink r:id="rId1511" ref="W387"/>
    <hyperlink r:id="rId1512" ref="AA387"/>
    <hyperlink r:id="rId1513" ref="K388"/>
    <hyperlink r:id="rId1514" ref="S388"/>
    <hyperlink r:id="rId1515" ref="W388"/>
    <hyperlink r:id="rId1516" ref="AA388"/>
    <hyperlink r:id="rId1517" ref="K389"/>
    <hyperlink r:id="rId1518" ref="S389"/>
    <hyperlink r:id="rId1519" ref="W389"/>
    <hyperlink r:id="rId1520" ref="AA389"/>
    <hyperlink r:id="rId1521" ref="K390"/>
    <hyperlink r:id="rId1522" ref="S390"/>
    <hyperlink r:id="rId1523" ref="W390"/>
    <hyperlink r:id="rId1524" ref="AA390"/>
    <hyperlink r:id="rId1525" ref="K391"/>
    <hyperlink r:id="rId1526" ref="S391"/>
    <hyperlink r:id="rId1527" ref="W391"/>
    <hyperlink r:id="rId1528" ref="AA391"/>
    <hyperlink r:id="rId1529" ref="K392"/>
    <hyperlink r:id="rId1530" ref="S392"/>
    <hyperlink r:id="rId1531" ref="W392"/>
    <hyperlink r:id="rId1532" ref="AA392"/>
    <hyperlink r:id="rId1533" ref="K393"/>
    <hyperlink r:id="rId1534" ref="S393"/>
    <hyperlink r:id="rId1535" ref="W393"/>
    <hyperlink r:id="rId1536" ref="AA393"/>
    <hyperlink r:id="rId1537" ref="K394"/>
    <hyperlink r:id="rId1538" ref="S394"/>
    <hyperlink r:id="rId1539" ref="W394"/>
    <hyperlink r:id="rId1540" ref="AA394"/>
    <hyperlink r:id="rId1541" ref="K395"/>
    <hyperlink r:id="rId1542" ref="S395"/>
    <hyperlink r:id="rId1543" ref="W395"/>
    <hyperlink r:id="rId1544" ref="AA395"/>
    <hyperlink r:id="rId1545" ref="K396"/>
    <hyperlink r:id="rId1546" ref="S396"/>
    <hyperlink r:id="rId1547" ref="W396"/>
    <hyperlink r:id="rId1548" ref="AA396"/>
    <hyperlink r:id="rId1549" ref="K397"/>
    <hyperlink r:id="rId1550" ref="S397"/>
    <hyperlink r:id="rId1551" ref="W397"/>
    <hyperlink r:id="rId1552" ref="AA397"/>
    <hyperlink r:id="rId1553" ref="K398"/>
    <hyperlink r:id="rId1554" ref="S398"/>
    <hyperlink r:id="rId1555" ref="W398"/>
    <hyperlink r:id="rId1556" ref="AA398"/>
    <hyperlink r:id="rId1557" ref="K399"/>
    <hyperlink r:id="rId1558" ref="S399"/>
    <hyperlink r:id="rId1559" ref="W399"/>
    <hyperlink r:id="rId1560" ref="AA399"/>
    <hyperlink r:id="rId1561" ref="K400"/>
    <hyperlink r:id="rId1562" ref="S400"/>
    <hyperlink r:id="rId1563" ref="W400"/>
    <hyperlink r:id="rId1564" ref="AA400"/>
    <hyperlink r:id="rId1565" ref="K401"/>
    <hyperlink r:id="rId1566" ref="S401"/>
    <hyperlink r:id="rId1567" ref="W401"/>
    <hyperlink r:id="rId1568" ref="AA401"/>
    <hyperlink r:id="rId1569" ref="K402"/>
    <hyperlink r:id="rId1570" ref="S402"/>
    <hyperlink r:id="rId1571" ref="W402"/>
    <hyperlink r:id="rId1572" ref="AA402"/>
    <hyperlink r:id="rId1573" ref="K403"/>
    <hyperlink r:id="rId1574" ref="S403"/>
    <hyperlink r:id="rId1575" ref="W403"/>
    <hyperlink r:id="rId1576" ref="AA403"/>
    <hyperlink r:id="rId1577" ref="K404"/>
    <hyperlink r:id="rId1578" ref="S404"/>
    <hyperlink r:id="rId1579" ref="W404"/>
    <hyperlink r:id="rId1580" ref="AA404"/>
    <hyperlink r:id="rId1581" ref="K405"/>
    <hyperlink r:id="rId1582" ref="S405"/>
    <hyperlink r:id="rId1583" ref="W405"/>
    <hyperlink r:id="rId1584" ref="AA405"/>
    <hyperlink r:id="rId1585" ref="K406"/>
    <hyperlink r:id="rId1586" ref="S406"/>
    <hyperlink r:id="rId1587" ref="W406"/>
    <hyperlink r:id="rId1588" ref="AA406"/>
    <hyperlink r:id="rId1589" ref="K407"/>
    <hyperlink r:id="rId1590" ref="S407"/>
    <hyperlink r:id="rId1591" ref="W407"/>
    <hyperlink r:id="rId1592" ref="AA407"/>
    <hyperlink r:id="rId1593" ref="K408"/>
    <hyperlink r:id="rId1594" ref="S408"/>
    <hyperlink r:id="rId1595" ref="W408"/>
    <hyperlink r:id="rId1596" ref="AA408"/>
  </hyperlinks>
  <drawing r:id="rId159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2.63" defaultRowHeight="15.75"/>
  <cols>
    <col hidden="1" min="1" max="1" width="12.63"/>
    <col customWidth="1" min="3" max="3" width="39.63"/>
    <col customWidth="1" min="4" max="7" width="8.88"/>
  </cols>
  <sheetData>
    <row r="1" hidden="1">
      <c r="B1" s="53" t="str">
        <f>Scores!B1</f>
        <v>Code Golf International</v>
      </c>
      <c r="C1" s="54" t="str">
        <f>Scores!C1</f>
        <v>rucin93</v>
      </c>
      <c r="D1" s="53" t="str">
        <f>Scores!D1</f>
        <v>ox jam</v>
      </c>
      <c r="E1" s="54" t="str">
        <f>Scores!E1</f>
        <v>open source</v>
      </c>
      <c r="F1" s="53" t="str">
        <f>Scores!F1</f>
        <v>jailctf merger</v>
      </c>
      <c r="G1" s="54" t="str">
        <f>Scores!G1</f>
        <v>Rafael Pooja</v>
      </c>
      <c r="H1" s="54" t="str">
        <f>Scores!H1</f>
        <v>HETHAT</v>
      </c>
      <c r="I1" s="54" t="str">
        <f>Scores!I1</f>
        <v>duckyluuk</v>
      </c>
      <c r="J1" s="54" t="str">
        <f>Scores!J1</f>
        <v>import itertools</v>
      </c>
      <c r="K1" s="54" t="str">
        <f>Scores!K1</f>
        <v>ALE-Agent</v>
      </c>
      <c r="L1" s="54" t="str">
        <f>Scores!L1</f>
        <v>JRKKX</v>
      </c>
      <c r="M1" s="54" t="str">
        <f>Scores!M1</f>
        <v>intgrah jimboko awu macaque sammyuri</v>
      </c>
      <c r="N1" s="54" t="str">
        <f>Scores!N1</f>
        <v>mji</v>
      </c>
      <c r="O1" s="54" t="str">
        <f>Scores!O1</f>
        <v>cefqrn</v>
      </c>
      <c r="P1" s="54" t="str">
        <f>Scores!P1</f>
        <v>hyacinth</v>
      </c>
      <c r="Q1" s="54" t="str">
        <f>Scores!Q1</f>
        <v>cg</v>
      </c>
      <c r="R1" s="54" t="str">
        <f>Scores!R1</f>
        <v>
Team JYCDT</v>
      </c>
      <c r="S1" s="54" t="str">
        <f>Scores!S1</f>
        <v>Bulmenisaurus</v>
      </c>
      <c r="T1" s="54" t="str">
        <f>Scores!T1</f>
        <v>dbdr</v>
      </c>
      <c r="U1" s="54" t="str">
        <f>Scores!U1</f>
        <v>KN</v>
      </c>
      <c r="V1" s="54" t="str">
        <f>Scores!V1</f>
        <v>kabutack</v>
      </c>
      <c r="W1" s="54" t="str">
        <f>Scores!W1</f>
        <v>biz</v>
      </c>
      <c r="X1" s="54" t="str">
        <f>Scores!X1</f>
        <v>scpchicken</v>
      </c>
      <c r="Y1" s="54" t="str">
        <f>Scores!Y1</f>
        <v>el_presidente</v>
      </c>
      <c r="Z1" s="54" t="str">
        <f>Scores!Z1</f>
        <v>ﾀｲｽｹﾝｻﾝﾊﾞII</v>
      </c>
      <c r="AA1" s="54" t="str">
        <f>Scores!AA1</f>
        <v>garrymoss</v>
      </c>
      <c r="AB1" s="54" t="str">
        <f>Scores!AB1</f>
        <v>azakhtyamov</v>
      </c>
      <c r="AC1" s="54" t="str">
        <f>Scores!AC1</f>
        <v>Ali</v>
      </c>
      <c r="AD1" s="54" t="str">
        <f>Scores!AD1</f>
        <v>blob2822</v>
      </c>
      <c r="AE1" s="54" t="str">
        <f>Scores!AE1</f>
        <v>kdmitrie</v>
      </c>
      <c r="AF1" s="54" t="str">
        <f>Scores!AF1</f>
        <v>MKRC</v>
      </c>
      <c r="AG1" s="19" t="str">
        <f>Scores!AG1</f>
        <v>Afordancja</v>
      </c>
      <c r="AH1" s="19" t="str">
        <f>Scores!AH1</f>
        <v>Yuchen20</v>
      </c>
      <c r="AI1" s="19" t="str">
        <f>Scores!AI1</f>
        <v>cg-klogw-sekken</v>
      </c>
      <c r="AJ1" s="19" t="str">
        <f>Scores!AJ1</f>
        <v>sekken</v>
      </c>
      <c r="AK1" s="19" t="str">
        <f>Scores!AK1</f>
        <v>cubbus</v>
      </c>
      <c r="AL1" s="19" t="str">
        <f>Scores!AL1</f>
        <v>Ty Woods</v>
      </c>
      <c r="AM1" s="19" t="str">
        <f>Scores!AM1</f>
        <v>Ravi Annaswamy</v>
      </c>
      <c r="AN1" s="19" t="str">
        <f>Scores!AN1</f>
        <v>today</v>
      </c>
      <c r="AO1" s="19" t="str">
        <f>Scores!AO1</f>
        <v>LogicLynx</v>
      </c>
      <c r="AP1" s="19" t="str">
        <f>Scores!AP1</f>
        <v>kambarakun</v>
      </c>
      <c r="AQ1" s="19" t="str">
        <f>Scores!AQ1</f>
        <v>ShadowPrompt Labs</v>
      </c>
      <c r="AR1" s="19" t="str">
        <f>Scores!AR1</f>
        <v/>
      </c>
      <c r="AS1" s="19" t="str">
        <f>Scores!AS1</f>
        <v>THUNDER THUNDER</v>
      </c>
      <c r="AT1" s="19" t="str">
        <f>Scores!AT1</f>
        <v>Krige</v>
      </c>
      <c r="AU1" s="19" t="str">
        <f>Scores!AU1</f>
        <v>HIMAGINE THE FUTURE.</v>
      </c>
      <c r="AV1" s="19" t="str">
        <f>Scores!AV1</f>
        <v>FuunAgent</v>
      </c>
      <c r="AW1" s="19" t="str">
        <f>Scores!AW1</f>
        <v>lv1.dev</v>
      </c>
      <c r="AX1" s="19" t="str">
        <f>Scores!AX1</f>
        <v>santa2024</v>
      </c>
    </row>
    <row r="2" hidden="1">
      <c r="A2" s="8"/>
      <c r="B2" s="8">
        <f>sumproduct(Scores!B$12:B$411=Compilation!$E9:$E408)</f>
        <v>83</v>
      </c>
      <c r="C2" s="8">
        <f>sumproduct(Scores!C$12:C$411=Compilation!$E9:$E408)</f>
        <v>0</v>
      </c>
      <c r="D2" s="8">
        <f>sumproduct(Scores!D$12:D$411=Compilation!$E9:$E408)</f>
        <v>71</v>
      </c>
      <c r="E2" s="8">
        <f>sumproduct(Scores!E$12:E$411=Compilation!$E9:$E408)</f>
        <v>0</v>
      </c>
      <c r="F2" s="8">
        <f>sumproduct(Scores!F$12:F$411=Compilation!$E9:$E408)</f>
        <v>55</v>
      </c>
      <c r="G2" s="8">
        <f>sumproduct(Scores!G$12:G$411=Compilation!$E9:$E408)</f>
        <v>0</v>
      </c>
      <c r="H2" s="8">
        <f>sumproduct(Scores!H$12:H$411=Compilation!$E9:$E408)</f>
        <v>0</v>
      </c>
      <c r="I2" s="8">
        <f>sumproduct(Scores!I$12:I$411=Compilation!$E9:$E408)</f>
        <v>0</v>
      </c>
      <c r="J2" s="8">
        <f>sumproduct(Scores!J$12:J$411=Compilation!$E9:$E408)</f>
        <v>1</v>
      </c>
      <c r="K2" s="8">
        <f>sumproduct(Scores!K$12:K$411=Compilation!$E9:$E408)</f>
        <v>0</v>
      </c>
      <c r="L2" s="8">
        <f>sumproduct(Scores!L$12:L$411=Compilation!$E9:$E408)</f>
        <v>0</v>
      </c>
      <c r="M2" s="8">
        <f>sumproduct(Scores!M$12:M$411=Compilation!$E9:$E408)</f>
        <v>1</v>
      </c>
      <c r="N2" s="8">
        <f>sumproduct(Scores!N$12:N$411=Compilation!$E9:$E408)</f>
        <v>0</v>
      </c>
      <c r="O2" s="8">
        <f>sumproduct(Scores!O$12:O$411=Compilation!$E9:$E408)</f>
        <v>0</v>
      </c>
      <c r="P2" s="8">
        <f>sumproduct(Scores!P$12:P$411=Compilation!$E9:$E408)</f>
        <v>0</v>
      </c>
      <c r="Q2" s="8">
        <f>sumproduct(Scores!Q$12:Q$411=Compilation!$E9:$E408)</f>
        <v>0</v>
      </c>
      <c r="R2" s="8">
        <f>sumproduct(Scores!R$12:R$411=Compilation!$E9:$E408)</f>
        <v>0</v>
      </c>
      <c r="S2" s="8">
        <f>sumproduct(Scores!S$12:S$411=Compilation!$E9:$E408)</f>
        <v>0</v>
      </c>
      <c r="T2" s="8">
        <f>sumproduct(Scores!T$12:T$411=Compilation!$E9:$E408)</f>
        <v>0</v>
      </c>
      <c r="U2" s="8">
        <f>sumproduct(Scores!U$12:U$411=Compilation!$E9:$E408)</f>
        <v>0</v>
      </c>
      <c r="V2" s="8">
        <f>sumproduct(Scores!V$12:V$411=Compilation!$E9:$E408)</f>
        <v>0</v>
      </c>
      <c r="W2" s="8">
        <f>sumproduct(Scores!W$12:W$411=Compilation!$E9:$E408)</f>
        <v>2</v>
      </c>
      <c r="X2" s="8">
        <f>sumproduct(Scores!X$12:X$411=Compilation!$E9:$E408)</f>
        <v>0</v>
      </c>
      <c r="Y2" s="8">
        <f>sumproduct(Scores!Y$12:Y$411=Compilation!$E9:$E408)</f>
        <v>0</v>
      </c>
      <c r="Z2" s="8">
        <f>sumproduct(Scores!Z$12:Z$411=Compilation!$E9:$E408)</f>
        <v>0</v>
      </c>
      <c r="AA2" s="8">
        <f>sumproduct(Scores!AA$12:AA$411=Compilation!$E9:$E408)</f>
        <v>1</v>
      </c>
      <c r="AB2" s="8">
        <f>sumproduct(Scores!AB$12:AB$411=Compilation!$E9:$E408)</f>
        <v>0</v>
      </c>
      <c r="AC2" s="8">
        <f>sumproduct(Scores!AC$12:AC$411=Compilation!$E9:$E408)</f>
        <v>0</v>
      </c>
      <c r="AD2" s="8">
        <f>sumproduct(Scores!AD$12:AD$411=Compilation!$E9:$E408)</f>
        <v>0</v>
      </c>
      <c r="AE2" s="8">
        <f>sumproduct(Scores!AE$12:AE$411=Compilation!$E9:$E408)</f>
        <v>0</v>
      </c>
      <c r="AF2" s="8">
        <f>sumproduct(Scores!AF$12:AF$411=Compilation!$E9:$E408)</f>
        <v>0</v>
      </c>
      <c r="AG2" s="55">
        <f>sumproduct(Scores!AG$12:AG$411=Compilation!$E9:$E408)</f>
        <v>0</v>
      </c>
      <c r="AH2" s="55">
        <f>sumproduct(Scores!AH$12:AH$411=Compilation!$E9:$E408)</f>
        <v>0</v>
      </c>
      <c r="AI2" s="55">
        <f>sumproduct(Scores!AI$12:AI$411=Compilation!$E9:$E408)</f>
        <v>0</v>
      </c>
      <c r="AJ2" s="55">
        <f>sumproduct(Scores!AJ$12:AJ$411=Compilation!$E9:$E408)</f>
        <v>0</v>
      </c>
      <c r="AK2" s="55">
        <f>sumproduct(Scores!AK$12:AK$411=Compilation!$E9:$E408)</f>
        <v>0</v>
      </c>
      <c r="AL2" s="55">
        <f>sumproduct(Scores!AL$12:AL$411=Compilation!$E9:$E408)</f>
        <v>0</v>
      </c>
      <c r="AM2" s="55">
        <f>sumproduct(Scores!AM$12:AM$411=Compilation!$E9:$E408)</f>
        <v>1</v>
      </c>
      <c r="AN2" s="55">
        <f>sumproduct(Scores!AN$12:AN$411=Compilation!$E9:$E408)</f>
        <v>0</v>
      </c>
      <c r="AO2" s="55">
        <f>sumproduct(Scores!AO$12:AO$411=Compilation!$E9:$E408)</f>
        <v>10</v>
      </c>
      <c r="AP2" s="55">
        <f>sumproduct(Scores!AP$12:AP$411=Compilation!$E9:$E408)</f>
        <v>0</v>
      </c>
      <c r="AQ2" s="55">
        <f>sumproduct(Scores!AQ$12:AQ$411=Compilation!$E9:$E408)</f>
        <v>0</v>
      </c>
      <c r="AR2" s="55">
        <f>sumproduct(Scores!AR$12:AR$411=Compilation!$E9:$E408)</f>
        <v>0</v>
      </c>
      <c r="AS2" s="55">
        <f>sumproduct(Scores!AS$12:AS$411=Compilation!$E9:$E408)</f>
        <v>0</v>
      </c>
      <c r="AT2" s="55">
        <f>sumproduct(Scores!AT$12:AT$411=Compilation!$E9:$E408)</f>
        <v>0</v>
      </c>
      <c r="AU2" s="55">
        <f>sumproduct(Scores!AU$12:AU$411=Compilation!$E9:$E408)</f>
        <v>0</v>
      </c>
      <c r="AV2" s="55">
        <f>sumproduct(Scores!AV$12:AV$411=Compilation!$E9:$E408)</f>
        <v>3</v>
      </c>
      <c r="AW2" s="55">
        <f>sumproduct(Scores!AW$12:AW$411=Compilation!$E9:$E408)</f>
        <v>3</v>
      </c>
      <c r="AX2" s="55">
        <f>sumproduct(Scores!AX$12:AX$411=Compilation!$E9:$E408)</f>
        <v>0</v>
      </c>
    </row>
    <row r="3" hidden="1">
      <c r="A3" s="8"/>
      <c r="B3" s="8">
        <f>sumproduct(Scores!B$12:B$411=Compilation!$F9:$F408)</f>
        <v>231</v>
      </c>
      <c r="C3" s="8">
        <f>sumproduct(Scores!C$12:C$411=Compilation!$F9:$F408)</f>
        <v>18</v>
      </c>
      <c r="D3" s="8">
        <f>sumproduct(Scores!D$12:D$411=Compilation!$F9:$F408)</f>
        <v>197</v>
      </c>
      <c r="E3" s="8">
        <f>sumproduct(Scores!E$12:E$411=Compilation!$F9:$F408)</f>
        <v>18</v>
      </c>
      <c r="F3" s="8">
        <f>sumproduct(Scores!F$12:F$411=Compilation!$F9:$F408)</f>
        <v>193</v>
      </c>
      <c r="G3" s="8">
        <f>sumproduct(Scores!G$12:G$411=Compilation!$F9:$F408)</f>
        <v>27</v>
      </c>
      <c r="H3" s="8">
        <f>sumproduct(Scores!H$12:H$411=Compilation!$F9:$F408)</f>
        <v>37</v>
      </c>
      <c r="I3" s="8">
        <f>sumproduct(Scores!I$12:I$411=Compilation!$F9:$F408)</f>
        <v>24</v>
      </c>
      <c r="J3" s="8">
        <f>sumproduct(Scores!J$12:J$411=Compilation!$F9:$F408)</f>
        <v>74</v>
      </c>
      <c r="K3" s="8">
        <f>sumproduct(Scores!K$12:K$411=Compilation!$F9:$F408)</f>
        <v>58</v>
      </c>
      <c r="L3" s="8">
        <f>sumproduct(Scores!L$12:L$411=Compilation!$F9:$F408)</f>
        <v>39</v>
      </c>
      <c r="M3" s="8">
        <f>sumproduct(Scores!M$12:M$411=Compilation!$F9:$F408)</f>
        <v>69</v>
      </c>
      <c r="N3" s="8">
        <f>sumproduct(Scores!N$12:N$411=Compilation!$F9:$F408)</f>
        <v>2</v>
      </c>
      <c r="O3" s="8">
        <f>sumproduct(Scores!O$12:O$411=Compilation!$F9:$F408)</f>
        <v>0</v>
      </c>
      <c r="P3" s="8">
        <f>sumproduct(Scores!P$12:P$411=Compilation!$F9:$F408)</f>
        <v>0</v>
      </c>
      <c r="Q3" s="8">
        <f>sumproduct(Scores!Q$12:Q$411=Compilation!$F9:$F408)</f>
        <v>18</v>
      </c>
      <c r="R3" s="8">
        <f>sumproduct(Scores!R$12:R$411=Compilation!$F9:$F408)</f>
        <v>32</v>
      </c>
      <c r="S3" s="8">
        <f>sumproduct(Scores!S$12:S$411=Compilation!$F9:$F408)</f>
        <v>9</v>
      </c>
      <c r="T3" s="8">
        <f>sumproduct(Scores!T$12:T$411=Compilation!$F9:$F408)</f>
        <v>18</v>
      </c>
      <c r="U3" s="8">
        <f>sumproduct(Scores!U$12:U$411=Compilation!$F9:$F408)</f>
        <v>12</v>
      </c>
      <c r="V3" s="8">
        <f>sumproduct(Scores!V$12:V$411=Compilation!$F9:$F408)</f>
        <v>30</v>
      </c>
      <c r="W3" s="8">
        <f>sumproduct(Scores!W$12:W$411=Compilation!$F9:$F408)</f>
        <v>59</v>
      </c>
      <c r="X3" s="8">
        <f>sumproduct(Scores!X$12:X$411=Compilation!$F9:$F408)</f>
        <v>10</v>
      </c>
      <c r="Y3" s="8">
        <f>sumproduct(Scores!Y$12:Y$411=Compilation!$F9:$F408)</f>
        <v>11</v>
      </c>
      <c r="Z3" s="8">
        <f>sumproduct(Scores!Z$12:Z$411=Compilation!$F9:$F408)</f>
        <v>61</v>
      </c>
      <c r="AA3" s="8">
        <f>sumproduct(Scores!AA$12:AA$411=Compilation!$F9:$F408)</f>
        <v>1</v>
      </c>
      <c r="AB3" s="8">
        <f>sumproduct(Scores!AB$12:AB$411=Compilation!$F9:$F408)</f>
        <v>11</v>
      </c>
      <c r="AC3" s="8">
        <f>sumproduct(Scores!AC$12:AC$411=Compilation!$F9:$F408)</f>
        <v>16</v>
      </c>
      <c r="AD3" s="8">
        <f>sumproduct(Scores!AD$12:AD$411=Compilation!$F9:$F408)</f>
        <v>28</v>
      </c>
      <c r="AE3" s="8">
        <f>sumproduct(Scores!AE$12:AE$411=Compilation!$F9:$F408)</f>
        <v>19</v>
      </c>
      <c r="AF3" s="8">
        <f>sumproduct(Scores!AF$12:AF$411=Compilation!$F9:$F408)</f>
        <v>11</v>
      </c>
      <c r="AG3" s="55">
        <f>sumproduct(Scores!AG$12:AG$411=Compilation!$F9:$F408)</f>
        <v>17</v>
      </c>
      <c r="AH3" s="55">
        <f>sumproduct(Scores!AH$12:AH$411=Compilation!$F9:$F408)</f>
        <v>34</v>
      </c>
      <c r="AI3" s="55">
        <f>sumproduct(Scores!AI$12:AI$411=Compilation!$F9:$F408)</f>
        <v>29</v>
      </c>
      <c r="AJ3" s="55">
        <f>sumproduct(Scores!AJ$12:AJ$411=Compilation!$F9:$F408)</f>
        <v>16</v>
      </c>
      <c r="AK3" s="55">
        <f>sumproduct(Scores!AK$12:AK$411=Compilation!$F9:$F408)</f>
        <v>34</v>
      </c>
      <c r="AL3" s="55">
        <f>sumproduct(Scores!AL$12:AL$411=Compilation!$F9:$F408)</f>
        <v>18</v>
      </c>
      <c r="AM3" s="55">
        <f>sumproduct(Scores!AM$12:AM$411=Compilation!$F9:$F408)</f>
        <v>29</v>
      </c>
      <c r="AN3" s="55">
        <f>sumproduct(Scores!AN$12:AN$411=Compilation!$F9:$F408)</f>
        <v>18</v>
      </c>
      <c r="AO3" s="55">
        <f>sumproduct(Scores!AO$12:AO$411=Compilation!$F9:$F408)</f>
        <v>90</v>
      </c>
      <c r="AP3" s="55">
        <f>sumproduct(Scores!AP$12:AP$411=Compilation!$F9:$F408)</f>
        <v>34</v>
      </c>
      <c r="AQ3" s="55">
        <f>sumproduct(Scores!AQ$12:AQ$411=Compilation!$F9:$F408)</f>
        <v>36</v>
      </c>
      <c r="AR3" s="55">
        <f>sumproduct(Scores!AR$12:AR$411=Compilation!$F9:$F408)</f>
        <v>0</v>
      </c>
      <c r="AS3" s="55">
        <f>sumproduct(Scores!AS$12:AS$411=Compilation!$F9:$F408)</f>
        <v>34</v>
      </c>
      <c r="AT3" s="55">
        <f>sumproduct(Scores!AT$12:AT$411=Compilation!$F9:$F408)</f>
        <v>18</v>
      </c>
      <c r="AU3" s="55">
        <f>sumproduct(Scores!AU$12:AU$411=Compilation!$F9:$F408)</f>
        <v>58</v>
      </c>
      <c r="AV3" s="55">
        <f>sumproduct(Scores!AV$12:AV$411=Compilation!$F9:$F408)</f>
        <v>76</v>
      </c>
      <c r="AW3" s="55">
        <f>sumproduct(Scores!AW$12:AW$411=Compilation!$F9:$F408)</f>
        <v>96</v>
      </c>
      <c r="AX3" s="55">
        <f>sumproduct(Scores!AX$12:AX$411=Compilation!$F9:$F408)</f>
        <v>53</v>
      </c>
    </row>
    <row r="4" hidden="1">
      <c r="A4" s="8"/>
      <c r="B4" s="8">
        <f>sumproduct(Scores!B$12:B$411=Compilation!$G9:$G408)</f>
        <v>82</v>
      </c>
      <c r="C4" s="8">
        <f>sumproduct(Scores!C$12:C$411=Compilation!$G9:$G408)</f>
        <v>0</v>
      </c>
      <c r="D4" s="8">
        <f>sumproduct(Scores!D$12:D$411=Compilation!$G9:$G408)</f>
        <v>83</v>
      </c>
      <c r="E4" s="8">
        <f>sumproduct(Scores!E$12:E$411=Compilation!$G9:$G408)</f>
        <v>0</v>
      </c>
      <c r="F4" s="8">
        <f>sumproduct(Scores!F$12:F$411=Compilation!$G9:$G408)</f>
        <v>99</v>
      </c>
      <c r="G4" s="8">
        <f>sumproduct(Scores!G$12:G$411=Compilation!$G9:$G408)</f>
        <v>3</v>
      </c>
      <c r="H4" s="8">
        <f>sumproduct(Scores!H$12:H$411=Compilation!$G9:$G408)</f>
        <v>4</v>
      </c>
      <c r="I4" s="8">
        <f>sumproduct(Scores!I$12:I$411=Compilation!$G9:$G408)</f>
        <v>5</v>
      </c>
      <c r="J4" s="8">
        <f>sumproduct(Scores!J$12:J$411=Compilation!$G9:$G408)</f>
        <v>12</v>
      </c>
      <c r="K4" s="8">
        <f>sumproduct(Scores!K$12:K$411=Compilation!$G9:$G408)</f>
        <v>9</v>
      </c>
      <c r="L4" s="8">
        <f>sumproduct(Scores!L$12:L$411=Compilation!$G9:$G408)</f>
        <v>5</v>
      </c>
      <c r="M4" s="8">
        <f>sumproduct(Scores!M$12:M$411=Compilation!$G9:$G408)</f>
        <v>23</v>
      </c>
      <c r="N4" s="8">
        <f>sumproduct(Scores!N$12:N$411=Compilation!$G9:$G408)</f>
        <v>0</v>
      </c>
      <c r="O4" s="8">
        <f>sumproduct(Scores!O$12:O$411=Compilation!$G9:$G408)</f>
        <v>0</v>
      </c>
      <c r="P4" s="8">
        <f>sumproduct(Scores!P$12:P$411=Compilation!$G9:$G408)</f>
        <v>0</v>
      </c>
      <c r="Q4" s="8">
        <f>sumproduct(Scores!Q$12:Q$411=Compilation!$G9:$G408)</f>
        <v>2</v>
      </c>
      <c r="R4" s="8">
        <f>sumproduct(Scores!R$12:R$411=Compilation!$G9:$G408)</f>
        <v>4</v>
      </c>
      <c r="S4" s="8">
        <f>sumproduct(Scores!S$12:S$411=Compilation!$G9:$G408)</f>
        <v>3</v>
      </c>
      <c r="T4" s="8">
        <f>sumproduct(Scores!T$12:T$411=Compilation!$G9:$G408)</f>
        <v>1</v>
      </c>
      <c r="U4" s="8">
        <f>sumproduct(Scores!U$12:U$411=Compilation!$G9:$G408)</f>
        <v>0</v>
      </c>
      <c r="V4" s="8">
        <f>sumproduct(Scores!V$12:V$411=Compilation!$G9:$G408)</f>
        <v>4</v>
      </c>
      <c r="W4" s="8">
        <f>sumproduct(Scores!W$12:W$411=Compilation!$G9:$G408)</f>
        <v>12</v>
      </c>
      <c r="X4" s="8">
        <f>sumproduct(Scores!X$12:X$411=Compilation!$G9:$G408)</f>
        <v>0</v>
      </c>
      <c r="Y4" s="8">
        <f>sumproduct(Scores!Y$12:Y$411=Compilation!$G9:$G408)</f>
        <v>0</v>
      </c>
      <c r="Z4" s="8">
        <f>sumproduct(Scores!Z$12:Z$411=Compilation!$G9:$G408)</f>
        <v>10</v>
      </c>
      <c r="AA4" s="8">
        <f>sumproduct(Scores!AA$12:AA$411=Compilation!$G9:$G408)</f>
        <v>0</v>
      </c>
      <c r="AB4" s="8">
        <f>sumproduct(Scores!AB$12:AB$411=Compilation!$G9:$G408)</f>
        <v>0</v>
      </c>
      <c r="AC4" s="8">
        <f>sumproduct(Scores!AC$12:AC$411=Compilation!$G9:$G408)</f>
        <v>0</v>
      </c>
      <c r="AD4" s="8">
        <f>sumproduct(Scores!AD$12:AD$411=Compilation!$G9:$G408)</f>
        <v>3</v>
      </c>
      <c r="AE4" s="8">
        <f>sumproduct(Scores!AE$12:AE$411=Compilation!$G9:$G408)</f>
        <v>0</v>
      </c>
      <c r="AF4" s="8">
        <f>sumproduct(Scores!AF$12:AF$411=Compilation!$G9:$G408)</f>
        <v>0</v>
      </c>
      <c r="AG4" s="55">
        <f>sumproduct(Scores!AG$12:AG$411=Compilation!$G9:$G408)</f>
        <v>0</v>
      </c>
      <c r="AH4" s="55">
        <f>sumproduct(Scores!AH$12:AH$411=Compilation!$G9:$G408)</f>
        <v>6</v>
      </c>
      <c r="AI4" s="55">
        <f>sumproduct(Scores!AI$12:AI$411=Compilation!$G9:$G408)</f>
        <v>5</v>
      </c>
      <c r="AJ4" s="55">
        <f>sumproduct(Scores!AJ$12:AJ$411=Compilation!$G9:$G408)</f>
        <v>0</v>
      </c>
      <c r="AK4" s="55">
        <f>sumproduct(Scores!AK$12:AK$411=Compilation!$G9:$G408)</f>
        <v>4</v>
      </c>
      <c r="AL4" s="55">
        <f>sumproduct(Scores!AL$12:AL$411=Compilation!$G9:$G408)</f>
        <v>0</v>
      </c>
      <c r="AM4" s="55">
        <f>sumproduct(Scores!AM$12:AM$411=Compilation!$G9:$G408)</f>
        <v>3</v>
      </c>
      <c r="AN4" s="55">
        <f>sumproduct(Scores!AN$12:AN$411=Compilation!$G9:$G408)</f>
        <v>0</v>
      </c>
      <c r="AO4" s="55">
        <f>sumproduct(Scores!AO$12:AO$411=Compilation!$G9:$G408)</f>
        <v>31</v>
      </c>
      <c r="AP4" s="55">
        <f>sumproduct(Scores!AP$12:AP$411=Compilation!$G9:$G408)</f>
        <v>5</v>
      </c>
      <c r="AQ4" s="55">
        <f>sumproduct(Scores!AQ$12:AQ$411=Compilation!$G9:$G408)</f>
        <v>4</v>
      </c>
      <c r="AR4" s="55">
        <f>sumproduct(Scores!AR$12:AR$411=Compilation!$G9:$G408)</f>
        <v>0</v>
      </c>
      <c r="AS4" s="55">
        <f>sumproduct(Scores!AS$12:AS$411=Compilation!$G9:$G408)</f>
        <v>5</v>
      </c>
      <c r="AT4" s="55">
        <f>sumproduct(Scores!AT$12:AT$411=Compilation!$G9:$G408)</f>
        <v>0</v>
      </c>
      <c r="AU4" s="55">
        <f>sumproduct(Scores!AU$12:AU$411=Compilation!$G9:$G408)</f>
        <v>15</v>
      </c>
      <c r="AV4" s="55">
        <f>sumproduct(Scores!AV$12:AV$411=Compilation!$G9:$G408)</f>
        <v>23</v>
      </c>
      <c r="AW4" s="55">
        <f>sumproduct(Scores!AW$12:AW$411=Compilation!$G9:$G408)</f>
        <v>26</v>
      </c>
      <c r="AX4" s="55">
        <f>sumproduct(Scores!AX$12:AX$411=Compilation!$G9:$G408)</f>
        <v>9</v>
      </c>
    </row>
    <row r="5" hidden="1">
      <c r="A5" s="8"/>
      <c r="B5" s="8">
        <f>sumproduct(Scores!B$12:B$411=Compilation!$H9:$H408)</f>
        <v>52</v>
      </c>
      <c r="C5" s="8">
        <f>sumproduct(Scores!C$12:C$411=Compilation!$H9:$H408)</f>
        <v>0</v>
      </c>
      <c r="D5" s="8">
        <f>sumproduct(Scores!D$12:D$411=Compilation!$H9:$H408)</f>
        <v>52</v>
      </c>
      <c r="E5" s="8">
        <f>sumproduct(Scores!E$12:E$411=Compilation!$H9:$H408)</f>
        <v>0</v>
      </c>
      <c r="F5" s="8">
        <f>sumproduct(Scores!F$12:F$411=Compilation!$H9:$H408)</f>
        <v>67</v>
      </c>
      <c r="G5" s="8">
        <f>sumproduct(Scores!G$12:G$411=Compilation!$H9:$H408)</f>
        <v>0</v>
      </c>
      <c r="H5" s="8">
        <f>sumproduct(Scores!H$12:H$411=Compilation!$H9:$H408)</f>
        <v>1</v>
      </c>
      <c r="I5" s="8">
        <f>sumproduct(Scores!I$12:I$411=Compilation!$H9:$H408)</f>
        <v>0</v>
      </c>
      <c r="J5" s="8">
        <f>sumproduct(Scores!J$12:J$411=Compilation!$H9:$H408)</f>
        <v>7</v>
      </c>
      <c r="K5" s="8">
        <f>sumproduct(Scores!K$12:K$411=Compilation!$H9:$H408)</f>
        <v>5</v>
      </c>
      <c r="L5" s="8">
        <f>sumproduct(Scores!L$12:L$411=Compilation!$H9:$H408)</f>
        <v>0</v>
      </c>
      <c r="M5" s="8">
        <f>sumproduct(Scores!M$12:M$411=Compilation!$H9:$H408)</f>
        <v>17</v>
      </c>
      <c r="N5" s="8">
        <f>sumproduct(Scores!N$12:N$411=Compilation!$H9:$H408)</f>
        <v>0</v>
      </c>
      <c r="O5" s="8">
        <f>sumproduct(Scores!O$12:O$411=Compilation!$H9:$H408)</f>
        <v>0</v>
      </c>
      <c r="P5" s="8">
        <f>sumproduct(Scores!P$12:P$411=Compilation!$H9:$H408)</f>
        <v>0</v>
      </c>
      <c r="Q5" s="8">
        <f>sumproduct(Scores!Q$12:Q$411=Compilation!$H9:$H408)</f>
        <v>0</v>
      </c>
      <c r="R5" s="8">
        <f>sumproduct(Scores!R$12:R$411=Compilation!$H9:$H408)</f>
        <v>0</v>
      </c>
      <c r="S5" s="8">
        <f>sumproduct(Scores!S$12:S$411=Compilation!$H9:$H408)</f>
        <v>0</v>
      </c>
      <c r="T5" s="8">
        <f>sumproduct(Scores!T$12:T$411=Compilation!$H9:$H408)</f>
        <v>0</v>
      </c>
      <c r="U5" s="8">
        <f>sumproduct(Scores!U$12:U$411=Compilation!$H9:$H408)</f>
        <v>0</v>
      </c>
      <c r="V5" s="8">
        <f>sumproduct(Scores!V$12:V$411=Compilation!$H9:$H408)</f>
        <v>0</v>
      </c>
      <c r="W5" s="8">
        <f>sumproduct(Scores!W$12:W$411=Compilation!$H9:$H408)</f>
        <v>12</v>
      </c>
      <c r="X5" s="8">
        <f>sumproduct(Scores!X$12:X$411=Compilation!$H9:$H408)</f>
        <v>0</v>
      </c>
      <c r="Y5" s="8">
        <f>sumproduct(Scores!Y$12:Y$411=Compilation!$H9:$H408)</f>
        <v>0</v>
      </c>
      <c r="Z5" s="8">
        <f>sumproduct(Scores!Z$12:Z$411=Compilation!$H9:$H408)</f>
        <v>4</v>
      </c>
      <c r="AA5" s="8">
        <f>sumproduct(Scores!AA$12:AA$411=Compilation!$H9:$H408)</f>
        <v>0</v>
      </c>
      <c r="AB5" s="8">
        <f>sumproduct(Scores!AB$12:AB$411=Compilation!$H9:$H408)</f>
        <v>0</v>
      </c>
      <c r="AC5" s="8">
        <f>sumproduct(Scores!AC$12:AC$411=Compilation!$H9:$H408)</f>
        <v>0</v>
      </c>
      <c r="AD5" s="8">
        <f>sumproduct(Scores!AD$12:AD$411=Compilation!$H9:$H408)</f>
        <v>0</v>
      </c>
      <c r="AE5" s="8">
        <f>sumproduct(Scores!AE$12:AE$411=Compilation!$H9:$H408)</f>
        <v>0</v>
      </c>
      <c r="AF5" s="8">
        <f>sumproduct(Scores!AF$12:AF$411=Compilation!$H9:$H408)</f>
        <v>0</v>
      </c>
      <c r="AG5" s="55">
        <f>sumproduct(Scores!AG$12:AG$411=Compilation!$H9:$H408)</f>
        <v>0</v>
      </c>
      <c r="AH5" s="55">
        <f>sumproduct(Scores!AH$12:AH$411=Compilation!$H9:$H408)</f>
        <v>0</v>
      </c>
      <c r="AI5" s="55">
        <f>sumproduct(Scores!AI$12:AI$411=Compilation!$H9:$H408)</f>
        <v>0</v>
      </c>
      <c r="AJ5" s="55">
        <f>sumproduct(Scores!AJ$12:AJ$411=Compilation!$H9:$H408)</f>
        <v>0</v>
      </c>
      <c r="AK5" s="55">
        <f>sumproduct(Scores!AK$12:AK$411=Compilation!$H9:$H408)</f>
        <v>1</v>
      </c>
      <c r="AL5" s="55">
        <f>sumproduct(Scores!AL$12:AL$411=Compilation!$H9:$H408)</f>
        <v>0</v>
      </c>
      <c r="AM5" s="55">
        <f>sumproduct(Scores!AM$12:AM$411=Compilation!$H9:$H408)</f>
        <v>1</v>
      </c>
      <c r="AN5" s="55">
        <f>sumproduct(Scores!AN$12:AN$411=Compilation!$H9:$H408)</f>
        <v>0</v>
      </c>
      <c r="AO5" s="55">
        <f>sumproduct(Scores!AO$12:AO$411=Compilation!$H9:$H408)</f>
        <v>19</v>
      </c>
      <c r="AP5" s="55">
        <f>sumproduct(Scores!AP$12:AP$411=Compilation!$H9:$H408)</f>
        <v>0</v>
      </c>
      <c r="AQ5" s="55">
        <f>sumproduct(Scores!AQ$12:AQ$411=Compilation!$H9:$H408)</f>
        <v>0</v>
      </c>
      <c r="AR5" s="55">
        <f>sumproduct(Scores!AR$12:AR$411=Compilation!$H9:$H408)</f>
        <v>0</v>
      </c>
      <c r="AS5" s="55">
        <f>sumproduct(Scores!AS$12:AS$411=Compilation!$H9:$H408)</f>
        <v>0</v>
      </c>
      <c r="AT5" s="55">
        <f>sumproduct(Scores!AT$12:AT$411=Compilation!$H9:$H408)</f>
        <v>0</v>
      </c>
      <c r="AU5" s="55">
        <f>sumproduct(Scores!AU$12:AU$411=Compilation!$H9:$H408)</f>
        <v>10</v>
      </c>
      <c r="AV5" s="55">
        <f>sumproduct(Scores!AV$12:AV$411=Compilation!$H9:$H408)</f>
        <v>13</v>
      </c>
      <c r="AW5" s="55">
        <f>sumproduct(Scores!AW$12:AW$411=Compilation!$H9:$H408)</f>
        <v>13</v>
      </c>
      <c r="AX5" s="55">
        <f>sumproduct(Scores!AX$12:AX$411=Compilation!$H9:$H408)</f>
        <v>5</v>
      </c>
    </row>
    <row r="6" hidden="1">
      <c r="AG6" s="19"/>
      <c r="AH6" s="19"/>
      <c r="AI6" s="19"/>
      <c r="AJ6" s="19"/>
      <c r="AK6" s="19"/>
      <c r="AL6" s="19"/>
      <c r="AM6" s="19"/>
      <c r="AN6" s="19"/>
      <c r="AO6" s="19"/>
      <c r="AP6" s="19"/>
      <c r="AQ6" s="19"/>
      <c r="AR6" s="19"/>
      <c r="AS6" s="19"/>
      <c r="AT6" s="19"/>
      <c r="AU6" s="19"/>
      <c r="AV6" s="19"/>
      <c r="AW6" s="19"/>
      <c r="AX6" s="19"/>
    </row>
    <row r="7" hidden="1">
      <c r="AG7" s="19"/>
      <c r="AH7" s="19"/>
      <c r="AI7" s="19"/>
      <c r="AJ7" s="19"/>
      <c r="AK7" s="19"/>
      <c r="AL7" s="19"/>
      <c r="AM7" s="19"/>
      <c r="AN7" s="19"/>
      <c r="AO7" s="19"/>
      <c r="AP7" s="19"/>
      <c r="AQ7" s="19"/>
      <c r="AR7" s="19"/>
      <c r="AS7" s="19"/>
      <c r="AT7" s="19"/>
      <c r="AU7" s="19"/>
      <c r="AV7" s="19"/>
      <c r="AW7" s="19"/>
      <c r="AX7" s="19"/>
    </row>
    <row r="8" hidden="1">
      <c r="AG8" s="19"/>
      <c r="AH8" s="19"/>
      <c r="AI8" s="19"/>
      <c r="AJ8" s="19"/>
      <c r="AK8" s="19"/>
      <c r="AL8" s="19"/>
      <c r="AM8" s="19"/>
      <c r="AN8" s="19"/>
      <c r="AO8" s="19"/>
      <c r="AP8" s="19"/>
      <c r="AQ8" s="19"/>
      <c r="AR8" s="19"/>
      <c r="AS8" s="19"/>
      <c r="AT8" s="19"/>
      <c r="AU8" s="19"/>
      <c r="AV8" s="19"/>
      <c r="AW8" s="19"/>
      <c r="AX8" s="19"/>
    </row>
    <row r="9" hidden="1">
      <c r="AG9" s="19"/>
      <c r="AH9" s="19"/>
      <c r="AI9" s="19"/>
      <c r="AJ9" s="19"/>
      <c r="AK9" s="19"/>
      <c r="AL9" s="19"/>
      <c r="AM9" s="19"/>
      <c r="AN9" s="19"/>
      <c r="AO9" s="19"/>
      <c r="AP9" s="19"/>
      <c r="AQ9" s="19"/>
      <c r="AR9" s="19"/>
      <c r="AS9" s="19"/>
      <c r="AT9" s="19"/>
      <c r="AU9" s="19"/>
      <c r="AV9" s="19"/>
      <c r="AW9" s="19"/>
      <c r="AX9" s="19"/>
    </row>
    <row r="10">
      <c r="A10" s="7"/>
      <c r="B10" s="7" t="s">
        <v>83</v>
      </c>
      <c r="C10" s="56" t="s">
        <v>84</v>
      </c>
      <c r="D10" s="7" t="s">
        <v>75</v>
      </c>
      <c r="E10" s="7" t="s">
        <v>76</v>
      </c>
      <c r="F10" s="7" t="s">
        <v>77</v>
      </c>
      <c r="G10" s="7" t="s">
        <v>78</v>
      </c>
      <c r="AG10" s="19"/>
      <c r="AH10" s="19"/>
      <c r="AI10" s="19"/>
      <c r="AJ10" s="19"/>
      <c r="AK10" s="19"/>
      <c r="AL10" s="19"/>
      <c r="AM10" s="19"/>
      <c r="AN10" s="19"/>
      <c r="AO10" s="19"/>
      <c r="AP10" s="19"/>
      <c r="AQ10" s="19"/>
      <c r="AR10" s="19"/>
      <c r="AS10" s="19"/>
      <c r="AT10" s="19"/>
      <c r="AU10" s="19"/>
      <c r="AV10" s="19"/>
      <c r="AW10" s="19"/>
      <c r="AX10" s="19"/>
    </row>
    <row r="11">
      <c r="A11" s="50">
        <v>1.0</v>
      </c>
      <c r="B11" s="50">
        <f t="shared" ref="B11:B129" si="1">IF(OR(ISBLANK(E11), ISBLANK(E10)), "", IF(and(E11=E10,F11=F10,G11=G10), B10, A11))
</f>
        <v>1</v>
      </c>
      <c r="C11" s="57" t="str">
        <f>IFERROR(__xludf.DUMMYFUNCTION("SORT(TRANSPOSE(FILTER(B1:AX5, BYCOL(B1:AX5, LAMBDA(col, COUNTIF(col, ""&lt;&gt;0"") &gt; 0)))), 3, FALSE,4,false,5,false)"),"Code Golf International")</f>
        <v>Code Golf International</v>
      </c>
      <c r="D11" s="8">
        <f>IFERROR(__xludf.DUMMYFUNCTION("""COMPUTED_VALUE"""),83.0)</f>
        <v>83</v>
      </c>
      <c r="E11" s="8">
        <f>IFERROR(__xludf.DUMMYFUNCTION("""COMPUTED_VALUE"""),231.0)</f>
        <v>231</v>
      </c>
      <c r="F11" s="8">
        <f>IFERROR(__xludf.DUMMYFUNCTION("""COMPUTED_VALUE"""),82.0)</f>
        <v>82</v>
      </c>
      <c r="G11" s="8">
        <f>IFERROR(__xludf.DUMMYFUNCTION("""COMPUTED_VALUE"""),52.0)</f>
        <v>52</v>
      </c>
      <c r="AG11" s="19"/>
      <c r="AH11" s="19"/>
      <c r="AI11" s="19"/>
      <c r="AJ11" s="19"/>
      <c r="AK11" s="19"/>
      <c r="AL11" s="19"/>
      <c r="AM11" s="19"/>
      <c r="AN11" s="19"/>
      <c r="AO11" s="19"/>
      <c r="AP11" s="19"/>
      <c r="AQ11" s="19"/>
      <c r="AR11" s="19"/>
      <c r="AS11" s="19"/>
      <c r="AT11" s="19"/>
      <c r="AU11" s="19"/>
      <c r="AV11" s="19"/>
      <c r="AW11" s="19"/>
      <c r="AX11" s="19"/>
    </row>
    <row r="12">
      <c r="A12" s="50">
        <f t="shared" ref="A12:A71" si="2">A11+1</f>
        <v>2</v>
      </c>
      <c r="B12" s="50">
        <f t="shared" si="1"/>
        <v>2</v>
      </c>
      <c r="C12" s="58" t="str">
        <f>IFERROR(__xludf.DUMMYFUNCTION("""COMPUTED_VALUE"""),"ox jam")</f>
        <v>ox jam</v>
      </c>
      <c r="D12" s="8">
        <f>IFERROR(__xludf.DUMMYFUNCTION("""COMPUTED_VALUE"""),71.0)</f>
        <v>71</v>
      </c>
      <c r="E12" s="8">
        <f>IFERROR(__xludf.DUMMYFUNCTION("""COMPUTED_VALUE"""),197.0)</f>
        <v>197</v>
      </c>
      <c r="F12" s="8">
        <f>IFERROR(__xludf.DUMMYFUNCTION("""COMPUTED_VALUE"""),83.0)</f>
        <v>83</v>
      </c>
      <c r="G12" s="8">
        <f>IFERROR(__xludf.DUMMYFUNCTION("""COMPUTED_VALUE"""),52.0)</f>
        <v>52</v>
      </c>
      <c r="AG12" s="19"/>
      <c r="AH12" s="19"/>
      <c r="AI12" s="19"/>
      <c r="AJ12" s="19"/>
      <c r="AK12" s="19"/>
      <c r="AL12" s="19"/>
      <c r="AM12" s="19"/>
      <c r="AN12" s="19"/>
      <c r="AO12" s="19"/>
      <c r="AP12" s="19"/>
      <c r="AQ12" s="19"/>
      <c r="AR12" s="19"/>
      <c r="AS12" s="19"/>
      <c r="AT12" s="19"/>
      <c r="AU12" s="19"/>
      <c r="AV12" s="19"/>
      <c r="AW12" s="19"/>
      <c r="AX12" s="19"/>
    </row>
    <row r="13">
      <c r="A13" s="50">
        <f t="shared" si="2"/>
        <v>3</v>
      </c>
      <c r="B13" s="50">
        <f t="shared" si="1"/>
        <v>3</v>
      </c>
      <c r="C13" s="59" t="str">
        <f>IFERROR(__xludf.DUMMYFUNCTION("""COMPUTED_VALUE"""),"jailctf merger")</f>
        <v>jailctf merger</v>
      </c>
      <c r="D13" s="8">
        <f>IFERROR(__xludf.DUMMYFUNCTION("""COMPUTED_VALUE"""),55.0)</f>
        <v>55</v>
      </c>
      <c r="E13" s="8">
        <f>IFERROR(__xludf.DUMMYFUNCTION("""COMPUTED_VALUE"""),193.0)</f>
        <v>193</v>
      </c>
      <c r="F13" s="8">
        <f>IFERROR(__xludf.DUMMYFUNCTION("""COMPUTED_VALUE"""),99.0)</f>
        <v>99</v>
      </c>
      <c r="G13" s="8">
        <f>IFERROR(__xludf.DUMMYFUNCTION("""COMPUTED_VALUE"""),67.0)</f>
        <v>67</v>
      </c>
      <c r="AG13" s="19"/>
      <c r="AH13" s="19"/>
      <c r="AI13" s="19"/>
      <c r="AJ13" s="19"/>
      <c r="AK13" s="19"/>
      <c r="AL13" s="19"/>
      <c r="AM13" s="19"/>
      <c r="AN13" s="19"/>
      <c r="AO13" s="19"/>
      <c r="AP13" s="19"/>
      <c r="AQ13" s="19"/>
      <c r="AR13" s="19"/>
      <c r="AS13" s="19"/>
      <c r="AT13" s="19"/>
      <c r="AU13" s="19"/>
      <c r="AV13" s="19"/>
      <c r="AW13" s="19"/>
      <c r="AX13" s="19"/>
    </row>
    <row r="14" ht="18.75" customHeight="1">
      <c r="A14" s="50">
        <f t="shared" si="2"/>
        <v>4</v>
      </c>
      <c r="B14" s="50">
        <f t="shared" si="1"/>
        <v>4</v>
      </c>
      <c r="C14" s="14" t="str">
        <f>IFERROR(__xludf.DUMMYFUNCTION("""COMPUTED_VALUE"""),"lv1.dev")</f>
        <v>lv1.dev</v>
      </c>
      <c r="D14" s="8">
        <f>IFERROR(__xludf.DUMMYFUNCTION("""COMPUTED_VALUE"""),3.0)</f>
        <v>3</v>
      </c>
      <c r="E14" s="8">
        <f>IFERROR(__xludf.DUMMYFUNCTION("""COMPUTED_VALUE"""),96.0)</f>
        <v>96</v>
      </c>
      <c r="F14" s="8">
        <f>IFERROR(__xludf.DUMMYFUNCTION("""COMPUTED_VALUE"""),26.0)</f>
        <v>26</v>
      </c>
      <c r="G14" s="8">
        <f>IFERROR(__xludf.DUMMYFUNCTION("""COMPUTED_VALUE"""),13.0)</f>
        <v>13</v>
      </c>
      <c r="AG14" s="19"/>
      <c r="AH14" s="19"/>
      <c r="AI14" s="19"/>
      <c r="AJ14" s="19"/>
      <c r="AK14" s="19"/>
      <c r="AL14" s="19"/>
      <c r="AM14" s="19"/>
      <c r="AN14" s="19"/>
      <c r="AO14" s="19"/>
      <c r="AP14" s="19"/>
      <c r="AQ14" s="19"/>
      <c r="AR14" s="19"/>
      <c r="AS14" s="19"/>
      <c r="AT14" s="19"/>
      <c r="AU14" s="19"/>
      <c r="AV14" s="19"/>
      <c r="AW14" s="19"/>
      <c r="AX14" s="19"/>
    </row>
    <row r="15">
      <c r="A15" s="50">
        <f t="shared" si="2"/>
        <v>5</v>
      </c>
      <c r="B15" s="50">
        <f t="shared" si="1"/>
        <v>5</v>
      </c>
      <c r="C15" s="14" t="str">
        <f>IFERROR(__xludf.DUMMYFUNCTION("""COMPUTED_VALUE"""),"LogicLynx")</f>
        <v>LogicLynx</v>
      </c>
      <c r="D15" s="8">
        <f>IFERROR(__xludf.DUMMYFUNCTION("""COMPUTED_VALUE"""),10.0)</f>
        <v>10</v>
      </c>
      <c r="E15" s="8">
        <f>IFERROR(__xludf.DUMMYFUNCTION("""COMPUTED_VALUE"""),90.0)</f>
        <v>90</v>
      </c>
      <c r="F15" s="8">
        <f>IFERROR(__xludf.DUMMYFUNCTION("""COMPUTED_VALUE"""),31.0)</f>
        <v>31</v>
      </c>
      <c r="G15" s="8">
        <f>IFERROR(__xludf.DUMMYFUNCTION("""COMPUTED_VALUE"""),19.0)</f>
        <v>19</v>
      </c>
      <c r="AG15" s="19"/>
      <c r="AH15" s="19"/>
      <c r="AI15" s="19"/>
      <c r="AJ15" s="19"/>
      <c r="AK15" s="19"/>
      <c r="AL15" s="19"/>
      <c r="AM15" s="19"/>
      <c r="AN15" s="19"/>
      <c r="AO15" s="19"/>
      <c r="AP15" s="19"/>
      <c r="AQ15" s="19"/>
      <c r="AR15" s="19"/>
      <c r="AS15" s="19"/>
      <c r="AT15" s="19"/>
      <c r="AU15" s="19"/>
      <c r="AV15" s="19"/>
      <c r="AW15" s="19"/>
      <c r="AX15" s="19"/>
    </row>
    <row r="16">
      <c r="A16" s="50">
        <f t="shared" si="2"/>
        <v>6</v>
      </c>
      <c r="B16" s="50">
        <f t="shared" si="1"/>
        <v>6</v>
      </c>
      <c r="C16" s="14" t="str">
        <f>IFERROR(__xludf.DUMMYFUNCTION("""COMPUTED_VALUE"""),"FuunAgent")</f>
        <v>FuunAgent</v>
      </c>
      <c r="D16" s="8">
        <f>IFERROR(__xludf.DUMMYFUNCTION("""COMPUTED_VALUE"""),3.0)</f>
        <v>3</v>
      </c>
      <c r="E16" s="8">
        <f>IFERROR(__xludf.DUMMYFUNCTION("""COMPUTED_VALUE"""),76.0)</f>
        <v>76</v>
      </c>
      <c r="F16" s="8">
        <f>IFERROR(__xludf.DUMMYFUNCTION("""COMPUTED_VALUE"""),23.0)</f>
        <v>23</v>
      </c>
      <c r="G16" s="8">
        <f>IFERROR(__xludf.DUMMYFUNCTION("""COMPUTED_VALUE"""),13.0)</f>
        <v>13</v>
      </c>
      <c r="AG16" s="19"/>
      <c r="AH16" s="19"/>
      <c r="AI16" s="19"/>
      <c r="AJ16" s="19"/>
      <c r="AK16" s="19"/>
      <c r="AL16" s="19"/>
      <c r="AM16" s="19"/>
      <c r="AN16" s="19"/>
      <c r="AO16" s="19"/>
      <c r="AP16" s="19"/>
      <c r="AQ16" s="19"/>
      <c r="AR16" s="19"/>
      <c r="AS16" s="19"/>
      <c r="AT16" s="19"/>
      <c r="AU16" s="19"/>
      <c r="AV16" s="19"/>
      <c r="AW16" s="19"/>
      <c r="AX16" s="19"/>
    </row>
    <row r="17">
      <c r="A17" s="50">
        <f t="shared" si="2"/>
        <v>7</v>
      </c>
      <c r="B17" s="50">
        <f t="shared" si="1"/>
        <v>7</v>
      </c>
      <c r="C17" s="14" t="str">
        <f>IFERROR(__xludf.DUMMYFUNCTION("""COMPUTED_VALUE"""),"import itertools")</f>
        <v>import itertools</v>
      </c>
      <c r="D17" s="8">
        <f>IFERROR(__xludf.DUMMYFUNCTION("""COMPUTED_VALUE"""),1.0)</f>
        <v>1</v>
      </c>
      <c r="E17" s="8">
        <f>IFERROR(__xludf.DUMMYFUNCTION("""COMPUTED_VALUE"""),74.0)</f>
        <v>74</v>
      </c>
      <c r="F17" s="8">
        <f>IFERROR(__xludf.DUMMYFUNCTION("""COMPUTED_VALUE"""),12.0)</f>
        <v>12</v>
      </c>
      <c r="G17" s="8">
        <f>IFERROR(__xludf.DUMMYFUNCTION("""COMPUTED_VALUE"""),7.0)</f>
        <v>7</v>
      </c>
      <c r="AG17" s="19"/>
      <c r="AH17" s="19"/>
      <c r="AI17" s="19"/>
      <c r="AJ17" s="19"/>
      <c r="AK17" s="19"/>
      <c r="AL17" s="19"/>
      <c r="AM17" s="19"/>
      <c r="AN17" s="19"/>
      <c r="AO17" s="19"/>
      <c r="AP17" s="19"/>
      <c r="AQ17" s="19"/>
      <c r="AR17" s="19"/>
      <c r="AS17" s="19"/>
      <c r="AT17" s="19"/>
      <c r="AU17" s="19"/>
      <c r="AV17" s="19"/>
      <c r="AW17" s="19"/>
      <c r="AX17" s="19"/>
    </row>
    <row r="18">
      <c r="A18" s="50">
        <f t="shared" si="2"/>
        <v>8</v>
      </c>
      <c r="B18" s="50">
        <f t="shared" si="1"/>
        <v>8</v>
      </c>
      <c r="C18" s="14" t="str">
        <f>IFERROR(__xludf.DUMMYFUNCTION("""COMPUTED_VALUE"""),"intgrah jimboko awu macaque sammyuri")</f>
        <v>intgrah jimboko awu macaque sammyuri</v>
      </c>
      <c r="D18" s="8">
        <f>IFERROR(__xludf.DUMMYFUNCTION("""COMPUTED_VALUE"""),1.0)</f>
        <v>1</v>
      </c>
      <c r="E18" s="8">
        <f>IFERROR(__xludf.DUMMYFUNCTION("""COMPUTED_VALUE"""),69.0)</f>
        <v>69</v>
      </c>
      <c r="F18" s="8">
        <f>IFERROR(__xludf.DUMMYFUNCTION("""COMPUTED_VALUE"""),23.0)</f>
        <v>23</v>
      </c>
      <c r="G18" s="8">
        <f>IFERROR(__xludf.DUMMYFUNCTION("""COMPUTED_VALUE"""),17.0)</f>
        <v>17</v>
      </c>
      <c r="AG18" s="19"/>
      <c r="AH18" s="19"/>
      <c r="AI18" s="19"/>
      <c r="AJ18" s="19"/>
      <c r="AK18" s="19"/>
      <c r="AL18" s="19"/>
      <c r="AM18" s="19"/>
      <c r="AN18" s="19"/>
      <c r="AO18" s="19"/>
      <c r="AP18" s="19"/>
      <c r="AQ18" s="19"/>
      <c r="AR18" s="19"/>
      <c r="AS18" s="19"/>
      <c r="AT18" s="19"/>
      <c r="AU18" s="19"/>
      <c r="AV18" s="19"/>
      <c r="AW18" s="19"/>
      <c r="AX18" s="19"/>
    </row>
    <row r="19">
      <c r="A19" s="50">
        <f t="shared" si="2"/>
        <v>9</v>
      </c>
      <c r="B19" s="50">
        <f t="shared" si="1"/>
        <v>9</v>
      </c>
      <c r="C19" s="14" t="str">
        <f>IFERROR(__xludf.DUMMYFUNCTION("""COMPUTED_VALUE"""),"ﾀｲｽｹﾝｻﾝﾊﾞII")</f>
        <v>ﾀｲｽｹﾝｻﾝﾊﾞII</v>
      </c>
      <c r="D19" s="8">
        <f>IFERROR(__xludf.DUMMYFUNCTION("""COMPUTED_VALUE"""),0.0)</f>
        <v>0</v>
      </c>
      <c r="E19" s="8">
        <f>IFERROR(__xludf.DUMMYFUNCTION("""COMPUTED_VALUE"""),61.0)</f>
        <v>61</v>
      </c>
      <c r="F19" s="8">
        <f>IFERROR(__xludf.DUMMYFUNCTION("""COMPUTED_VALUE"""),10.0)</f>
        <v>10</v>
      </c>
      <c r="G19" s="8">
        <f>IFERROR(__xludf.DUMMYFUNCTION("""COMPUTED_VALUE"""),4.0)</f>
        <v>4</v>
      </c>
      <c r="AG19" s="19"/>
      <c r="AH19" s="19"/>
      <c r="AI19" s="19"/>
      <c r="AJ19" s="19"/>
      <c r="AK19" s="19"/>
      <c r="AL19" s="19"/>
      <c r="AM19" s="19"/>
      <c r="AN19" s="19"/>
      <c r="AO19" s="19"/>
      <c r="AP19" s="19"/>
      <c r="AQ19" s="19"/>
      <c r="AR19" s="19"/>
      <c r="AS19" s="19"/>
      <c r="AT19" s="19"/>
      <c r="AU19" s="19"/>
      <c r="AV19" s="19"/>
      <c r="AW19" s="19"/>
      <c r="AX19" s="19"/>
    </row>
    <row r="20">
      <c r="A20" s="50">
        <f t="shared" si="2"/>
        <v>10</v>
      </c>
      <c r="B20" s="50">
        <f t="shared" si="1"/>
        <v>10</v>
      </c>
      <c r="C20" s="14" t="str">
        <f>IFERROR(__xludf.DUMMYFUNCTION("""COMPUTED_VALUE"""),"biz")</f>
        <v>biz</v>
      </c>
      <c r="D20" s="8">
        <f>IFERROR(__xludf.DUMMYFUNCTION("""COMPUTED_VALUE"""),2.0)</f>
        <v>2</v>
      </c>
      <c r="E20" s="8">
        <f>IFERROR(__xludf.DUMMYFUNCTION("""COMPUTED_VALUE"""),59.0)</f>
        <v>59</v>
      </c>
      <c r="F20" s="8">
        <f>IFERROR(__xludf.DUMMYFUNCTION("""COMPUTED_VALUE"""),12.0)</f>
        <v>12</v>
      </c>
      <c r="G20" s="8">
        <f>IFERROR(__xludf.DUMMYFUNCTION("""COMPUTED_VALUE"""),12.0)</f>
        <v>12</v>
      </c>
      <c r="AG20" s="19"/>
      <c r="AH20" s="19"/>
      <c r="AI20" s="19"/>
      <c r="AJ20" s="19"/>
      <c r="AK20" s="19"/>
      <c r="AL20" s="19"/>
      <c r="AM20" s="19"/>
      <c r="AN20" s="19"/>
      <c r="AO20" s="19"/>
      <c r="AP20" s="19"/>
      <c r="AQ20" s="19"/>
      <c r="AR20" s="19"/>
      <c r="AS20" s="19"/>
      <c r="AT20" s="19"/>
      <c r="AU20" s="19"/>
      <c r="AV20" s="19"/>
      <c r="AW20" s="19"/>
      <c r="AX20" s="19"/>
    </row>
    <row r="21">
      <c r="A21" s="50">
        <f t="shared" si="2"/>
        <v>11</v>
      </c>
      <c r="B21" s="50">
        <f t="shared" si="1"/>
        <v>11</v>
      </c>
      <c r="C21" s="14" t="str">
        <f>IFERROR(__xludf.DUMMYFUNCTION("""COMPUTED_VALUE"""),"HIMAGINE THE FUTURE.")</f>
        <v>HIMAGINE THE FUTURE.</v>
      </c>
      <c r="D21" s="8">
        <f>IFERROR(__xludf.DUMMYFUNCTION("""COMPUTED_VALUE"""),0.0)</f>
        <v>0</v>
      </c>
      <c r="E21" s="8">
        <f>IFERROR(__xludf.DUMMYFUNCTION("""COMPUTED_VALUE"""),58.0)</f>
        <v>58</v>
      </c>
      <c r="F21" s="8">
        <f>IFERROR(__xludf.DUMMYFUNCTION("""COMPUTED_VALUE"""),15.0)</f>
        <v>15</v>
      </c>
      <c r="G21" s="8">
        <f>IFERROR(__xludf.DUMMYFUNCTION("""COMPUTED_VALUE"""),10.0)</f>
        <v>10</v>
      </c>
      <c r="AG21" s="19"/>
      <c r="AH21" s="19"/>
      <c r="AI21" s="19"/>
      <c r="AJ21" s="19"/>
      <c r="AK21" s="19"/>
      <c r="AL21" s="19"/>
      <c r="AM21" s="19"/>
      <c r="AN21" s="19"/>
      <c r="AO21" s="19"/>
      <c r="AP21" s="19"/>
      <c r="AQ21" s="19"/>
      <c r="AR21" s="19"/>
      <c r="AS21" s="19"/>
      <c r="AT21" s="19"/>
      <c r="AU21" s="19"/>
      <c r="AV21" s="19"/>
      <c r="AW21" s="19"/>
      <c r="AX21" s="19"/>
    </row>
    <row r="22">
      <c r="A22" s="50">
        <f t="shared" si="2"/>
        <v>12</v>
      </c>
      <c r="B22" s="50">
        <f t="shared" si="1"/>
        <v>12</v>
      </c>
      <c r="C22" s="14" t="str">
        <f>IFERROR(__xludf.DUMMYFUNCTION("""COMPUTED_VALUE"""),"ALE-Agent")</f>
        <v>ALE-Agent</v>
      </c>
      <c r="D22" s="8">
        <f>IFERROR(__xludf.DUMMYFUNCTION("""COMPUTED_VALUE"""),0.0)</f>
        <v>0</v>
      </c>
      <c r="E22" s="8">
        <f>IFERROR(__xludf.DUMMYFUNCTION("""COMPUTED_VALUE"""),58.0)</f>
        <v>58</v>
      </c>
      <c r="F22" s="8">
        <f>IFERROR(__xludf.DUMMYFUNCTION("""COMPUTED_VALUE"""),9.0)</f>
        <v>9</v>
      </c>
      <c r="G22" s="8">
        <f>IFERROR(__xludf.DUMMYFUNCTION("""COMPUTED_VALUE"""),5.0)</f>
        <v>5</v>
      </c>
      <c r="AG22" s="19"/>
      <c r="AH22" s="19"/>
      <c r="AI22" s="19"/>
      <c r="AJ22" s="19"/>
      <c r="AK22" s="19"/>
      <c r="AL22" s="19"/>
      <c r="AM22" s="19"/>
      <c r="AN22" s="19"/>
      <c r="AO22" s="19"/>
      <c r="AP22" s="19"/>
      <c r="AQ22" s="19"/>
      <c r="AR22" s="19"/>
      <c r="AS22" s="19"/>
      <c r="AT22" s="19"/>
      <c r="AU22" s="19"/>
      <c r="AV22" s="19"/>
      <c r="AW22" s="19"/>
      <c r="AX22" s="19"/>
    </row>
    <row r="23">
      <c r="A23" s="50">
        <f t="shared" si="2"/>
        <v>13</v>
      </c>
      <c r="B23" s="50">
        <f t="shared" si="1"/>
        <v>13</v>
      </c>
      <c r="C23" s="14" t="str">
        <f>IFERROR(__xludf.DUMMYFUNCTION("""COMPUTED_VALUE"""),"santa2024")</f>
        <v>santa2024</v>
      </c>
      <c r="D23" s="8">
        <f>IFERROR(__xludf.DUMMYFUNCTION("""COMPUTED_VALUE"""),0.0)</f>
        <v>0</v>
      </c>
      <c r="E23" s="8">
        <f>IFERROR(__xludf.DUMMYFUNCTION("""COMPUTED_VALUE"""),53.0)</f>
        <v>53</v>
      </c>
      <c r="F23" s="8">
        <f>IFERROR(__xludf.DUMMYFUNCTION("""COMPUTED_VALUE"""),9.0)</f>
        <v>9</v>
      </c>
      <c r="G23" s="8">
        <f>IFERROR(__xludf.DUMMYFUNCTION("""COMPUTED_VALUE"""),5.0)</f>
        <v>5</v>
      </c>
      <c r="AG23" s="19"/>
      <c r="AH23" s="19"/>
      <c r="AI23" s="19"/>
      <c r="AJ23" s="19"/>
      <c r="AK23" s="19"/>
      <c r="AL23" s="19"/>
      <c r="AM23" s="19"/>
      <c r="AN23" s="19"/>
      <c r="AO23" s="19"/>
      <c r="AP23" s="19"/>
      <c r="AQ23" s="19"/>
      <c r="AR23" s="19"/>
      <c r="AS23" s="19"/>
      <c r="AT23" s="19"/>
      <c r="AU23" s="19"/>
      <c r="AV23" s="19"/>
      <c r="AW23" s="19"/>
      <c r="AX23" s="19"/>
    </row>
    <row r="24">
      <c r="A24" s="50">
        <f t="shared" si="2"/>
        <v>14</v>
      </c>
      <c r="B24" s="50">
        <f t="shared" si="1"/>
        <v>14</v>
      </c>
      <c r="C24" s="14" t="str">
        <f>IFERROR(__xludf.DUMMYFUNCTION("""COMPUTED_VALUE"""),"JRKKX")</f>
        <v>JRKKX</v>
      </c>
      <c r="D24" s="8">
        <f>IFERROR(__xludf.DUMMYFUNCTION("""COMPUTED_VALUE"""),0.0)</f>
        <v>0</v>
      </c>
      <c r="E24" s="8">
        <f>IFERROR(__xludf.DUMMYFUNCTION("""COMPUTED_VALUE"""),39.0)</f>
        <v>39</v>
      </c>
      <c r="F24" s="8">
        <f>IFERROR(__xludf.DUMMYFUNCTION("""COMPUTED_VALUE"""),5.0)</f>
        <v>5</v>
      </c>
      <c r="G24" s="8">
        <f>IFERROR(__xludf.DUMMYFUNCTION("""COMPUTED_VALUE"""),0.0)</f>
        <v>0</v>
      </c>
      <c r="AG24" s="19"/>
      <c r="AH24" s="19"/>
      <c r="AI24" s="19"/>
      <c r="AJ24" s="19"/>
      <c r="AK24" s="19"/>
      <c r="AL24" s="19"/>
      <c r="AM24" s="19"/>
      <c r="AN24" s="19"/>
      <c r="AO24" s="19"/>
      <c r="AP24" s="19"/>
      <c r="AQ24" s="19"/>
      <c r="AR24" s="19"/>
      <c r="AS24" s="19"/>
      <c r="AT24" s="19"/>
      <c r="AU24" s="19"/>
      <c r="AV24" s="19"/>
      <c r="AW24" s="19"/>
      <c r="AX24" s="19"/>
    </row>
    <row r="25">
      <c r="A25" s="50">
        <f t="shared" si="2"/>
        <v>15</v>
      </c>
      <c r="B25" s="50">
        <f t="shared" si="1"/>
        <v>15</v>
      </c>
      <c r="C25" s="14" t="str">
        <f>IFERROR(__xludf.DUMMYFUNCTION("""COMPUTED_VALUE"""),"HETHAT")</f>
        <v>HETHAT</v>
      </c>
      <c r="D25" s="8">
        <f>IFERROR(__xludf.DUMMYFUNCTION("""COMPUTED_VALUE"""),0.0)</f>
        <v>0</v>
      </c>
      <c r="E25" s="8">
        <f>IFERROR(__xludf.DUMMYFUNCTION("""COMPUTED_VALUE"""),37.0)</f>
        <v>37</v>
      </c>
      <c r="F25" s="8">
        <f>IFERROR(__xludf.DUMMYFUNCTION("""COMPUTED_VALUE"""),4.0)</f>
        <v>4</v>
      </c>
      <c r="G25" s="8">
        <f>IFERROR(__xludf.DUMMYFUNCTION("""COMPUTED_VALUE"""),1.0)</f>
        <v>1</v>
      </c>
      <c r="AG25" s="19"/>
      <c r="AH25" s="19"/>
      <c r="AI25" s="19"/>
      <c r="AJ25" s="19"/>
      <c r="AK25" s="19"/>
      <c r="AL25" s="19"/>
      <c r="AM25" s="19"/>
      <c r="AN25" s="19"/>
      <c r="AO25" s="19"/>
      <c r="AP25" s="19"/>
      <c r="AQ25" s="19"/>
      <c r="AR25" s="19"/>
      <c r="AS25" s="19"/>
      <c r="AT25" s="19"/>
      <c r="AU25" s="19"/>
      <c r="AV25" s="19"/>
      <c r="AW25" s="19"/>
      <c r="AX25" s="19"/>
    </row>
    <row r="26">
      <c r="A26" s="50">
        <f t="shared" si="2"/>
        <v>16</v>
      </c>
      <c r="B26" s="50">
        <f t="shared" si="1"/>
        <v>16</v>
      </c>
      <c r="C26" s="14" t="str">
        <f>IFERROR(__xludf.DUMMYFUNCTION("""COMPUTED_VALUE"""),"ShadowPrompt Labs")</f>
        <v>ShadowPrompt Labs</v>
      </c>
      <c r="D26" s="8">
        <f>IFERROR(__xludf.DUMMYFUNCTION("""COMPUTED_VALUE"""),0.0)</f>
        <v>0</v>
      </c>
      <c r="E26" s="8">
        <f>IFERROR(__xludf.DUMMYFUNCTION("""COMPUTED_VALUE"""),36.0)</f>
        <v>36</v>
      </c>
      <c r="F26" s="8">
        <f>IFERROR(__xludf.DUMMYFUNCTION("""COMPUTED_VALUE"""),4.0)</f>
        <v>4</v>
      </c>
      <c r="G26" s="8">
        <f>IFERROR(__xludf.DUMMYFUNCTION("""COMPUTED_VALUE"""),0.0)</f>
        <v>0</v>
      </c>
      <c r="AG26" s="19"/>
      <c r="AH26" s="19"/>
      <c r="AI26" s="19"/>
      <c r="AJ26" s="19"/>
      <c r="AK26" s="19"/>
      <c r="AL26" s="19"/>
      <c r="AM26" s="19"/>
      <c r="AN26" s="19"/>
      <c r="AO26" s="19"/>
      <c r="AP26" s="19"/>
      <c r="AQ26" s="19"/>
      <c r="AR26" s="19"/>
      <c r="AS26" s="19"/>
      <c r="AT26" s="19"/>
      <c r="AU26" s="19"/>
      <c r="AV26" s="19"/>
      <c r="AW26" s="19"/>
      <c r="AX26" s="19"/>
    </row>
    <row r="27">
      <c r="A27" s="50">
        <f t="shared" si="2"/>
        <v>17</v>
      </c>
      <c r="B27" s="50">
        <f t="shared" si="1"/>
        <v>17</v>
      </c>
      <c r="C27" s="14" t="str">
        <f>IFERROR(__xludf.DUMMYFUNCTION("""COMPUTED_VALUE"""),"Yuchen20")</f>
        <v>Yuchen20</v>
      </c>
      <c r="D27" s="8">
        <f>IFERROR(__xludf.DUMMYFUNCTION("""COMPUTED_VALUE"""),0.0)</f>
        <v>0</v>
      </c>
      <c r="E27" s="8">
        <f>IFERROR(__xludf.DUMMYFUNCTION("""COMPUTED_VALUE"""),34.0)</f>
        <v>34</v>
      </c>
      <c r="F27" s="8">
        <f>IFERROR(__xludf.DUMMYFUNCTION("""COMPUTED_VALUE"""),6.0)</f>
        <v>6</v>
      </c>
      <c r="G27" s="8">
        <f>IFERROR(__xludf.DUMMYFUNCTION("""COMPUTED_VALUE"""),0.0)</f>
        <v>0</v>
      </c>
      <c r="AG27" s="19"/>
      <c r="AH27" s="19"/>
      <c r="AI27" s="19"/>
      <c r="AJ27" s="19"/>
      <c r="AK27" s="19"/>
      <c r="AL27" s="19"/>
      <c r="AM27" s="19"/>
      <c r="AN27" s="19"/>
      <c r="AO27" s="19"/>
      <c r="AP27" s="19"/>
      <c r="AQ27" s="19"/>
      <c r="AR27" s="19"/>
      <c r="AS27" s="19"/>
      <c r="AT27" s="19"/>
      <c r="AU27" s="19"/>
      <c r="AV27" s="19"/>
      <c r="AW27" s="19"/>
      <c r="AX27" s="19"/>
    </row>
    <row r="28">
      <c r="A28" s="50">
        <f t="shared" si="2"/>
        <v>18</v>
      </c>
      <c r="B28" s="50">
        <f t="shared" si="1"/>
        <v>18</v>
      </c>
      <c r="C28" s="14" t="str">
        <f>IFERROR(__xludf.DUMMYFUNCTION("""COMPUTED_VALUE"""),"kambarakun")</f>
        <v>kambarakun</v>
      </c>
      <c r="D28" s="8">
        <f>IFERROR(__xludf.DUMMYFUNCTION("""COMPUTED_VALUE"""),0.0)</f>
        <v>0</v>
      </c>
      <c r="E28" s="8">
        <f>IFERROR(__xludf.DUMMYFUNCTION("""COMPUTED_VALUE"""),34.0)</f>
        <v>34</v>
      </c>
      <c r="F28" s="8">
        <f>IFERROR(__xludf.DUMMYFUNCTION("""COMPUTED_VALUE"""),5.0)</f>
        <v>5</v>
      </c>
      <c r="G28" s="8">
        <f>IFERROR(__xludf.DUMMYFUNCTION("""COMPUTED_VALUE"""),0.0)</f>
        <v>0</v>
      </c>
      <c r="AG28" s="19"/>
      <c r="AH28" s="19"/>
      <c r="AI28" s="19"/>
      <c r="AJ28" s="19"/>
      <c r="AK28" s="19"/>
      <c r="AL28" s="19"/>
      <c r="AM28" s="19"/>
      <c r="AN28" s="19"/>
      <c r="AO28" s="19"/>
      <c r="AP28" s="19"/>
      <c r="AQ28" s="19"/>
      <c r="AR28" s="19"/>
      <c r="AS28" s="19"/>
      <c r="AT28" s="19"/>
      <c r="AU28" s="19"/>
      <c r="AV28" s="19"/>
      <c r="AW28" s="19"/>
      <c r="AX28" s="19"/>
    </row>
    <row r="29">
      <c r="A29" s="50">
        <f t="shared" si="2"/>
        <v>19</v>
      </c>
      <c r="B29" s="50">
        <f t="shared" si="1"/>
        <v>18</v>
      </c>
      <c r="C29" s="14" t="str">
        <f>IFERROR(__xludf.DUMMYFUNCTION("""COMPUTED_VALUE"""),"THUNDER THUNDER")</f>
        <v>THUNDER THUNDER</v>
      </c>
      <c r="D29" s="8">
        <f>IFERROR(__xludf.DUMMYFUNCTION("""COMPUTED_VALUE"""),0.0)</f>
        <v>0</v>
      </c>
      <c r="E29" s="8">
        <f>IFERROR(__xludf.DUMMYFUNCTION("""COMPUTED_VALUE"""),34.0)</f>
        <v>34</v>
      </c>
      <c r="F29" s="8">
        <f>IFERROR(__xludf.DUMMYFUNCTION("""COMPUTED_VALUE"""),5.0)</f>
        <v>5</v>
      </c>
      <c r="G29" s="8">
        <f>IFERROR(__xludf.DUMMYFUNCTION("""COMPUTED_VALUE"""),0.0)</f>
        <v>0</v>
      </c>
      <c r="AG29" s="19"/>
      <c r="AH29" s="19"/>
      <c r="AI29" s="19"/>
      <c r="AJ29" s="19"/>
      <c r="AK29" s="19"/>
      <c r="AL29" s="19"/>
      <c r="AM29" s="19"/>
      <c r="AN29" s="19"/>
      <c r="AO29" s="19"/>
      <c r="AP29" s="19"/>
      <c r="AQ29" s="19"/>
      <c r="AR29" s="19"/>
      <c r="AS29" s="19"/>
      <c r="AT29" s="19"/>
      <c r="AU29" s="19"/>
      <c r="AV29" s="19"/>
      <c r="AW29" s="19"/>
      <c r="AX29" s="19"/>
    </row>
    <row r="30">
      <c r="A30" s="50">
        <f t="shared" si="2"/>
        <v>20</v>
      </c>
      <c r="B30" s="50">
        <f t="shared" si="1"/>
        <v>20</v>
      </c>
      <c r="C30" s="14" t="str">
        <f>IFERROR(__xludf.DUMMYFUNCTION("""COMPUTED_VALUE"""),"cubbus")</f>
        <v>cubbus</v>
      </c>
      <c r="D30" s="8">
        <f>IFERROR(__xludf.DUMMYFUNCTION("""COMPUTED_VALUE"""),0.0)</f>
        <v>0</v>
      </c>
      <c r="E30" s="8">
        <f>IFERROR(__xludf.DUMMYFUNCTION("""COMPUTED_VALUE"""),34.0)</f>
        <v>34</v>
      </c>
      <c r="F30" s="8">
        <f>IFERROR(__xludf.DUMMYFUNCTION("""COMPUTED_VALUE"""),4.0)</f>
        <v>4</v>
      </c>
      <c r="G30" s="8">
        <f>IFERROR(__xludf.DUMMYFUNCTION("""COMPUTED_VALUE"""),1.0)</f>
        <v>1</v>
      </c>
      <c r="AG30" s="19"/>
      <c r="AH30" s="19"/>
      <c r="AI30" s="19"/>
      <c r="AJ30" s="19"/>
      <c r="AK30" s="19"/>
      <c r="AL30" s="19"/>
      <c r="AM30" s="19"/>
      <c r="AN30" s="19"/>
      <c r="AO30" s="19"/>
      <c r="AP30" s="19"/>
      <c r="AQ30" s="19"/>
      <c r="AR30" s="19"/>
      <c r="AS30" s="19"/>
      <c r="AT30" s="19"/>
      <c r="AU30" s="19"/>
      <c r="AV30" s="19"/>
      <c r="AW30" s="19"/>
      <c r="AX30" s="19"/>
    </row>
    <row r="31">
      <c r="A31" s="50">
        <f t="shared" si="2"/>
        <v>21</v>
      </c>
      <c r="B31" s="50">
        <f t="shared" si="1"/>
        <v>21</v>
      </c>
      <c r="C31" s="14" t="str">
        <f>IFERROR(__xludf.DUMMYFUNCTION("""COMPUTED_VALUE"""),"
Team JYCDT")</f>
        <v>
Team JYCDT</v>
      </c>
      <c r="D31" s="8">
        <f>IFERROR(__xludf.DUMMYFUNCTION("""COMPUTED_VALUE"""),0.0)</f>
        <v>0</v>
      </c>
      <c r="E31" s="8">
        <f>IFERROR(__xludf.DUMMYFUNCTION("""COMPUTED_VALUE"""),32.0)</f>
        <v>32</v>
      </c>
      <c r="F31" s="8">
        <f>IFERROR(__xludf.DUMMYFUNCTION("""COMPUTED_VALUE"""),4.0)</f>
        <v>4</v>
      </c>
      <c r="G31" s="8">
        <f>IFERROR(__xludf.DUMMYFUNCTION("""COMPUTED_VALUE"""),0.0)</f>
        <v>0</v>
      </c>
      <c r="AG31" s="19"/>
      <c r="AH31" s="19"/>
      <c r="AI31" s="19"/>
      <c r="AJ31" s="19"/>
      <c r="AK31" s="19"/>
      <c r="AL31" s="19"/>
      <c r="AM31" s="19"/>
      <c r="AN31" s="19"/>
      <c r="AO31" s="19"/>
      <c r="AP31" s="19"/>
      <c r="AQ31" s="19"/>
      <c r="AR31" s="19"/>
      <c r="AS31" s="19"/>
      <c r="AT31" s="19"/>
      <c r="AU31" s="19"/>
      <c r="AV31" s="19"/>
      <c r="AW31" s="19"/>
      <c r="AX31" s="19"/>
    </row>
    <row r="32">
      <c r="A32" s="50">
        <f t="shared" si="2"/>
        <v>22</v>
      </c>
      <c r="B32" s="50">
        <f t="shared" si="1"/>
        <v>22</v>
      </c>
      <c r="C32" s="14" t="str">
        <f>IFERROR(__xludf.DUMMYFUNCTION("""COMPUTED_VALUE"""),"kabutack")</f>
        <v>kabutack</v>
      </c>
      <c r="D32" s="8">
        <f>IFERROR(__xludf.DUMMYFUNCTION("""COMPUTED_VALUE"""),0.0)</f>
        <v>0</v>
      </c>
      <c r="E32" s="8">
        <f>IFERROR(__xludf.DUMMYFUNCTION("""COMPUTED_VALUE"""),30.0)</f>
        <v>30</v>
      </c>
      <c r="F32" s="8">
        <f>IFERROR(__xludf.DUMMYFUNCTION("""COMPUTED_VALUE"""),4.0)</f>
        <v>4</v>
      </c>
      <c r="G32" s="8">
        <f>IFERROR(__xludf.DUMMYFUNCTION("""COMPUTED_VALUE"""),0.0)</f>
        <v>0</v>
      </c>
      <c r="AG32" s="19"/>
      <c r="AH32" s="19"/>
      <c r="AI32" s="19"/>
      <c r="AJ32" s="19"/>
      <c r="AK32" s="19"/>
      <c r="AL32" s="19"/>
      <c r="AM32" s="19"/>
      <c r="AN32" s="19"/>
      <c r="AO32" s="19"/>
      <c r="AP32" s="19"/>
      <c r="AQ32" s="19"/>
      <c r="AR32" s="19"/>
      <c r="AS32" s="19"/>
      <c r="AT32" s="19"/>
      <c r="AU32" s="19"/>
      <c r="AV32" s="19"/>
      <c r="AW32" s="19"/>
      <c r="AX32" s="19"/>
    </row>
    <row r="33">
      <c r="A33" s="50">
        <f t="shared" si="2"/>
        <v>23</v>
      </c>
      <c r="B33" s="50">
        <f t="shared" si="1"/>
        <v>23</v>
      </c>
      <c r="C33" s="14" t="str">
        <f>IFERROR(__xludf.DUMMYFUNCTION("""COMPUTED_VALUE"""),"cg-klogw-sekken")</f>
        <v>cg-klogw-sekken</v>
      </c>
      <c r="D33" s="8">
        <f>IFERROR(__xludf.DUMMYFUNCTION("""COMPUTED_VALUE"""),0.0)</f>
        <v>0</v>
      </c>
      <c r="E33" s="8">
        <f>IFERROR(__xludf.DUMMYFUNCTION("""COMPUTED_VALUE"""),29.0)</f>
        <v>29</v>
      </c>
      <c r="F33" s="8">
        <f>IFERROR(__xludf.DUMMYFUNCTION("""COMPUTED_VALUE"""),5.0)</f>
        <v>5</v>
      </c>
      <c r="G33" s="8">
        <f>IFERROR(__xludf.DUMMYFUNCTION("""COMPUTED_VALUE"""),0.0)</f>
        <v>0</v>
      </c>
      <c r="AG33" s="19"/>
      <c r="AH33" s="19"/>
      <c r="AI33" s="19"/>
      <c r="AJ33" s="19"/>
      <c r="AK33" s="19"/>
      <c r="AL33" s="19"/>
      <c r="AM33" s="19"/>
      <c r="AN33" s="19"/>
      <c r="AO33" s="19"/>
      <c r="AP33" s="19"/>
      <c r="AQ33" s="19"/>
      <c r="AR33" s="19"/>
      <c r="AS33" s="19"/>
      <c r="AT33" s="19"/>
      <c r="AU33" s="19"/>
      <c r="AV33" s="19"/>
      <c r="AW33" s="19"/>
      <c r="AX33" s="19"/>
    </row>
    <row r="34">
      <c r="A34" s="50">
        <f t="shared" si="2"/>
        <v>24</v>
      </c>
      <c r="B34" s="50">
        <f t="shared" si="1"/>
        <v>24</v>
      </c>
      <c r="C34" s="14" t="str">
        <f>IFERROR(__xludf.DUMMYFUNCTION("""COMPUTED_VALUE"""),"Ravi Annaswamy")</f>
        <v>Ravi Annaswamy</v>
      </c>
      <c r="D34" s="8">
        <f>IFERROR(__xludf.DUMMYFUNCTION("""COMPUTED_VALUE"""),1.0)</f>
        <v>1</v>
      </c>
      <c r="E34" s="8">
        <f>IFERROR(__xludf.DUMMYFUNCTION("""COMPUTED_VALUE"""),29.0)</f>
        <v>29</v>
      </c>
      <c r="F34" s="8">
        <f>IFERROR(__xludf.DUMMYFUNCTION("""COMPUTED_VALUE"""),3.0)</f>
        <v>3</v>
      </c>
      <c r="G34" s="8">
        <f>IFERROR(__xludf.DUMMYFUNCTION("""COMPUTED_VALUE"""),1.0)</f>
        <v>1</v>
      </c>
      <c r="AG34" s="19"/>
      <c r="AH34" s="19"/>
      <c r="AI34" s="19"/>
      <c r="AJ34" s="19"/>
      <c r="AK34" s="19"/>
      <c r="AL34" s="19"/>
      <c r="AM34" s="19"/>
      <c r="AN34" s="19"/>
      <c r="AO34" s="19"/>
      <c r="AP34" s="19"/>
      <c r="AQ34" s="19"/>
      <c r="AR34" s="19"/>
      <c r="AS34" s="19"/>
      <c r="AT34" s="19"/>
      <c r="AU34" s="19"/>
      <c r="AV34" s="19"/>
      <c r="AW34" s="19"/>
      <c r="AX34" s="19"/>
    </row>
    <row r="35">
      <c r="A35" s="50">
        <f t="shared" si="2"/>
        <v>25</v>
      </c>
      <c r="B35" s="50">
        <f t="shared" si="1"/>
        <v>25</v>
      </c>
      <c r="C35" s="14" t="str">
        <f>IFERROR(__xludf.DUMMYFUNCTION("""COMPUTED_VALUE"""),"blob2822")</f>
        <v>blob2822</v>
      </c>
      <c r="D35" s="8">
        <f>IFERROR(__xludf.DUMMYFUNCTION("""COMPUTED_VALUE"""),0.0)</f>
        <v>0</v>
      </c>
      <c r="E35" s="8">
        <f>IFERROR(__xludf.DUMMYFUNCTION("""COMPUTED_VALUE"""),28.0)</f>
        <v>28</v>
      </c>
      <c r="F35" s="8">
        <f>IFERROR(__xludf.DUMMYFUNCTION("""COMPUTED_VALUE"""),3.0)</f>
        <v>3</v>
      </c>
      <c r="G35" s="8">
        <f>IFERROR(__xludf.DUMMYFUNCTION("""COMPUTED_VALUE"""),0.0)</f>
        <v>0</v>
      </c>
      <c r="AG35" s="19"/>
      <c r="AH35" s="19"/>
      <c r="AI35" s="19"/>
      <c r="AJ35" s="19"/>
      <c r="AK35" s="19"/>
      <c r="AL35" s="19"/>
      <c r="AM35" s="19"/>
      <c r="AN35" s="19"/>
      <c r="AO35" s="19"/>
      <c r="AP35" s="19"/>
      <c r="AQ35" s="19"/>
      <c r="AR35" s="19"/>
      <c r="AS35" s="19"/>
      <c r="AT35" s="19"/>
      <c r="AU35" s="19"/>
      <c r="AV35" s="19"/>
      <c r="AW35" s="19"/>
      <c r="AX35" s="19"/>
    </row>
    <row r="36">
      <c r="A36" s="50">
        <f t="shared" si="2"/>
        <v>26</v>
      </c>
      <c r="B36" s="50">
        <f t="shared" si="1"/>
        <v>26</v>
      </c>
      <c r="C36" s="14" t="str">
        <f>IFERROR(__xludf.DUMMYFUNCTION("""COMPUTED_VALUE"""),"Rafael Pooja")</f>
        <v>Rafael Pooja</v>
      </c>
      <c r="D36" s="8">
        <f>IFERROR(__xludf.DUMMYFUNCTION("""COMPUTED_VALUE"""),0.0)</f>
        <v>0</v>
      </c>
      <c r="E36" s="8">
        <f>IFERROR(__xludf.DUMMYFUNCTION("""COMPUTED_VALUE"""),27.0)</f>
        <v>27</v>
      </c>
      <c r="F36" s="8">
        <f>IFERROR(__xludf.DUMMYFUNCTION("""COMPUTED_VALUE"""),3.0)</f>
        <v>3</v>
      </c>
      <c r="G36" s="8">
        <f>IFERROR(__xludf.DUMMYFUNCTION("""COMPUTED_VALUE"""),0.0)</f>
        <v>0</v>
      </c>
      <c r="AG36" s="19"/>
      <c r="AH36" s="19"/>
      <c r="AI36" s="19"/>
      <c r="AJ36" s="19"/>
      <c r="AK36" s="19"/>
      <c r="AL36" s="19"/>
      <c r="AM36" s="19"/>
      <c r="AN36" s="19"/>
      <c r="AO36" s="19"/>
      <c r="AP36" s="19"/>
      <c r="AQ36" s="19"/>
      <c r="AR36" s="19"/>
      <c r="AS36" s="19"/>
      <c r="AT36" s="19"/>
      <c r="AU36" s="19"/>
      <c r="AV36" s="19"/>
      <c r="AW36" s="19"/>
      <c r="AX36" s="19"/>
    </row>
    <row r="37">
      <c r="A37" s="50">
        <f t="shared" si="2"/>
        <v>27</v>
      </c>
      <c r="B37" s="50">
        <f t="shared" si="1"/>
        <v>27</v>
      </c>
      <c r="C37" s="14" t="str">
        <f>IFERROR(__xludf.DUMMYFUNCTION("""COMPUTED_VALUE"""),"duckyluuk")</f>
        <v>duckyluuk</v>
      </c>
      <c r="D37" s="8">
        <f>IFERROR(__xludf.DUMMYFUNCTION("""COMPUTED_VALUE"""),0.0)</f>
        <v>0</v>
      </c>
      <c r="E37" s="8">
        <f>IFERROR(__xludf.DUMMYFUNCTION("""COMPUTED_VALUE"""),24.0)</f>
        <v>24</v>
      </c>
      <c r="F37" s="8">
        <f>IFERROR(__xludf.DUMMYFUNCTION("""COMPUTED_VALUE"""),5.0)</f>
        <v>5</v>
      </c>
      <c r="G37" s="8">
        <f>IFERROR(__xludf.DUMMYFUNCTION("""COMPUTED_VALUE"""),0.0)</f>
        <v>0</v>
      </c>
      <c r="AG37" s="19"/>
      <c r="AH37" s="19"/>
      <c r="AI37" s="19"/>
      <c r="AJ37" s="19"/>
      <c r="AK37" s="19"/>
      <c r="AL37" s="19"/>
      <c r="AM37" s="19"/>
      <c r="AN37" s="19"/>
      <c r="AO37" s="19"/>
      <c r="AP37" s="19"/>
      <c r="AQ37" s="19"/>
      <c r="AR37" s="19"/>
      <c r="AS37" s="19"/>
      <c r="AT37" s="19"/>
      <c r="AU37" s="19"/>
      <c r="AV37" s="19"/>
      <c r="AW37" s="19"/>
      <c r="AX37" s="19"/>
    </row>
    <row r="38">
      <c r="A38" s="50">
        <f t="shared" si="2"/>
        <v>28</v>
      </c>
      <c r="B38" s="50">
        <f t="shared" si="1"/>
        <v>28</v>
      </c>
      <c r="C38" s="14" t="str">
        <f>IFERROR(__xludf.DUMMYFUNCTION("""COMPUTED_VALUE"""),"kdmitrie")</f>
        <v>kdmitrie</v>
      </c>
      <c r="D38" s="8">
        <f>IFERROR(__xludf.DUMMYFUNCTION("""COMPUTED_VALUE"""),0.0)</f>
        <v>0</v>
      </c>
      <c r="E38" s="8">
        <f>IFERROR(__xludf.DUMMYFUNCTION("""COMPUTED_VALUE"""),19.0)</f>
        <v>19</v>
      </c>
      <c r="F38" s="8">
        <f>IFERROR(__xludf.DUMMYFUNCTION("""COMPUTED_VALUE"""),0.0)</f>
        <v>0</v>
      </c>
      <c r="G38" s="8">
        <f>IFERROR(__xludf.DUMMYFUNCTION("""COMPUTED_VALUE"""),0.0)</f>
        <v>0</v>
      </c>
      <c r="AG38" s="19"/>
      <c r="AH38" s="19"/>
      <c r="AI38" s="19"/>
      <c r="AJ38" s="19"/>
      <c r="AK38" s="19"/>
      <c r="AL38" s="19"/>
      <c r="AM38" s="19"/>
      <c r="AN38" s="19"/>
      <c r="AO38" s="19"/>
      <c r="AP38" s="19"/>
      <c r="AQ38" s="19"/>
      <c r="AR38" s="19"/>
      <c r="AS38" s="19"/>
      <c r="AT38" s="19"/>
      <c r="AU38" s="19"/>
      <c r="AV38" s="19"/>
      <c r="AW38" s="19"/>
      <c r="AX38" s="19"/>
    </row>
    <row r="39">
      <c r="A39" s="50">
        <f t="shared" si="2"/>
        <v>29</v>
      </c>
      <c r="B39" s="50">
        <f t="shared" si="1"/>
        <v>29</v>
      </c>
      <c r="C39" s="14" t="str">
        <f>IFERROR(__xludf.DUMMYFUNCTION("""COMPUTED_VALUE"""),"cg")</f>
        <v>cg</v>
      </c>
      <c r="D39" s="8">
        <f>IFERROR(__xludf.DUMMYFUNCTION("""COMPUTED_VALUE"""),0.0)</f>
        <v>0</v>
      </c>
      <c r="E39" s="8">
        <f>IFERROR(__xludf.DUMMYFUNCTION("""COMPUTED_VALUE"""),18.0)</f>
        <v>18</v>
      </c>
      <c r="F39" s="8">
        <f>IFERROR(__xludf.DUMMYFUNCTION("""COMPUTED_VALUE"""),2.0)</f>
        <v>2</v>
      </c>
      <c r="G39" s="8">
        <f>IFERROR(__xludf.DUMMYFUNCTION("""COMPUTED_VALUE"""),0.0)</f>
        <v>0</v>
      </c>
      <c r="AG39" s="19"/>
      <c r="AH39" s="19"/>
      <c r="AI39" s="19"/>
      <c r="AJ39" s="19"/>
      <c r="AK39" s="19"/>
      <c r="AL39" s="19"/>
      <c r="AM39" s="19"/>
      <c r="AN39" s="19"/>
      <c r="AO39" s="19"/>
      <c r="AP39" s="19"/>
      <c r="AQ39" s="19"/>
      <c r="AR39" s="19"/>
      <c r="AS39" s="19"/>
      <c r="AT39" s="19"/>
      <c r="AU39" s="19"/>
      <c r="AV39" s="19"/>
      <c r="AW39" s="19"/>
      <c r="AX39" s="19"/>
    </row>
    <row r="40">
      <c r="A40" s="50">
        <f t="shared" si="2"/>
        <v>30</v>
      </c>
      <c r="B40" s="50">
        <f t="shared" si="1"/>
        <v>30</v>
      </c>
      <c r="C40" s="14" t="str">
        <f>IFERROR(__xludf.DUMMYFUNCTION("""COMPUTED_VALUE"""),"dbdr")</f>
        <v>dbdr</v>
      </c>
      <c r="D40" s="8">
        <f>IFERROR(__xludf.DUMMYFUNCTION("""COMPUTED_VALUE"""),0.0)</f>
        <v>0</v>
      </c>
      <c r="E40" s="8">
        <f>IFERROR(__xludf.DUMMYFUNCTION("""COMPUTED_VALUE"""),18.0)</f>
        <v>18</v>
      </c>
      <c r="F40" s="8">
        <f>IFERROR(__xludf.DUMMYFUNCTION("""COMPUTED_VALUE"""),1.0)</f>
        <v>1</v>
      </c>
      <c r="G40" s="8">
        <f>IFERROR(__xludf.DUMMYFUNCTION("""COMPUTED_VALUE"""),0.0)</f>
        <v>0</v>
      </c>
      <c r="AG40" s="19"/>
      <c r="AH40" s="19"/>
      <c r="AI40" s="19"/>
      <c r="AJ40" s="19"/>
      <c r="AK40" s="19"/>
      <c r="AL40" s="19"/>
      <c r="AM40" s="19"/>
      <c r="AN40" s="19"/>
      <c r="AO40" s="19"/>
      <c r="AP40" s="19"/>
      <c r="AQ40" s="19"/>
      <c r="AR40" s="19"/>
      <c r="AS40" s="19"/>
      <c r="AT40" s="19"/>
      <c r="AU40" s="19"/>
      <c r="AV40" s="19"/>
      <c r="AW40" s="19"/>
      <c r="AX40" s="19"/>
    </row>
    <row r="41">
      <c r="A41" s="50">
        <f t="shared" si="2"/>
        <v>31</v>
      </c>
      <c r="B41" s="50">
        <f t="shared" si="1"/>
        <v>31</v>
      </c>
      <c r="C41" s="14" t="str">
        <f>IFERROR(__xludf.DUMMYFUNCTION("""COMPUTED_VALUE"""),"rucin93")</f>
        <v>rucin93</v>
      </c>
      <c r="D41" s="8">
        <f>IFERROR(__xludf.DUMMYFUNCTION("""COMPUTED_VALUE"""),0.0)</f>
        <v>0</v>
      </c>
      <c r="E41" s="8">
        <f>IFERROR(__xludf.DUMMYFUNCTION("""COMPUTED_VALUE"""),18.0)</f>
        <v>18</v>
      </c>
      <c r="F41" s="8">
        <f>IFERROR(__xludf.DUMMYFUNCTION("""COMPUTED_VALUE"""),0.0)</f>
        <v>0</v>
      </c>
      <c r="G41" s="8">
        <f>IFERROR(__xludf.DUMMYFUNCTION("""COMPUTED_VALUE"""),0.0)</f>
        <v>0</v>
      </c>
      <c r="AG41" s="19"/>
      <c r="AH41" s="19"/>
      <c r="AI41" s="19"/>
      <c r="AJ41" s="19"/>
      <c r="AK41" s="19"/>
      <c r="AL41" s="19"/>
      <c r="AM41" s="19"/>
      <c r="AN41" s="19"/>
      <c r="AO41" s="19"/>
      <c r="AP41" s="19"/>
      <c r="AQ41" s="19"/>
      <c r="AR41" s="19"/>
      <c r="AS41" s="19"/>
      <c r="AT41" s="19"/>
      <c r="AU41" s="19"/>
      <c r="AV41" s="19"/>
      <c r="AW41" s="19"/>
      <c r="AX41" s="19"/>
    </row>
    <row r="42">
      <c r="A42" s="50">
        <f t="shared" si="2"/>
        <v>32</v>
      </c>
      <c r="B42" s="50">
        <f t="shared" si="1"/>
        <v>31</v>
      </c>
      <c r="C42" s="14" t="str">
        <f>IFERROR(__xludf.DUMMYFUNCTION("""COMPUTED_VALUE"""),"open source")</f>
        <v>open source</v>
      </c>
      <c r="D42" s="8">
        <f>IFERROR(__xludf.DUMMYFUNCTION("""COMPUTED_VALUE"""),0.0)</f>
        <v>0</v>
      </c>
      <c r="E42" s="8">
        <f>IFERROR(__xludf.DUMMYFUNCTION("""COMPUTED_VALUE"""),18.0)</f>
        <v>18</v>
      </c>
      <c r="F42" s="8">
        <f>IFERROR(__xludf.DUMMYFUNCTION("""COMPUTED_VALUE"""),0.0)</f>
        <v>0</v>
      </c>
      <c r="G42" s="8">
        <f>IFERROR(__xludf.DUMMYFUNCTION("""COMPUTED_VALUE"""),0.0)</f>
        <v>0</v>
      </c>
      <c r="AG42" s="19"/>
      <c r="AH42" s="19"/>
      <c r="AI42" s="19"/>
      <c r="AJ42" s="19"/>
      <c r="AK42" s="19"/>
      <c r="AL42" s="19"/>
      <c r="AM42" s="19"/>
      <c r="AN42" s="19"/>
      <c r="AO42" s="19"/>
      <c r="AP42" s="19"/>
      <c r="AQ42" s="19"/>
      <c r="AR42" s="19"/>
      <c r="AS42" s="19"/>
      <c r="AT42" s="19"/>
      <c r="AU42" s="19"/>
      <c r="AV42" s="19"/>
      <c r="AW42" s="19"/>
      <c r="AX42" s="19"/>
    </row>
    <row r="43">
      <c r="A43" s="50">
        <f t="shared" si="2"/>
        <v>33</v>
      </c>
      <c r="B43" s="50">
        <f t="shared" si="1"/>
        <v>31</v>
      </c>
      <c r="C43" s="14" t="str">
        <f>IFERROR(__xludf.DUMMYFUNCTION("""COMPUTED_VALUE"""),"Ty Woods")</f>
        <v>Ty Woods</v>
      </c>
      <c r="D43" s="8">
        <f>IFERROR(__xludf.DUMMYFUNCTION("""COMPUTED_VALUE"""),0.0)</f>
        <v>0</v>
      </c>
      <c r="E43" s="8">
        <f>IFERROR(__xludf.DUMMYFUNCTION("""COMPUTED_VALUE"""),18.0)</f>
        <v>18</v>
      </c>
      <c r="F43" s="8">
        <f>IFERROR(__xludf.DUMMYFUNCTION("""COMPUTED_VALUE"""),0.0)</f>
        <v>0</v>
      </c>
      <c r="G43" s="8">
        <f>IFERROR(__xludf.DUMMYFUNCTION("""COMPUTED_VALUE"""),0.0)</f>
        <v>0</v>
      </c>
      <c r="AG43" s="19"/>
      <c r="AH43" s="19"/>
      <c r="AI43" s="19"/>
      <c r="AJ43" s="19"/>
      <c r="AK43" s="19"/>
      <c r="AL43" s="19"/>
      <c r="AM43" s="19"/>
      <c r="AN43" s="19"/>
      <c r="AO43" s="19"/>
      <c r="AP43" s="19"/>
      <c r="AQ43" s="19"/>
      <c r="AR43" s="19"/>
      <c r="AS43" s="19"/>
      <c r="AT43" s="19"/>
      <c r="AU43" s="19"/>
      <c r="AV43" s="19"/>
      <c r="AW43" s="19"/>
      <c r="AX43" s="19"/>
    </row>
    <row r="44">
      <c r="A44" s="50">
        <f t="shared" si="2"/>
        <v>34</v>
      </c>
      <c r="B44" s="50">
        <f t="shared" si="1"/>
        <v>31</v>
      </c>
      <c r="C44" s="14" t="str">
        <f>IFERROR(__xludf.DUMMYFUNCTION("""COMPUTED_VALUE"""),"today")</f>
        <v>today</v>
      </c>
      <c r="D44" s="8">
        <f>IFERROR(__xludf.DUMMYFUNCTION("""COMPUTED_VALUE"""),0.0)</f>
        <v>0</v>
      </c>
      <c r="E44" s="8">
        <f>IFERROR(__xludf.DUMMYFUNCTION("""COMPUTED_VALUE"""),18.0)</f>
        <v>18</v>
      </c>
      <c r="F44" s="8">
        <f>IFERROR(__xludf.DUMMYFUNCTION("""COMPUTED_VALUE"""),0.0)</f>
        <v>0</v>
      </c>
      <c r="G44" s="8">
        <f>IFERROR(__xludf.DUMMYFUNCTION("""COMPUTED_VALUE"""),0.0)</f>
        <v>0</v>
      </c>
      <c r="AG44" s="19"/>
      <c r="AH44" s="19"/>
      <c r="AI44" s="19"/>
      <c r="AJ44" s="19"/>
      <c r="AK44" s="19"/>
      <c r="AL44" s="19"/>
      <c r="AM44" s="19"/>
      <c r="AN44" s="19"/>
      <c r="AO44" s="19"/>
      <c r="AP44" s="19"/>
      <c r="AQ44" s="19"/>
      <c r="AR44" s="19"/>
      <c r="AS44" s="19"/>
      <c r="AT44" s="19"/>
      <c r="AU44" s="19"/>
      <c r="AV44" s="19"/>
      <c r="AW44" s="19"/>
      <c r="AX44" s="19"/>
    </row>
    <row r="45">
      <c r="A45" s="50">
        <f t="shared" si="2"/>
        <v>35</v>
      </c>
      <c r="B45" s="50">
        <f t="shared" si="1"/>
        <v>31</v>
      </c>
      <c r="C45" s="14" t="str">
        <f>IFERROR(__xludf.DUMMYFUNCTION("""COMPUTED_VALUE"""),"Krige")</f>
        <v>Krige</v>
      </c>
      <c r="D45" s="8">
        <f>IFERROR(__xludf.DUMMYFUNCTION("""COMPUTED_VALUE"""),0.0)</f>
        <v>0</v>
      </c>
      <c r="E45" s="8">
        <f>IFERROR(__xludf.DUMMYFUNCTION("""COMPUTED_VALUE"""),18.0)</f>
        <v>18</v>
      </c>
      <c r="F45" s="8">
        <f>IFERROR(__xludf.DUMMYFUNCTION("""COMPUTED_VALUE"""),0.0)</f>
        <v>0</v>
      </c>
      <c r="G45" s="8">
        <f>IFERROR(__xludf.DUMMYFUNCTION("""COMPUTED_VALUE"""),0.0)</f>
        <v>0</v>
      </c>
      <c r="AG45" s="19"/>
      <c r="AH45" s="19"/>
      <c r="AI45" s="19"/>
      <c r="AJ45" s="19"/>
      <c r="AK45" s="19"/>
      <c r="AL45" s="19"/>
      <c r="AM45" s="19"/>
      <c r="AN45" s="19"/>
      <c r="AO45" s="19"/>
      <c r="AP45" s="19"/>
      <c r="AQ45" s="19"/>
      <c r="AR45" s="19"/>
      <c r="AS45" s="19"/>
      <c r="AT45" s="19"/>
      <c r="AU45" s="19"/>
      <c r="AV45" s="19"/>
      <c r="AW45" s="19"/>
      <c r="AX45" s="19"/>
    </row>
    <row r="46">
      <c r="A46" s="50">
        <f t="shared" si="2"/>
        <v>36</v>
      </c>
      <c r="B46" s="50">
        <f t="shared" si="1"/>
        <v>36</v>
      </c>
      <c r="C46" s="14" t="str">
        <f>IFERROR(__xludf.DUMMYFUNCTION("""COMPUTED_VALUE"""),"Afordancja")</f>
        <v>Afordancja</v>
      </c>
      <c r="D46" s="8">
        <f>IFERROR(__xludf.DUMMYFUNCTION("""COMPUTED_VALUE"""),0.0)</f>
        <v>0</v>
      </c>
      <c r="E46" s="8">
        <f>IFERROR(__xludf.DUMMYFUNCTION("""COMPUTED_VALUE"""),17.0)</f>
        <v>17</v>
      </c>
      <c r="F46" s="8">
        <f>IFERROR(__xludf.DUMMYFUNCTION("""COMPUTED_VALUE"""),0.0)</f>
        <v>0</v>
      </c>
      <c r="G46" s="8">
        <f>IFERROR(__xludf.DUMMYFUNCTION("""COMPUTED_VALUE"""),0.0)</f>
        <v>0</v>
      </c>
      <c r="AG46" s="19"/>
      <c r="AH46" s="19"/>
      <c r="AI46" s="19"/>
      <c r="AJ46" s="19"/>
      <c r="AK46" s="19"/>
      <c r="AL46" s="19"/>
      <c r="AM46" s="19"/>
      <c r="AN46" s="19"/>
      <c r="AO46" s="19"/>
      <c r="AP46" s="19"/>
      <c r="AQ46" s="19"/>
      <c r="AR46" s="19"/>
      <c r="AS46" s="19"/>
      <c r="AT46" s="19"/>
      <c r="AU46" s="19"/>
      <c r="AV46" s="19"/>
      <c r="AW46" s="19"/>
      <c r="AX46" s="19"/>
    </row>
    <row r="47">
      <c r="A47" s="50">
        <f t="shared" si="2"/>
        <v>37</v>
      </c>
      <c r="B47" s="50">
        <f t="shared" si="1"/>
        <v>37</v>
      </c>
      <c r="C47" s="14" t="str">
        <f>IFERROR(__xludf.DUMMYFUNCTION("""COMPUTED_VALUE"""),"Ali")</f>
        <v>Ali</v>
      </c>
      <c r="D47" s="8">
        <f>IFERROR(__xludf.DUMMYFUNCTION("""COMPUTED_VALUE"""),0.0)</f>
        <v>0</v>
      </c>
      <c r="E47" s="8">
        <f>IFERROR(__xludf.DUMMYFUNCTION("""COMPUTED_VALUE"""),16.0)</f>
        <v>16</v>
      </c>
      <c r="F47" s="8">
        <f>IFERROR(__xludf.DUMMYFUNCTION("""COMPUTED_VALUE"""),0.0)</f>
        <v>0</v>
      </c>
      <c r="G47" s="8">
        <f>IFERROR(__xludf.DUMMYFUNCTION("""COMPUTED_VALUE"""),0.0)</f>
        <v>0</v>
      </c>
      <c r="AG47" s="19"/>
      <c r="AH47" s="19"/>
      <c r="AI47" s="19"/>
      <c r="AJ47" s="19"/>
      <c r="AK47" s="19"/>
      <c r="AL47" s="19"/>
      <c r="AM47" s="19"/>
      <c r="AN47" s="19"/>
      <c r="AO47" s="19"/>
      <c r="AP47" s="19"/>
      <c r="AQ47" s="19"/>
      <c r="AR47" s="19"/>
      <c r="AS47" s="19"/>
      <c r="AT47" s="19"/>
      <c r="AU47" s="19"/>
      <c r="AV47" s="19"/>
      <c r="AW47" s="19"/>
      <c r="AX47" s="19"/>
    </row>
    <row r="48">
      <c r="A48" s="50">
        <f t="shared" si="2"/>
        <v>38</v>
      </c>
      <c r="B48" s="50">
        <f t="shared" si="1"/>
        <v>37</v>
      </c>
      <c r="C48" s="14" t="str">
        <f>IFERROR(__xludf.DUMMYFUNCTION("""COMPUTED_VALUE"""),"sekken")</f>
        <v>sekken</v>
      </c>
      <c r="D48" s="8">
        <f>IFERROR(__xludf.DUMMYFUNCTION("""COMPUTED_VALUE"""),0.0)</f>
        <v>0</v>
      </c>
      <c r="E48" s="8">
        <f>IFERROR(__xludf.DUMMYFUNCTION("""COMPUTED_VALUE"""),16.0)</f>
        <v>16</v>
      </c>
      <c r="F48" s="8">
        <f>IFERROR(__xludf.DUMMYFUNCTION("""COMPUTED_VALUE"""),0.0)</f>
        <v>0</v>
      </c>
      <c r="G48" s="8">
        <f>IFERROR(__xludf.DUMMYFUNCTION("""COMPUTED_VALUE"""),0.0)</f>
        <v>0</v>
      </c>
      <c r="AG48" s="19"/>
      <c r="AH48" s="19"/>
      <c r="AI48" s="19"/>
      <c r="AJ48" s="19"/>
      <c r="AK48" s="19"/>
      <c r="AL48" s="19"/>
      <c r="AM48" s="19"/>
      <c r="AN48" s="19"/>
      <c r="AO48" s="19"/>
      <c r="AP48" s="19"/>
      <c r="AQ48" s="19"/>
      <c r="AR48" s="19"/>
      <c r="AS48" s="19"/>
      <c r="AT48" s="19"/>
      <c r="AU48" s="19"/>
      <c r="AV48" s="19"/>
      <c r="AW48" s="19"/>
      <c r="AX48" s="19"/>
    </row>
    <row r="49">
      <c r="A49" s="50">
        <f t="shared" si="2"/>
        <v>39</v>
      </c>
      <c r="B49" s="50">
        <f t="shared" si="1"/>
        <v>39</v>
      </c>
      <c r="C49" s="14" t="str">
        <f>IFERROR(__xludf.DUMMYFUNCTION("""COMPUTED_VALUE"""),"KN")</f>
        <v>KN</v>
      </c>
      <c r="D49" s="8">
        <f>IFERROR(__xludf.DUMMYFUNCTION("""COMPUTED_VALUE"""),0.0)</f>
        <v>0</v>
      </c>
      <c r="E49" s="8">
        <f>IFERROR(__xludf.DUMMYFUNCTION("""COMPUTED_VALUE"""),12.0)</f>
        <v>12</v>
      </c>
      <c r="F49" s="8">
        <f>IFERROR(__xludf.DUMMYFUNCTION("""COMPUTED_VALUE"""),0.0)</f>
        <v>0</v>
      </c>
      <c r="G49" s="8">
        <f>IFERROR(__xludf.DUMMYFUNCTION("""COMPUTED_VALUE"""),0.0)</f>
        <v>0</v>
      </c>
      <c r="AG49" s="19"/>
      <c r="AH49" s="19"/>
      <c r="AI49" s="19"/>
      <c r="AJ49" s="19"/>
      <c r="AK49" s="19"/>
      <c r="AL49" s="19"/>
      <c r="AM49" s="19"/>
      <c r="AN49" s="19"/>
      <c r="AO49" s="19"/>
      <c r="AP49" s="19"/>
      <c r="AQ49" s="19"/>
      <c r="AR49" s="19"/>
      <c r="AS49" s="19"/>
      <c r="AT49" s="19"/>
      <c r="AU49" s="19"/>
      <c r="AV49" s="19"/>
      <c r="AW49" s="19"/>
      <c r="AX49" s="19"/>
    </row>
    <row r="50">
      <c r="A50" s="50">
        <f t="shared" si="2"/>
        <v>40</v>
      </c>
      <c r="B50" s="50">
        <f t="shared" si="1"/>
        <v>40</v>
      </c>
      <c r="C50" s="14" t="str">
        <f>IFERROR(__xludf.DUMMYFUNCTION("""COMPUTED_VALUE"""),"el_presidente")</f>
        <v>el_presidente</v>
      </c>
      <c r="D50" s="8">
        <f>IFERROR(__xludf.DUMMYFUNCTION("""COMPUTED_VALUE"""),0.0)</f>
        <v>0</v>
      </c>
      <c r="E50" s="8">
        <f>IFERROR(__xludf.DUMMYFUNCTION("""COMPUTED_VALUE"""),11.0)</f>
        <v>11</v>
      </c>
      <c r="F50" s="8">
        <f>IFERROR(__xludf.DUMMYFUNCTION("""COMPUTED_VALUE"""),0.0)</f>
        <v>0</v>
      </c>
      <c r="G50" s="8">
        <f>IFERROR(__xludf.DUMMYFUNCTION("""COMPUTED_VALUE"""),0.0)</f>
        <v>0</v>
      </c>
      <c r="AG50" s="19"/>
      <c r="AH50" s="19"/>
      <c r="AI50" s="19"/>
      <c r="AJ50" s="19"/>
      <c r="AK50" s="19"/>
      <c r="AL50" s="19"/>
      <c r="AM50" s="19"/>
      <c r="AN50" s="19"/>
      <c r="AO50" s="19"/>
      <c r="AP50" s="19"/>
      <c r="AQ50" s="19"/>
      <c r="AR50" s="19"/>
      <c r="AS50" s="19"/>
      <c r="AT50" s="19"/>
      <c r="AU50" s="19"/>
      <c r="AV50" s="19"/>
      <c r="AW50" s="19"/>
      <c r="AX50" s="19"/>
    </row>
    <row r="51">
      <c r="A51" s="50">
        <f t="shared" si="2"/>
        <v>41</v>
      </c>
      <c r="B51" s="50">
        <f t="shared" si="1"/>
        <v>40</v>
      </c>
      <c r="C51" s="14" t="str">
        <f>IFERROR(__xludf.DUMMYFUNCTION("""COMPUTED_VALUE"""),"azakhtyamov")</f>
        <v>azakhtyamov</v>
      </c>
      <c r="D51" s="8">
        <f>IFERROR(__xludf.DUMMYFUNCTION("""COMPUTED_VALUE"""),0.0)</f>
        <v>0</v>
      </c>
      <c r="E51" s="8">
        <f>IFERROR(__xludf.DUMMYFUNCTION("""COMPUTED_VALUE"""),11.0)</f>
        <v>11</v>
      </c>
      <c r="F51" s="8">
        <f>IFERROR(__xludf.DUMMYFUNCTION("""COMPUTED_VALUE"""),0.0)</f>
        <v>0</v>
      </c>
      <c r="G51" s="8">
        <f>IFERROR(__xludf.DUMMYFUNCTION("""COMPUTED_VALUE"""),0.0)</f>
        <v>0</v>
      </c>
      <c r="AG51" s="19"/>
      <c r="AH51" s="19"/>
      <c r="AI51" s="19"/>
      <c r="AJ51" s="19"/>
      <c r="AK51" s="19"/>
      <c r="AL51" s="19"/>
      <c r="AM51" s="19"/>
      <c r="AN51" s="19"/>
      <c r="AO51" s="19"/>
      <c r="AP51" s="19"/>
      <c r="AQ51" s="19"/>
      <c r="AR51" s="19"/>
      <c r="AS51" s="19"/>
      <c r="AT51" s="19"/>
      <c r="AU51" s="19"/>
      <c r="AV51" s="19"/>
      <c r="AW51" s="19"/>
      <c r="AX51" s="19"/>
    </row>
    <row r="52">
      <c r="A52" s="50">
        <f t="shared" si="2"/>
        <v>42</v>
      </c>
      <c r="B52" s="50">
        <f t="shared" si="1"/>
        <v>40</v>
      </c>
      <c r="C52" s="14" t="str">
        <f>IFERROR(__xludf.DUMMYFUNCTION("""COMPUTED_VALUE"""),"MKRC")</f>
        <v>MKRC</v>
      </c>
      <c r="D52" s="8">
        <f>IFERROR(__xludf.DUMMYFUNCTION("""COMPUTED_VALUE"""),0.0)</f>
        <v>0</v>
      </c>
      <c r="E52" s="8">
        <f>IFERROR(__xludf.DUMMYFUNCTION("""COMPUTED_VALUE"""),11.0)</f>
        <v>11</v>
      </c>
      <c r="F52" s="8">
        <f>IFERROR(__xludf.DUMMYFUNCTION("""COMPUTED_VALUE"""),0.0)</f>
        <v>0</v>
      </c>
      <c r="G52" s="8">
        <f>IFERROR(__xludf.DUMMYFUNCTION("""COMPUTED_VALUE"""),0.0)</f>
        <v>0</v>
      </c>
      <c r="AG52" s="19"/>
      <c r="AH52" s="19"/>
      <c r="AI52" s="19"/>
      <c r="AJ52" s="19"/>
      <c r="AK52" s="19"/>
      <c r="AL52" s="19"/>
      <c r="AM52" s="19"/>
      <c r="AN52" s="19"/>
      <c r="AO52" s="19"/>
      <c r="AP52" s="19"/>
      <c r="AQ52" s="19"/>
      <c r="AR52" s="19"/>
      <c r="AS52" s="19"/>
      <c r="AT52" s="19"/>
      <c r="AU52" s="19"/>
      <c r="AV52" s="19"/>
      <c r="AW52" s="19"/>
      <c r="AX52" s="19"/>
    </row>
    <row r="53">
      <c r="A53" s="50">
        <f t="shared" si="2"/>
        <v>43</v>
      </c>
      <c r="B53" s="50">
        <f t="shared" si="1"/>
        <v>43</v>
      </c>
      <c r="C53" s="14" t="str">
        <f>IFERROR(__xludf.DUMMYFUNCTION("""COMPUTED_VALUE"""),"scpchicken")</f>
        <v>scpchicken</v>
      </c>
      <c r="D53" s="8">
        <f>IFERROR(__xludf.DUMMYFUNCTION("""COMPUTED_VALUE"""),0.0)</f>
        <v>0</v>
      </c>
      <c r="E53" s="8">
        <f>IFERROR(__xludf.DUMMYFUNCTION("""COMPUTED_VALUE"""),10.0)</f>
        <v>10</v>
      </c>
      <c r="F53" s="8">
        <f>IFERROR(__xludf.DUMMYFUNCTION("""COMPUTED_VALUE"""),0.0)</f>
        <v>0</v>
      </c>
      <c r="G53" s="8">
        <f>IFERROR(__xludf.DUMMYFUNCTION("""COMPUTED_VALUE"""),0.0)</f>
        <v>0</v>
      </c>
      <c r="AG53" s="19"/>
      <c r="AH53" s="19"/>
      <c r="AI53" s="19"/>
      <c r="AJ53" s="19"/>
      <c r="AK53" s="19"/>
      <c r="AL53" s="19"/>
      <c r="AM53" s="19"/>
      <c r="AN53" s="19"/>
      <c r="AO53" s="19"/>
      <c r="AP53" s="19"/>
      <c r="AQ53" s="19"/>
      <c r="AR53" s="19"/>
      <c r="AS53" s="19"/>
      <c r="AT53" s="19"/>
      <c r="AU53" s="19"/>
      <c r="AV53" s="19"/>
      <c r="AW53" s="19"/>
      <c r="AX53" s="19"/>
    </row>
    <row r="54">
      <c r="A54" s="50">
        <f t="shared" si="2"/>
        <v>44</v>
      </c>
      <c r="B54" s="50">
        <f t="shared" si="1"/>
        <v>44</v>
      </c>
      <c r="C54" s="14" t="str">
        <f>IFERROR(__xludf.DUMMYFUNCTION("""COMPUTED_VALUE"""),"Bulmenisaurus")</f>
        <v>Bulmenisaurus</v>
      </c>
      <c r="D54" s="8">
        <f>IFERROR(__xludf.DUMMYFUNCTION("""COMPUTED_VALUE"""),0.0)</f>
        <v>0</v>
      </c>
      <c r="E54" s="8">
        <f>IFERROR(__xludf.DUMMYFUNCTION("""COMPUTED_VALUE"""),9.0)</f>
        <v>9</v>
      </c>
      <c r="F54" s="8">
        <f>IFERROR(__xludf.DUMMYFUNCTION("""COMPUTED_VALUE"""),3.0)</f>
        <v>3</v>
      </c>
      <c r="G54" s="8">
        <f>IFERROR(__xludf.DUMMYFUNCTION("""COMPUTED_VALUE"""),0.0)</f>
        <v>0</v>
      </c>
      <c r="AG54" s="19"/>
      <c r="AH54" s="19"/>
      <c r="AI54" s="19"/>
      <c r="AJ54" s="19"/>
      <c r="AK54" s="19"/>
      <c r="AL54" s="19"/>
      <c r="AM54" s="19"/>
      <c r="AN54" s="19"/>
      <c r="AO54" s="19"/>
      <c r="AP54" s="19"/>
      <c r="AQ54" s="19"/>
      <c r="AR54" s="19"/>
      <c r="AS54" s="19"/>
      <c r="AT54" s="19"/>
      <c r="AU54" s="19"/>
      <c r="AV54" s="19"/>
      <c r="AW54" s="19"/>
      <c r="AX54" s="19"/>
    </row>
    <row r="55">
      <c r="A55" s="50">
        <f t="shared" si="2"/>
        <v>45</v>
      </c>
      <c r="B55" s="50">
        <f t="shared" si="1"/>
        <v>45</v>
      </c>
      <c r="C55" s="14" t="str">
        <f>IFERROR(__xludf.DUMMYFUNCTION("""COMPUTED_VALUE"""),"mji")</f>
        <v>mji</v>
      </c>
      <c r="D55" s="8">
        <f>IFERROR(__xludf.DUMMYFUNCTION("""COMPUTED_VALUE"""),0.0)</f>
        <v>0</v>
      </c>
      <c r="E55" s="8">
        <f>IFERROR(__xludf.DUMMYFUNCTION("""COMPUTED_VALUE"""),2.0)</f>
        <v>2</v>
      </c>
      <c r="F55" s="8">
        <f>IFERROR(__xludf.DUMMYFUNCTION("""COMPUTED_VALUE"""),0.0)</f>
        <v>0</v>
      </c>
      <c r="G55" s="8">
        <f>IFERROR(__xludf.DUMMYFUNCTION("""COMPUTED_VALUE"""),0.0)</f>
        <v>0</v>
      </c>
      <c r="AG55" s="19"/>
      <c r="AH55" s="19"/>
      <c r="AI55" s="19"/>
      <c r="AJ55" s="19"/>
      <c r="AK55" s="19"/>
      <c r="AL55" s="19"/>
      <c r="AM55" s="19"/>
      <c r="AN55" s="19"/>
      <c r="AO55" s="19"/>
      <c r="AP55" s="19"/>
      <c r="AQ55" s="19"/>
      <c r="AR55" s="19"/>
      <c r="AS55" s="19"/>
      <c r="AT55" s="19"/>
      <c r="AU55" s="19"/>
      <c r="AV55" s="19"/>
      <c r="AW55" s="19"/>
      <c r="AX55" s="19"/>
    </row>
    <row r="56">
      <c r="A56" s="50">
        <f t="shared" si="2"/>
        <v>46</v>
      </c>
      <c r="B56" s="50">
        <f t="shared" si="1"/>
        <v>46</v>
      </c>
      <c r="C56" s="14" t="str">
        <f>IFERROR(__xludf.DUMMYFUNCTION("""COMPUTED_VALUE"""),"garrymoss")</f>
        <v>garrymoss</v>
      </c>
      <c r="D56" s="8">
        <f>IFERROR(__xludf.DUMMYFUNCTION("""COMPUTED_VALUE"""),1.0)</f>
        <v>1</v>
      </c>
      <c r="E56" s="8">
        <f>IFERROR(__xludf.DUMMYFUNCTION("""COMPUTED_VALUE"""),1.0)</f>
        <v>1</v>
      </c>
      <c r="F56" s="8">
        <f>IFERROR(__xludf.DUMMYFUNCTION("""COMPUTED_VALUE"""),0.0)</f>
        <v>0</v>
      </c>
      <c r="G56" s="8">
        <f>IFERROR(__xludf.DUMMYFUNCTION("""COMPUTED_VALUE"""),0.0)</f>
        <v>0</v>
      </c>
      <c r="AG56" s="19"/>
      <c r="AH56" s="19"/>
      <c r="AI56" s="19"/>
      <c r="AJ56" s="19"/>
      <c r="AK56" s="19"/>
      <c r="AL56" s="19"/>
      <c r="AM56" s="19"/>
      <c r="AN56" s="19"/>
      <c r="AO56" s="19"/>
      <c r="AP56" s="19"/>
      <c r="AQ56" s="19"/>
      <c r="AR56" s="19"/>
      <c r="AS56" s="19"/>
      <c r="AT56" s="19"/>
      <c r="AU56" s="19"/>
      <c r="AV56" s="19"/>
      <c r="AW56" s="19"/>
      <c r="AX56" s="19"/>
    </row>
    <row r="57">
      <c r="A57" s="50">
        <f t="shared" si="2"/>
        <v>47</v>
      </c>
      <c r="B57" s="50">
        <f t="shared" si="1"/>
        <v>47</v>
      </c>
      <c r="C57" s="14" t="str">
        <f>IFERROR(__xludf.DUMMYFUNCTION("""COMPUTED_VALUE"""),"cefqrn")</f>
        <v>cefqrn</v>
      </c>
      <c r="D57" s="8">
        <f>IFERROR(__xludf.DUMMYFUNCTION("""COMPUTED_VALUE"""),0.0)</f>
        <v>0</v>
      </c>
      <c r="E57" s="8">
        <f>IFERROR(__xludf.DUMMYFUNCTION("""COMPUTED_VALUE"""),0.0)</f>
        <v>0</v>
      </c>
      <c r="F57" s="8">
        <f>IFERROR(__xludf.DUMMYFUNCTION("""COMPUTED_VALUE"""),0.0)</f>
        <v>0</v>
      </c>
      <c r="G57" s="8">
        <f>IFERROR(__xludf.DUMMYFUNCTION("""COMPUTED_VALUE"""),0.0)</f>
        <v>0</v>
      </c>
      <c r="AG57" s="19"/>
      <c r="AH57" s="19"/>
      <c r="AI57" s="19"/>
      <c r="AJ57" s="19"/>
      <c r="AK57" s="19"/>
      <c r="AL57" s="19"/>
      <c r="AM57" s="19"/>
      <c r="AN57" s="19"/>
      <c r="AO57" s="19"/>
      <c r="AP57" s="19"/>
      <c r="AQ57" s="19"/>
      <c r="AR57" s="19"/>
      <c r="AS57" s="19"/>
      <c r="AT57" s="19"/>
      <c r="AU57" s="19"/>
      <c r="AV57" s="19"/>
      <c r="AW57" s="19"/>
      <c r="AX57" s="19"/>
    </row>
    <row r="58">
      <c r="A58" s="50">
        <f t="shared" si="2"/>
        <v>48</v>
      </c>
      <c r="B58" s="50">
        <f t="shared" si="1"/>
        <v>47</v>
      </c>
      <c r="C58" s="14" t="str">
        <f>IFERROR(__xludf.DUMMYFUNCTION("""COMPUTED_VALUE"""),"hyacinth")</f>
        <v>hyacinth</v>
      </c>
      <c r="D58" s="8">
        <f>IFERROR(__xludf.DUMMYFUNCTION("""COMPUTED_VALUE"""),0.0)</f>
        <v>0</v>
      </c>
      <c r="E58" s="8">
        <f>IFERROR(__xludf.DUMMYFUNCTION("""COMPUTED_VALUE"""),0.0)</f>
        <v>0</v>
      </c>
      <c r="F58" s="8">
        <f>IFERROR(__xludf.DUMMYFUNCTION("""COMPUTED_VALUE"""),0.0)</f>
        <v>0</v>
      </c>
      <c r="G58" s="8">
        <f>IFERROR(__xludf.DUMMYFUNCTION("""COMPUTED_VALUE"""),0.0)</f>
        <v>0</v>
      </c>
      <c r="AG58" s="19"/>
      <c r="AH58" s="19"/>
      <c r="AI58" s="19"/>
      <c r="AJ58" s="19"/>
      <c r="AK58" s="19"/>
      <c r="AL58" s="19"/>
      <c r="AM58" s="19"/>
      <c r="AN58" s="19"/>
      <c r="AO58" s="19"/>
      <c r="AP58" s="19"/>
      <c r="AQ58" s="19"/>
      <c r="AR58" s="19"/>
      <c r="AS58" s="19"/>
      <c r="AT58" s="19"/>
      <c r="AU58" s="19"/>
      <c r="AV58" s="19"/>
      <c r="AW58" s="19"/>
      <c r="AX58" s="19"/>
    </row>
    <row r="59">
      <c r="A59" s="50">
        <f t="shared" si="2"/>
        <v>49</v>
      </c>
      <c r="B59" s="50" t="str">
        <f t="shared" si="1"/>
        <v/>
      </c>
      <c r="C59" s="14"/>
      <c r="D59" s="8"/>
      <c r="E59" s="8"/>
      <c r="F59" s="8"/>
      <c r="G59" s="8"/>
      <c r="AG59" s="19"/>
      <c r="AH59" s="19"/>
      <c r="AI59" s="19"/>
      <c r="AJ59" s="19"/>
      <c r="AK59" s="19"/>
      <c r="AL59" s="19"/>
      <c r="AM59" s="19"/>
      <c r="AN59" s="19"/>
      <c r="AO59" s="19"/>
      <c r="AP59" s="19"/>
      <c r="AQ59" s="19"/>
      <c r="AR59" s="19"/>
      <c r="AS59" s="19"/>
      <c r="AT59" s="19"/>
      <c r="AU59" s="19"/>
      <c r="AV59" s="19"/>
      <c r="AW59" s="19"/>
      <c r="AX59" s="19"/>
    </row>
    <row r="60">
      <c r="A60" s="50">
        <f t="shared" si="2"/>
        <v>50</v>
      </c>
      <c r="B60" s="50" t="str">
        <f t="shared" si="1"/>
        <v/>
      </c>
      <c r="C60" s="14"/>
      <c r="D60" s="8"/>
      <c r="E60" s="8"/>
      <c r="F60" s="8"/>
      <c r="G60" s="8"/>
      <c r="AG60" s="19"/>
      <c r="AH60" s="19"/>
      <c r="AI60" s="19"/>
      <c r="AJ60" s="19"/>
      <c r="AK60" s="19"/>
      <c r="AL60" s="19"/>
      <c r="AM60" s="19"/>
      <c r="AN60" s="19"/>
      <c r="AO60" s="19"/>
      <c r="AP60" s="19"/>
      <c r="AQ60" s="19"/>
      <c r="AR60" s="19"/>
      <c r="AS60" s="19"/>
      <c r="AT60" s="19"/>
      <c r="AU60" s="19"/>
      <c r="AV60" s="19"/>
      <c r="AW60" s="19"/>
      <c r="AX60" s="19"/>
    </row>
    <row r="61">
      <c r="A61" s="50">
        <f t="shared" si="2"/>
        <v>51</v>
      </c>
      <c r="B61" s="50" t="str">
        <f t="shared" si="1"/>
        <v/>
      </c>
      <c r="C61" s="14"/>
      <c r="D61" s="8"/>
      <c r="E61" s="8"/>
      <c r="F61" s="8"/>
      <c r="G61" s="8"/>
      <c r="AG61" s="19"/>
      <c r="AH61" s="19"/>
      <c r="AI61" s="19"/>
      <c r="AJ61" s="19"/>
      <c r="AK61" s="19"/>
      <c r="AL61" s="19"/>
      <c r="AM61" s="19"/>
      <c r="AN61" s="19"/>
      <c r="AO61" s="19"/>
      <c r="AP61" s="19"/>
      <c r="AQ61" s="19"/>
      <c r="AR61" s="19"/>
      <c r="AS61" s="19"/>
      <c r="AT61" s="19"/>
      <c r="AU61" s="19"/>
      <c r="AV61" s="19"/>
      <c r="AW61" s="19"/>
      <c r="AX61" s="19"/>
    </row>
    <row r="62">
      <c r="A62" s="50">
        <f t="shared" si="2"/>
        <v>52</v>
      </c>
      <c r="B62" s="50" t="str">
        <f t="shared" si="1"/>
        <v/>
      </c>
      <c r="C62" s="14"/>
      <c r="D62" s="8"/>
      <c r="E62" s="8"/>
      <c r="F62" s="8"/>
      <c r="G62" s="8"/>
      <c r="AG62" s="19"/>
      <c r="AH62" s="19"/>
      <c r="AI62" s="19"/>
      <c r="AJ62" s="19"/>
      <c r="AK62" s="19"/>
      <c r="AL62" s="19"/>
      <c r="AM62" s="19"/>
      <c r="AN62" s="19"/>
      <c r="AO62" s="19"/>
      <c r="AP62" s="19"/>
      <c r="AQ62" s="19"/>
      <c r="AR62" s="19"/>
      <c r="AS62" s="19"/>
      <c r="AT62" s="19"/>
      <c r="AU62" s="19"/>
      <c r="AV62" s="19"/>
      <c r="AW62" s="19"/>
      <c r="AX62" s="19"/>
    </row>
    <row r="63">
      <c r="A63" s="50">
        <f t="shared" si="2"/>
        <v>53</v>
      </c>
      <c r="B63" s="50" t="str">
        <f t="shared" si="1"/>
        <v/>
      </c>
      <c r="C63" s="14"/>
      <c r="D63" s="8"/>
      <c r="E63" s="8"/>
      <c r="F63" s="8"/>
      <c r="G63" s="8"/>
      <c r="AG63" s="19"/>
      <c r="AH63" s="19"/>
      <c r="AI63" s="19"/>
      <c r="AJ63" s="19"/>
      <c r="AK63" s="19"/>
      <c r="AL63" s="19"/>
      <c r="AM63" s="19"/>
      <c r="AN63" s="19"/>
      <c r="AO63" s="19"/>
      <c r="AP63" s="19"/>
      <c r="AQ63" s="19"/>
      <c r="AR63" s="19"/>
      <c r="AS63" s="19"/>
      <c r="AT63" s="19"/>
      <c r="AU63" s="19"/>
      <c r="AV63" s="19"/>
      <c r="AW63" s="19"/>
      <c r="AX63" s="19"/>
    </row>
    <row r="64">
      <c r="A64" s="50">
        <f t="shared" si="2"/>
        <v>54</v>
      </c>
      <c r="B64" s="50" t="str">
        <f t="shared" si="1"/>
        <v/>
      </c>
      <c r="C64" s="14"/>
      <c r="D64" s="8"/>
      <c r="E64" s="8"/>
      <c r="F64" s="8"/>
      <c r="G64" s="8"/>
      <c r="AG64" s="19"/>
      <c r="AH64" s="19"/>
      <c r="AI64" s="19"/>
      <c r="AJ64" s="19"/>
      <c r="AK64" s="19"/>
      <c r="AL64" s="19"/>
      <c r="AM64" s="19"/>
      <c r="AN64" s="19"/>
      <c r="AO64" s="19"/>
      <c r="AP64" s="19"/>
      <c r="AQ64" s="19"/>
      <c r="AR64" s="19"/>
      <c r="AS64" s="19"/>
      <c r="AT64" s="19"/>
      <c r="AU64" s="19"/>
      <c r="AV64" s="19"/>
      <c r="AW64" s="19"/>
      <c r="AX64" s="19"/>
    </row>
    <row r="65">
      <c r="A65" s="50">
        <f t="shared" si="2"/>
        <v>55</v>
      </c>
      <c r="B65" s="50" t="str">
        <f t="shared" si="1"/>
        <v/>
      </c>
      <c r="C65" s="14"/>
      <c r="D65" s="8"/>
      <c r="E65" s="8"/>
      <c r="F65" s="8"/>
      <c r="G65" s="8"/>
      <c r="AG65" s="19"/>
      <c r="AH65" s="19"/>
      <c r="AI65" s="19"/>
      <c r="AJ65" s="19"/>
      <c r="AK65" s="19"/>
      <c r="AL65" s="19"/>
      <c r="AM65" s="19"/>
      <c r="AN65" s="19"/>
      <c r="AO65" s="19"/>
      <c r="AP65" s="19"/>
      <c r="AQ65" s="19"/>
      <c r="AR65" s="19"/>
      <c r="AS65" s="19"/>
      <c r="AT65" s="19"/>
      <c r="AU65" s="19"/>
      <c r="AV65" s="19"/>
      <c r="AW65" s="19"/>
      <c r="AX65" s="19"/>
    </row>
    <row r="66">
      <c r="A66" s="50">
        <f t="shared" si="2"/>
        <v>56</v>
      </c>
      <c r="B66" s="50" t="str">
        <f t="shared" si="1"/>
        <v/>
      </c>
      <c r="C66" s="14"/>
      <c r="D66" s="8"/>
      <c r="E66" s="8"/>
      <c r="F66" s="8"/>
      <c r="G66" s="8"/>
      <c r="AG66" s="19"/>
      <c r="AH66" s="19"/>
      <c r="AI66" s="19"/>
      <c r="AJ66" s="19"/>
      <c r="AK66" s="19"/>
      <c r="AL66" s="19"/>
      <c r="AM66" s="19"/>
      <c r="AN66" s="19"/>
      <c r="AO66" s="19"/>
      <c r="AP66" s="19"/>
      <c r="AQ66" s="19"/>
      <c r="AR66" s="19"/>
      <c r="AS66" s="19"/>
      <c r="AT66" s="19"/>
      <c r="AU66" s="19"/>
      <c r="AV66" s="19"/>
      <c r="AW66" s="19"/>
      <c r="AX66" s="19"/>
    </row>
    <row r="67">
      <c r="A67" s="50">
        <f t="shared" si="2"/>
        <v>57</v>
      </c>
      <c r="B67" s="50" t="str">
        <f t="shared" si="1"/>
        <v/>
      </c>
      <c r="C67" s="14"/>
      <c r="D67" s="8"/>
      <c r="E67" s="8"/>
      <c r="F67" s="8"/>
      <c r="G67" s="8"/>
      <c r="AG67" s="19"/>
      <c r="AH67" s="19"/>
      <c r="AI67" s="19"/>
      <c r="AJ67" s="19"/>
      <c r="AK67" s="19"/>
      <c r="AL67" s="19"/>
      <c r="AM67" s="19"/>
      <c r="AN67" s="19"/>
      <c r="AO67" s="19"/>
      <c r="AP67" s="19"/>
      <c r="AQ67" s="19"/>
      <c r="AR67" s="19"/>
      <c r="AS67" s="19"/>
      <c r="AT67" s="19"/>
      <c r="AU67" s="19"/>
      <c r="AV67" s="19"/>
      <c r="AW67" s="19"/>
      <c r="AX67" s="19"/>
    </row>
    <row r="68">
      <c r="A68" s="50">
        <f t="shared" si="2"/>
        <v>58</v>
      </c>
      <c r="B68" s="50" t="str">
        <f t="shared" si="1"/>
        <v/>
      </c>
      <c r="C68" s="14"/>
      <c r="D68" s="8"/>
      <c r="E68" s="8"/>
      <c r="F68" s="8"/>
      <c r="G68" s="8"/>
      <c r="AG68" s="19"/>
      <c r="AH68" s="19"/>
      <c r="AI68" s="19"/>
      <c r="AJ68" s="19"/>
      <c r="AK68" s="19"/>
      <c r="AL68" s="19"/>
      <c r="AM68" s="19"/>
      <c r="AN68" s="19"/>
      <c r="AO68" s="19"/>
      <c r="AP68" s="19"/>
      <c r="AQ68" s="19"/>
      <c r="AR68" s="19"/>
      <c r="AS68" s="19"/>
      <c r="AT68" s="19"/>
      <c r="AU68" s="19"/>
      <c r="AV68" s="19"/>
      <c r="AW68" s="19"/>
      <c r="AX68" s="19"/>
    </row>
    <row r="69">
      <c r="A69" s="50">
        <f t="shared" si="2"/>
        <v>59</v>
      </c>
      <c r="B69" s="50" t="str">
        <f t="shared" si="1"/>
        <v/>
      </c>
      <c r="C69" s="14"/>
      <c r="D69" s="8"/>
      <c r="E69" s="8"/>
      <c r="F69" s="8"/>
      <c r="G69" s="8"/>
      <c r="AG69" s="19"/>
      <c r="AH69" s="19"/>
      <c r="AI69" s="19"/>
      <c r="AJ69" s="19"/>
      <c r="AK69" s="19"/>
      <c r="AL69" s="19"/>
      <c r="AM69" s="19"/>
      <c r="AN69" s="19"/>
      <c r="AO69" s="19"/>
      <c r="AP69" s="19"/>
      <c r="AQ69" s="19"/>
      <c r="AR69" s="19"/>
      <c r="AS69" s="19"/>
      <c r="AT69" s="19"/>
      <c r="AU69" s="19"/>
      <c r="AV69" s="19"/>
      <c r="AW69" s="19"/>
      <c r="AX69" s="19"/>
    </row>
    <row r="70">
      <c r="A70" s="50">
        <f t="shared" si="2"/>
        <v>60</v>
      </c>
      <c r="B70" s="50" t="str">
        <f t="shared" si="1"/>
        <v/>
      </c>
      <c r="C70" s="14"/>
      <c r="D70" s="8"/>
      <c r="E70" s="8"/>
      <c r="F70" s="8"/>
      <c r="G70" s="8"/>
      <c r="AG70" s="19"/>
      <c r="AH70" s="19"/>
      <c r="AI70" s="19"/>
      <c r="AJ70" s="19"/>
      <c r="AK70" s="19"/>
      <c r="AL70" s="19"/>
      <c r="AM70" s="19"/>
      <c r="AN70" s="19"/>
      <c r="AO70" s="19"/>
      <c r="AP70" s="19"/>
      <c r="AQ70" s="19"/>
      <c r="AR70" s="19"/>
      <c r="AS70" s="19"/>
      <c r="AT70" s="19"/>
      <c r="AU70" s="19"/>
      <c r="AV70" s="19"/>
      <c r="AW70" s="19"/>
      <c r="AX70" s="19"/>
    </row>
    <row r="71">
      <c r="A71" s="50">
        <f t="shared" si="2"/>
        <v>61</v>
      </c>
      <c r="B71" s="50" t="str">
        <f t="shared" si="1"/>
        <v/>
      </c>
      <c r="C71" s="14"/>
      <c r="D71" s="8"/>
      <c r="E71" s="8"/>
      <c r="F71" s="8"/>
      <c r="G71" s="8"/>
      <c r="AG71" s="19"/>
      <c r="AH71" s="19"/>
      <c r="AI71" s="19"/>
      <c r="AJ71" s="19"/>
      <c r="AK71" s="19"/>
      <c r="AL71" s="19"/>
      <c r="AM71" s="19"/>
      <c r="AN71" s="19"/>
      <c r="AO71" s="19"/>
      <c r="AP71" s="19"/>
      <c r="AQ71" s="19"/>
      <c r="AR71" s="19"/>
      <c r="AS71" s="19"/>
      <c r="AT71" s="19"/>
      <c r="AU71" s="19"/>
      <c r="AV71" s="19"/>
      <c r="AW71" s="19"/>
      <c r="AX71" s="19"/>
    </row>
    <row r="72">
      <c r="B72" s="50" t="str">
        <f t="shared" si="1"/>
        <v/>
      </c>
      <c r="AG72" s="19"/>
      <c r="AH72" s="19"/>
      <c r="AI72" s="19"/>
      <c r="AJ72" s="19"/>
      <c r="AK72" s="19"/>
      <c r="AL72" s="19"/>
      <c r="AM72" s="19"/>
      <c r="AN72" s="19"/>
      <c r="AO72" s="19"/>
      <c r="AP72" s="19"/>
      <c r="AQ72" s="19"/>
      <c r="AR72" s="19"/>
      <c r="AS72" s="19"/>
      <c r="AT72" s="19"/>
      <c r="AU72" s="19"/>
      <c r="AV72" s="19"/>
      <c r="AW72" s="19"/>
      <c r="AX72" s="19"/>
    </row>
    <row r="73">
      <c r="B73" s="50" t="str">
        <f t="shared" si="1"/>
        <v/>
      </c>
      <c r="AG73" s="19"/>
      <c r="AH73" s="19"/>
      <c r="AI73" s="19"/>
      <c r="AJ73" s="19"/>
      <c r="AK73" s="19"/>
      <c r="AL73" s="19"/>
      <c r="AM73" s="19"/>
      <c r="AN73" s="19"/>
      <c r="AO73" s="19"/>
      <c r="AP73" s="19"/>
      <c r="AQ73" s="19"/>
      <c r="AR73" s="19"/>
      <c r="AS73" s="19"/>
      <c r="AT73" s="19"/>
      <c r="AU73" s="19"/>
      <c r="AV73" s="19"/>
      <c r="AW73" s="19"/>
      <c r="AX73" s="19"/>
    </row>
    <row r="74">
      <c r="B74" s="50" t="str">
        <f t="shared" si="1"/>
        <v/>
      </c>
      <c r="AG74" s="19"/>
      <c r="AH74" s="19"/>
      <c r="AI74" s="19"/>
      <c r="AJ74" s="19"/>
      <c r="AK74" s="19"/>
      <c r="AL74" s="19"/>
      <c r="AM74" s="19"/>
      <c r="AN74" s="19"/>
      <c r="AO74" s="19"/>
      <c r="AP74" s="19"/>
      <c r="AQ74" s="19"/>
      <c r="AR74" s="19"/>
      <c r="AS74" s="19"/>
      <c r="AT74" s="19"/>
      <c r="AU74" s="19"/>
      <c r="AV74" s="19"/>
      <c r="AW74" s="19"/>
      <c r="AX74" s="19"/>
    </row>
    <row r="75">
      <c r="B75" s="50" t="str">
        <f t="shared" si="1"/>
        <v/>
      </c>
      <c r="AG75" s="19"/>
      <c r="AH75" s="19"/>
      <c r="AI75" s="19"/>
      <c r="AJ75" s="19"/>
      <c r="AK75" s="19"/>
      <c r="AL75" s="19"/>
      <c r="AM75" s="19"/>
      <c r="AN75" s="19"/>
      <c r="AO75" s="19"/>
      <c r="AP75" s="19"/>
      <c r="AQ75" s="19"/>
      <c r="AR75" s="19"/>
      <c r="AS75" s="19"/>
      <c r="AT75" s="19"/>
      <c r="AU75" s="19"/>
      <c r="AV75" s="19"/>
      <c r="AW75" s="19"/>
      <c r="AX75" s="19"/>
    </row>
    <row r="76">
      <c r="B76" s="50" t="str">
        <f t="shared" si="1"/>
        <v/>
      </c>
      <c r="AG76" s="19"/>
      <c r="AH76" s="19"/>
      <c r="AI76" s="19"/>
      <c r="AJ76" s="19"/>
      <c r="AK76" s="19"/>
      <c r="AL76" s="19"/>
      <c r="AM76" s="19"/>
      <c r="AN76" s="19"/>
      <c r="AO76" s="19"/>
      <c r="AP76" s="19"/>
      <c r="AQ76" s="19"/>
      <c r="AR76" s="19"/>
      <c r="AS76" s="19"/>
      <c r="AT76" s="19"/>
      <c r="AU76" s="19"/>
      <c r="AV76" s="19"/>
      <c r="AW76" s="19"/>
      <c r="AX76" s="19"/>
    </row>
    <row r="77">
      <c r="B77" s="50" t="str">
        <f t="shared" si="1"/>
        <v/>
      </c>
      <c r="AG77" s="19"/>
      <c r="AH77" s="19"/>
      <c r="AI77" s="19"/>
      <c r="AJ77" s="19"/>
      <c r="AK77" s="19"/>
      <c r="AL77" s="19"/>
      <c r="AM77" s="19"/>
      <c r="AN77" s="19"/>
      <c r="AO77" s="19"/>
      <c r="AP77" s="19"/>
      <c r="AQ77" s="19"/>
      <c r="AR77" s="19"/>
      <c r="AS77" s="19"/>
      <c r="AT77" s="19"/>
      <c r="AU77" s="19"/>
      <c r="AV77" s="19"/>
      <c r="AW77" s="19"/>
      <c r="AX77" s="19"/>
    </row>
    <row r="78">
      <c r="B78" s="50" t="str">
        <f t="shared" si="1"/>
        <v/>
      </c>
      <c r="AG78" s="19"/>
      <c r="AH78" s="19"/>
      <c r="AI78" s="19"/>
      <c r="AJ78" s="19"/>
      <c r="AK78" s="19"/>
      <c r="AL78" s="19"/>
      <c r="AM78" s="19"/>
      <c r="AN78" s="19"/>
      <c r="AO78" s="19"/>
      <c r="AP78" s="19"/>
      <c r="AQ78" s="19"/>
      <c r="AR78" s="19"/>
      <c r="AS78" s="19"/>
      <c r="AT78" s="19"/>
      <c r="AU78" s="19"/>
      <c r="AV78" s="19"/>
      <c r="AW78" s="19"/>
      <c r="AX78" s="19"/>
    </row>
    <row r="79">
      <c r="B79" s="50" t="str">
        <f t="shared" si="1"/>
        <v/>
      </c>
      <c r="AG79" s="19"/>
      <c r="AH79" s="19"/>
      <c r="AI79" s="19"/>
      <c r="AJ79" s="19"/>
      <c r="AK79" s="19"/>
      <c r="AL79" s="19"/>
      <c r="AM79" s="19"/>
      <c r="AN79" s="19"/>
      <c r="AO79" s="19"/>
      <c r="AP79" s="19"/>
      <c r="AQ79" s="19"/>
      <c r="AR79" s="19"/>
      <c r="AS79" s="19"/>
      <c r="AT79" s="19"/>
      <c r="AU79" s="19"/>
      <c r="AV79" s="19"/>
      <c r="AW79" s="19"/>
      <c r="AX79" s="19"/>
    </row>
    <row r="80">
      <c r="B80" s="50" t="str">
        <f t="shared" si="1"/>
        <v/>
      </c>
      <c r="AG80" s="19"/>
      <c r="AH80" s="19"/>
      <c r="AI80" s="19"/>
      <c r="AJ80" s="19"/>
      <c r="AK80" s="19"/>
      <c r="AL80" s="19"/>
      <c r="AM80" s="19"/>
      <c r="AN80" s="19"/>
      <c r="AO80" s="19"/>
      <c r="AP80" s="19"/>
      <c r="AQ80" s="19"/>
      <c r="AR80" s="19"/>
      <c r="AS80" s="19"/>
      <c r="AT80" s="19"/>
      <c r="AU80" s="19"/>
      <c r="AV80" s="19"/>
      <c r="AW80" s="19"/>
      <c r="AX80" s="19"/>
    </row>
    <row r="81">
      <c r="B81" s="50" t="str">
        <f t="shared" si="1"/>
        <v/>
      </c>
      <c r="AG81" s="19"/>
      <c r="AH81" s="19"/>
      <c r="AI81" s="19"/>
      <c r="AJ81" s="19"/>
      <c r="AK81" s="19"/>
      <c r="AL81" s="19"/>
      <c r="AM81" s="19"/>
      <c r="AN81" s="19"/>
      <c r="AO81" s="19"/>
      <c r="AP81" s="19"/>
      <c r="AQ81" s="19"/>
      <c r="AR81" s="19"/>
      <c r="AS81" s="19"/>
      <c r="AT81" s="19"/>
      <c r="AU81" s="19"/>
      <c r="AV81" s="19"/>
      <c r="AW81" s="19"/>
      <c r="AX81" s="19"/>
    </row>
    <row r="82">
      <c r="B82" s="50" t="str">
        <f t="shared" si="1"/>
        <v/>
      </c>
      <c r="AG82" s="19"/>
      <c r="AH82" s="19"/>
      <c r="AI82" s="19"/>
      <c r="AJ82" s="19"/>
      <c r="AK82" s="19"/>
      <c r="AL82" s="19"/>
      <c r="AM82" s="19"/>
      <c r="AN82" s="19"/>
      <c r="AO82" s="19"/>
      <c r="AP82" s="19"/>
      <c r="AQ82" s="19"/>
      <c r="AR82" s="19"/>
      <c r="AS82" s="19"/>
      <c r="AT82" s="19"/>
      <c r="AU82" s="19"/>
      <c r="AV82" s="19"/>
      <c r="AW82" s="19"/>
      <c r="AX82" s="19"/>
    </row>
    <row r="83">
      <c r="B83" s="50" t="str">
        <f t="shared" si="1"/>
        <v/>
      </c>
      <c r="AG83" s="19"/>
      <c r="AH83" s="19"/>
      <c r="AI83" s="19"/>
      <c r="AJ83" s="19"/>
      <c r="AK83" s="19"/>
      <c r="AL83" s="19"/>
      <c r="AM83" s="19"/>
      <c r="AN83" s="19"/>
      <c r="AO83" s="19"/>
      <c r="AP83" s="19"/>
      <c r="AQ83" s="19"/>
      <c r="AR83" s="19"/>
      <c r="AS83" s="19"/>
      <c r="AT83" s="19"/>
      <c r="AU83" s="19"/>
      <c r="AV83" s="19"/>
      <c r="AW83" s="19"/>
      <c r="AX83" s="19"/>
    </row>
    <row r="84">
      <c r="B84" s="50" t="str">
        <f t="shared" si="1"/>
        <v/>
      </c>
      <c r="AG84" s="19"/>
      <c r="AH84" s="19"/>
      <c r="AI84" s="19"/>
      <c r="AJ84" s="19"/>
      <c r="AK84" s="19"/>
      <c r="AL84" s="19"/>
      <c r="AM84" s="19"/>
      <c r="AN84" s="19"/>
      <c r="AO84" s="19"/>
      <c r="AP84" s="19"/>
      <c r="AQ84" s="19"/>
      <c r="AR84" s="19"/>
      <c r="AS84" s="19"/>
      <c r="AT84" s="19"/>
      <c r="AU84" s="19"/>
      <c r="AV84" s="19"/>
      <c r="AW84" s="19"/>
      <c r="AX84" s="19"/>
    </row>
    <row r="85">
      <c r="B85" s="50" t="str">
        <f t="shared" si="1"/>
        <v/>
      </c>
      <c r="AG85" s="19"/>
      <c r="AH85" s="19"/>
      <c r="AI85" s="19"/>
      <c r="AJ85" s="19"/>
      <c r="AK85" s="19"/>
      <c r="AL85" s="19"/>
      <c r="AM85" s="19"/>
      <c r="AN85" s="19"/>
      <c r="AO85" s="19"/>
      <c r="AP85" s="19"/>
      <c r="AQ85" s="19"/>
      <c r="AR85" s="19"/>
      <c r="AS85" s="19"/>
      <c r="AT85" s="19"/>
      <c r="AU85" s="19"/>
      <c r="AV85" s="19"/>
      <c r="AW85" s="19"/>
      <c r="AX85" s="19"/>
    </row>
    <row r="86">
      <c r="B86" s="50" t="str">
        <f t="shared" si="1"/>
        <v/>
      </c>
      <c r="AG86" s="19"/>
      <c r="AH86" s="19"/>
      <c r="AI86" s="19"/>
      <c r="AJ86" s="19"/>
      <c r="AK86" s="19"/>
      <c r="AL86" s="19"/>
      <c r="AM86" s="19"/>
      <c r="AN86" s="19"/>
      <c r="AO86" s="19"/>
      <c r="AP86" s="19"/>
      <c r="AQ86" s="19"/>
      <c r="AR86" s="19"/>
      <c r="AS86" s="19"/>
      <c r="AT86" s="19"/>
      <c r="AU86" s="19"/>
      <c r="AV86" s="19"/>
      <c r="AW86" s="19"/>
      <c r="AX86" s="19"/>
    </row>
    <row r="87">
      <c r="B87" s="50" t="str">
        <f t="shared" si="1"/>
        <v/>
      </c>
      <c r="AG87" s="19"/>
      <c r="AH87" s="19"/>
      <c r="AI87" s="19"/>
      <c r="AJ87" s="19"/>
      <c r="AK87" s="19"/>
      <c r="AL87" s="19"/>
      <c r="AM87" s="19"/>
      <c r="AN87" s="19"/>
      <c r="AO87" s="19"/>
      <c r="AP87" s="19"/>
      <c r="AQ87" s="19"/>
      <c r="AR87" s="19"/>
      <c r="AS87" s="19"/>
      <c r="AT87" s="19"/>
      <c r="AU87" s="19"/>
      <c r="AV87" s="19"/>
      <c r="AW87" s="19"/>
      <c r="AX87" s="19"/>
    </row>
    <row r="88">
      <c r="B88" s="50" t="str">
        <f t="shared" si="1"/>
        <v/>
      </c>
      <c r="AG88" s="19"/>
      <c r="AH88" s="19"/>
      <c r="AI88" s="19"/>
      <c r="AJ88" s="19"/>
      <c r="AK88" s="19"/>
      <c r="AL88" s="19"/>
      <c r="AM88" s="19"/>
      <c r="AN88" s="19"/>
      <c r="AO88" s="19"/>
      <c r="AP88" s="19"/>
      <c r="AQ88" s="19"/>
      <c r="AR88" s="19"/>
      <c r="AS88" s="19"/>
      <c r="AT88" s="19"/>
      <c r="AU88" s="19"/>
      <c r="AV88" s="19"/>
      <c r="AW88" s="19"/>
      <c r="AX88" s="19"/>
    </row>
    <row r="89">
      <c r="B89" s="50" t="str">
        <f t="shared" si="1"/>
        <v/>
      </c>
      <c r="AG89" s="19"/>
      <c r="AH89" s="19"/>
      <c r="AI89" s="19"/>
      <c r="AJ89" s="19"/>
      <c r="AK89" s="19"/>
      <c r="AL89" s="19"/>
      <c r="AM89" s="19"/>
      <c r="AN89" s="19"/>
      <c r="AO89" s="19"/>
      <c r="AP89" s="19"/>
      <c r="AQ89" s="19"/>
      <c r="AR89" s="19"/>
      <c r="AS89" s="19"/>
      <c r="AT89" s="19"/>
      <c r="AU89" s="19"/>
      <c r="AV89" s="19"/>
      <c r="AW89" s="19"/>
      <c r="AX89" s="19"/>
    </row>
    <row r="90">
      <c r="B90" s="50" t="str">
        <f t="shared" si="1"/>
        <v/>
      </c>
      <c r="AG90" s="19"/>
      <c r="AH90" s="19"/>
      <c r="AI90" s="19"/>
      <c r="AJ90" s="19"/>
      <c r="AK90" s="19"/>
      <c r="AL90" s="19"/>
      <c r="AM90" s="19"/>
      <c r="AN90" s="19"/>
      <c r="AO90" s="19"/>
      <c r="AP90" s="19"/>
      <c r="AQ90" s="19"/>
      <c r="AR90" s="19"/>
      <c r="AS90" s="19"/>
      <c r="AT90" s="19"/>
      <c r="AU90" s="19"/>
      <c r="AV90" s="19"/>
      <c r="AW90" s="19"/>
      <c r="AX90" s="19"/>
    </row>
    <row r="91">
      <c r="B91" s="50" t="str">
        <f t="shared" si="1"/>
        <v/>
      </c>
      <c r="AG91" s="19"/>
      <c r="AH91" s="19"/>
      <c r="AI91" s="19"/>
      <c r="AJ91" s="19"/>
      <c r="AK91" s="19"/>
      <c r="AL91" s="19"/>
      <c r="AM91" s="19"/>
      <c r="AN91" s="19"/>
      <c r="AO91" s="19"/>
      <c r="AP91" s="19"/>
      <c r="AQ91" s="19"/>
      <c r="AR91" s="19"/>
      <c r="AS91" s="19"/>
      <c r="AT91" s="19"/>
      <c r="AU91" s="19"/>
      <c r="AV91" s="19"/>
      <c r="AW91" s="19"/>
      <c r="AX91" s="19"/>
    </row>
    <row r="92">
      <c r="B92" s="50" t="str">
        <f t="shared" si="1"/>
        <v/>
      </c>
      <c r="AG92" s="19"/>
      <c r="AH92" s="19"/>
      <c r="AI92" s="19"/>
      <c r="AJ92" s="19"/>
      <c r="AK92" s="19"/>
      <c r="AL92" s="19"/>
      <c r="AM92" s="19"/>
      <c r="AN92" s="19"/>
      <c r="AO92" s="19"/>
      <c r="AP92" s="19"/>
      <c r="AQ92" s="19"/>
      <c r="AR92" s="19"/>
      <c r="AS92" s="19"/>
      <c r="AT92" s="19"/>
      <c r="AU92" s="19"/>
      <c r="AV92" s="19"/>
      <c r="AW92" s="19"/>
      <c r="AX92" s="19"/>
    </row>
    <row r="93">
      <c r="B93" s="50" t="str">
        <f t="shared" si="1"/>
        <v/>
      </c>
      <c r="AG93" s="19"/>
      <c r="AH93" s="19"/>
      <c r="AI93" s="19"/>
      <c r="AJ93" s="19"/>
      <c r="AK93" s="19"/>
      <c r="AL93" s="19"/>
      <c r="AM93" s="19"/>
      <c r="AN93" s="19"/>
      <c r="AO93" s="19"/>
      <c r="AP93" s="19"/>
      <c r="AQ93" s="19"/>
      <c r="AR93" s="19"/>
      <c r="AS93" s="19"/>
      <c r="AT93" s="19"/>
      <c r="AU93" s="19"/>
      <c r="AV93" s="19"/>
      <c r="AW93" s="19"/>
      <c r="AX93" s="19"/>
    </row>
    <row r="94">
      <c r="B94" s="50" t="str">
        <f t="shared" si="1"/>
        <v/>
      </c>
      <c r="AG94" s="19"/>
      <c r="AH94" s="19"/>
      <c r="AI94" s="19"/>
      <c r="AJ94" s="19"/>
      <c r="AK94" s="19"/>
      <c r="AL94" s="19"/>
      <c r="AM94" s="19"/>
      <c r="AN94" s="19"/>
      <c r="AO94" s="19"/>
      <c r="AP94" s="19"/>
      <c r="AQ94" s="19"/>
      <c r="AR94" s="19"/>
      <c r="AS94" s="19"/>
      <c r="AT94" s="19"/>
      <c r="AU94" s="19"/>
      <c r="AV94" s="19"/>
      <c r="AW94" s="19"/>
      <c r="AX94" s="19"/>
    </row>
    <row r="95">
      <c r="B95" s="50" t="str">
        <f t="shared" si="1"/>
        <v/>
      </c>
      <c r="AG95" s="19"/>
      <c r="AH95" s="19"/>
      <c r="AI95" s="19"/>
      <c r="AJ95" s="19"/>
      <c r="AK95" s="19"/>
      <c r="AL95" s="19"/>
      <c r="AM95" s="19"/>
      <c r="AN95" s="19"/>
      <c r="AO95" s="19"/>
      <c r="AP95" s="19"/>
      <c r="AQ95" s="19"/>
      <c r="AR95" s="19"/>
      <c r="AS95" s="19"/>
      <c r="AT95" s="19"/>
      <c r="AU95" s="19"/>
      <c r="AV95" s="19"/>
      <c r="AW95" s="19"/>
      <c r="AX95" s="19"/>
    </row>
    <row r="96">
      <c r="B96" s="50" t="str">
        <f t="shared" si="1"/>
        <v/>
      </c>
      <c r="AG96" s="19"/>
      <c r="AH96" s="19"/>
      <c r="AI96" s="19"/>
      <c r="AJ96" s="19"/>
      <c r="AK96" s="19"/>
      <c r="AL96" s="19"/>
      <c r="AM96" s="19"/>
      <c r="AN96" s="19"/>
      <c r="AO96" s="19"/>
      <c r="AP96" s="19"/>
      <c r="AQ96" s="19"/>
      <c r="AR96" s="19"/>
      <c r="AS96" s="19"/>
      <c r="AT96" s="19"/>
      <c r="AU96" s="19"/>
      <c r="AV96" s="19"/>
      <c r="AW96" s="19"/>
      <c r="AX96" s="19"/>
    </row>
    <row r="97">
      <c r="B97" s="50" t="str">
        <f t="shared" si="1"/>
        <v/>
      </c>
      <c r="AG97" s="19"/>
      <c r="AH97" s="19"/>
      <c r="AI97" s="19"/>
      <c r="AJ97" s="19"/>
      <c r="AK97" s="19"/>
      <c r="AL97" s="19"/>
      <c r="AM97" s="19"/>
      <c r="AN97" s="19"/>
      <c r="AO97" s="19"/>
      <c r="AP97" s="19"/>
      <c r="AQ97" s="19"/>
      <c r="AR97" s="19"/>
      <c r="AS97" s="19"/>
      <c r="AT97" s="19"/>
      <c r="AU97" s="19"/>
      <c r="AV97" s="19"/>
      <c r="AW97" s="19"/>
      <c r="AX97" s="19"/>
    </row>
    <row r="98">
      <c r="B98" s="50" t="str">
        <f t="shared" si="1"/>
        <v/>
      </c>
      <c r="AG98" s="19"/>
      <c r="AH98" s="19"/>
      <c r="AI98" s="19"/>
      <c r="AJ98" s="19"/>
      <c r="AK98" s="19"/>
      <c r="AL98" s="19"/>
      <c r="AM98" s="19"/>
      <c r="AN98" s="19"/>
      <c r="AO98" s="19"/>
      <c r="AP98" s="19"/>
      <c r="AQ98" s="19"/>
      <c r="AR98" s="19"/>
      <c r="AS98" s="19"/>
      <c r="AT98" s="19"/>
      <c r="AU98" s="19"/>
      <c r="AV98" s="19"/>
      <c r="AW98" s="19"/>
      <c r="AX98" s="19"/>
    </row>
    <row r="99">
      <c r="B99" s="50" t="str">
        <f t="shared" si="1"/>
        <v/>
      </c>
      <c r="AG99" s="19"/>
      <c r="AH99" s="19"/>
      <c r="AI99" s="19"/>
      <c r="AJ99" s="19"/>
      <c r="AK99" s="19"/>
      <c r="AL99" s="19"/>
      <c r="AM99" s="19"/>
      <c r="AN99" s="19"/>
      <c r="AO99" s="19"/>
      <c r="AP99" s="19"/>
      <c r="AQ99" s="19"/>
      <c r="AR99" s="19"/>
      <c r="AS99" s="19"/>
      <c r="AT99" s="19"/>
      <c r="AU99" s="19"/>
      <c r="AV99" s="19"/>
      <c r="AW99" s="19"/>
      <c r="AX99" s="19"/>
    </row>
    <row r="100">
      <c r="B100" s="50" t="str">
        <f t="shared" si="1"/>
        <v/>
      </c>
      <c r="AG100" s="19"/>
      <c r="AH100" s="19"/>
      <c r="AI100" s="19"/>
      <c r="AJ100" s="19"/>
      <c r="AK100" s="19"/>
      <c r="AL100" s="19"/>
      <c r="AM100" s="19"/>
      <c r="AN100" s="19"/>
      <c r="AO100" s="19"/>
      <c r="AP100" s="19"/>
      <c r="AQ100" s="19"/>
      <c r="AR100" s="19"/>
      <c r="AS100" s="19"/>
      <c r="AT100" s="19"/>
      <c r="AU100" s="19"/>
      <c r="AV100" s="19"/>
      <c r="AW100" s="19"/>
      <c r="AX100" s="19"/>
    </row>
    <row r="101">
      <c r="B101" s="50" t="str">
        <f t="shared" si="1"/>
        <v/>
      </c>
      <c r="AG101" s="19"/>
      <c r="AH101" s="19"/>
      <c r="AI101" s="19"/>
      <c r="AJ101" s="19"/>
      <c r="AK101" s="19"/>
      <c r="AL101" s="19"/>
      <c r="AM101" s="19"/>
      <c r="AN101" s="19"/>
      <c r="AO101" s="19"/>
      <c r="AP101" s="19"/>
      <c r="AQ101" s="19"/>
      <c r="AR101" s="19"/>
      <c r="AS101" s="19"/>
      <c r="AT101" s="19"/>
      <c r="AU101" s="19"/>
      <c r="AV101" s="19"/>
      <c r="AW101" s="19"/>
      <c r="AX101" s="19"/>
    </row>
    <row r="102">
      <c r="B102" s="50" t="str">
        <f t="shared" si="1"/>
        <v/>
      </c>
      <c r="AG102" s="19"/>
      <c r="AH102" s="19"/>
      <c r="AI102" s="19"/>
      <c r="AJ102" s="19"/>
      <c r="AK102" s="19"/>
      <c r="AL102" s="19"/>
      <c r="AM102" s="19"/>
      <c r="AN102" s="19"/>
      <c r="AO102" s="19"/>
      <c r="AP102" s="19"/>
      <c r="AQ102" s="19"/>
      <c r="AR102" s="19"/>
      <c r="AS102" s="19"/>
      <c r="AT102" s="19"/>
      <c r="AU102" s="19"/>
      <c r="AV102" s="19"/>
      <c r="AW102" s="19"/>
      <c r="AX102" s="19"/>
    </row>
    <row r="103">
      <c r="B103" s="50" t="str">
        <f t="shared" si="1"/>
        <v/>
      </c>
      <c r="AG103" s="19"/>
      <c r="AH103" s="19"/>
      <c r="AI103" s="19"/>
      <c r="AJ103" s="19"/>
      <c r="AK103" s="19"/>
      <c r="AL103" s="19"/>
      <c r="AM103" s="19"/>
      <c r="AN103" s="19"/>
      <c r="AO103" s="19"/>
      <c r="AP103" s="19"/>
      <c r="AQ103" s="19"/>
      <c r="AR103" s="19"/>
      <c r="AS103" s="19"/>
      <c r="AT103" s="19"/>
      <c r="AU103" s="19"/>
      <c r="AV103" s="19"/>
      <c r="AW103" s="19"/>
      <c r="AX103" s="19"/>
    </row>
    <row r="104">
      <c r="B104" s="50" t="str">
        <f t="shared" si="1"/>
        <v/>
      </c>
      <c r="AG104" s="19"/>
      <c r="AH104" s="19"/>
      <c r="AI104" s="19"/>
      <c r="AJ104" s="19"/>
      <c r="AK104" s="19"/>
      <c r="AL104" s="19"/>
      <c r="AM104" s="19"/>
      <c r="AN104" s="19"/>
      <c r="AO104" s="19"/>
      <c r="AP104" s="19"/>
      <c r="AQ104" s="19"/>
      <c r="AR104" s="19"/>
      <c r="AS104" s="19"/>
      <c r="AT104" s="19"/>
      <c r="AU104" s="19"/>
      <c r="AV104" s="19"/>
      <c r="AW104" s="19"/>
      <c r="AX104" s="19"/>
    </row>
    <row r="105">
      <c r="B105" s="50" t="str">
        <f t="shared" si="1"/>
        <v/>
      </c>
      <c r="AG105" s="19"/>
      <c r="AH105" s="19"/>
      <c r="AI105" s="19"/>
      <c r="AJ105" s="19"/>
      <c r="AK105" s="19"/>
      <c r="AL105" s="19"/>
      <c r="AM105" s="19"/>
      <c r="AN105" s="19"/>
      <c r="AO105" s="19"/>
      <c r="AP105" s="19"/>
      <c r="AQ105" s="19"/>
      <c r="AR105" s="19"/>
      <c r="AS105" s="19"/>
      <c r="AT105" s="19"/>
      <c r="AU105" s="19"/>
      <c r="AV105" s="19"/>
      <c r="AW105" s="19"/>
      <c r="AX105" s="19"/>
    </row>
    <row r="106">
      <c r="B106" s="50" t="str">
        <f t="shared" si="1"/>
        <v/>
      </c>
      <c r="AG106" s="19"/>
      <c r="AH106" s="19"/>
      <c r="AI106" s="19"/>
      <c r="AJ106" s="19"/>
      <c r="AK106" s="19"/>
      <c r="AL106" s="19"/>
      <c r="AM106" s="19"/>
      <c r="AN106" s="19"/>
      <c r="AO106" s="19"/>
      <c r="AP106" s="19"/>
      <c r="AQ106" s="19"/>
      <c r="AR106" s="19"/>
      <c r="AS106" s="19"/>
      <c r="AT106" s="19"/>
      <c r="AU106" s="19"/>
      <c r="AV106" s="19"/>
      <c r="AW106" s="19"/>
      <c r="AX106" s="19"/>
    </row>
    <row r="107">
      <c r="B107" s="50" t="str">
        <f t="shared" si="1"/>
        <v/>
      </c>
      <c r="AG107" s="19"/>
      <c r="AH107" s="19"/>
      <c r="AI107" s="19"/>
      <c r="AJ107" s="19"/>
      <c r="AK107" s="19"/>
      <c r="AL107" s="19"/>
      <c r="AM107" s="19"/>
      <c r="AN107" s="19"/>
      <c r="AO107" s="19"/>
      <c r="AP107" s="19"/>
      <c r="AQ107" s="19"/>
      <c r="AR107" s="19"/>
      <c r="AS107" s="19"/>
      <c r="AT107" s="19"/>
      <c r="AU107" s="19"/>
      <c r="AV107" s="19"/>
      <c r="AW107" s="19"/>
      <c r="AX107" s="19"/>
    </row>
    <row r="108">
      <c r="B108" s="50" t="str">
        <f t="shared" si="1"/>
        <v/>
      </c>
      <c r="AG108" s="19"/>
      <c r="AH108" s="19"/>
      <c r="AI108" s="19"/>
      <c r="AJ108" s="19"/>
      <c r="AK108" s="19"/>
      <c r="AL108" s="19"/>
      <c r="AM108" s="19"/>
      <c r="AN108" s="19"/>
      <c r="AO108" s="19"/>
      <c r="AP108" s="19"/>
      <c r="AQ108" s="19"/>
      <c r="AR108" s="19"/>
      <c r="AS108" s="19"/>
      <c r="AT108" s="19"/>
      <c r="AU108" s="19"/>
      <c r="AV108" s="19"/>
      <c r="AW108" s="19"/>
      <c r="AX108" s="19"/>
    </row>
    <row r="109">
      <c r="B109" s="50" t="str">
        <f t="shared" si="1"/>
        <v/>
      </c>
      <c r="AG109" s="19"/>
      <c r="AH109" s="19"/>
      <c r="AI109" s="19"/>
      <c r="AJ109" s="19"/>
      <c r="AK109" s="19"/>
      <c r="AL109" s="19"/>
      <c r="AM109" s="19"/>
      <c r="AN109" s="19"/>
      <c r="AO109" s="19"/>
      <c r="AP109" s="19"/>
      <c r="AQ109" s="19"/>
      <c r="AR109" s="19"/>
      <c r="AS109" s="19"/>
      <c r="AT109" s="19"/>
      <c r="AU109" s="19"/>
      <c r="AV109" s="19"/>
      <c r="AW109" s="19"/>
      <c r="AX109" s="19"/>
    </row>
    <row r="110">
      <c r="B110" s="50" t="str">
        <f t="shared" si="1"/>
        <v/>
      </c>
      <c r="AG110" s="19"/>
      <c r="AH110" s="19"/>
      <c r="AI110" s="19"/>
      <c r="AJ110" s="19"/>
      <c r="AK110" s="19"/>
      <c r="AL110" s="19"/>
      <c r="AM110" s="19"/>
      <c r="AN110" s="19"/>
      <c r="AO110" s="19"/>
      <c r="AP110" s="19"/>
      <c r="AQ110" s="19"/>
      <c r="AR110" s="19"/>
      <c r="AS110" s="19"/>
      <c r="AT110" s="19"/>
      <c r="AU110" s="19"/>
      <c r="AV110" s="19"/>
      <c r="AW110" s="19"/>
      <c r="AX110" s="19"/>
    </row>
    <row r="111">
      <c r="B111" s="50" t="str">
        <f t="shared" si="1"/>
        <v/>
      </c>
      <c r="AG111" s="19"/>
      <c r="AH111" s="19"/>
      <c r="AI111" s="19"/>
      <c r="AJ111" s="19"/>
      <c r="AK111" s="19"/>
      <c r="AL111" s="19"/>
      <c r="AM111" s="19"/>
      <c r="AN111" s="19"/>
      <c r="AO111" s="19"/>
      <c r="AP111" s="19"/>
      <c r="AQ111" s="19"/>
      <c r="AR111" s="19"/>
      <c r="AS111" s="19"/>
      <c r="AT111" s="19"/>
      <c r="AU111" s="19"/>
      <c r="AV111" s="19"/>
      <c r="AW111" s="19"/>
      <c r="AX111" s="19"/>
    </row>
    <row r="112">
      <c r="B112" s="50" t="str">
        <f t="shared" si="1"/>
        <v/>
      </c>
      <c r="AG112" s="19"/>
      <c r="AH112" s="19"/>
      <c r="AI112" s="19"/>
      <c r="AJ112" s="19"/>
      <c r="AK112" s="19"/>
      <c r="AL112" s="19"/>
      <c r="AM112" s="19"/>
      <c r="AN112" s="19"/>
      <c r="AO112" s="19"/>
      <c r="AP112" s="19"/>
      <c r="AQ112" s="19"/>
      <c r="AR112" s="19"/>
      <c r="AS112" s="19"/>
      <c r="AT112" s="19"/>
      <c r="AU112" s="19"/>
      <c r="AV112" s="19"/>
      <c r="AW112" s="19"/>
      <c r="AX112" s="19"/>
    </row>
    <row r="113">
      <c r="B113" s="50" t="str">
        <f t="shared" si="1"/>
        <v/>
      </c>
      <c r="AG113" s="19"/>
      <c r="AH113" s="19"/>
      <c r="AI113" s="19"/>
      <c r="AJ113" s="19"/>
      <c r="AK113" s="19"/>
      <c r="AL113" s="19"/>
      <c r="AM113" s="19"/>
      <c r="AN113" s="19"/>
      <c r="AO113" s="19"/>
      <c r="AP113" s="19"/>
      <c r="AQ113" s="19"/>
      <c r="AR113" s="19"/>
      <c r="AS113" s="19"/>
      <c r="AT113" s="19"/>
      <c r="AU113" s="19"/>
      <c r="AV113" s="19"/>
      <c r="AW113" s="19"/>
      <c r="AX113" s="19"/>
    </row>
    <row r="114">
      <c r="B114" s="50" t="str">
        <f t="shared" si="1"/>
        <v/>
      </c>
      <c r="AG114" s="19"/>
      <c r="AH114" s="19"/>
      <c r="AI114" s="19"/>
      <c r="AJ114" s="19"/>
      <c r="AK114" s="19"/>
      <c r="AL114" s="19"/>
      <c r="AM114" s="19"/>
      <c r="AN114" s="19"/>
      <c r="AO114" s="19"/>
      <c r="AP114" s="19"/>
      <c r="AQ114" s="19"/>
      <c r="AR114" s="19"/>
      <c r="AS114" s="19"/>
      <c r="AT114" s="19"/>
      <c r="AU114" s="19"/>
      <c r="AV114" s="19"/>
      <c r="AW114" s="19"/>
      <c r="AX114" s="19"/>
    </row>
    <row r="115">
      <c r="B115" s="50" t="str">
        <f t="shared" si="1"/>
        <v/>
      </c>
      <c r="AG115" s="19"/>
      <c r="AH115" s="19"/>
      <c r="AI115" s="19"/>
      <c r="AJ115" s="19"/>
      <c r="AK115" s="19"/>
      <c r="AL115" s="19"/>
      <c r="AM115" s="19"/>
      <c r="AN115" s="19"/>
      <c r="AO115" s="19"/>
      <c r="AP115" s="19"/>
      <c r="AQ115" s="19"/>
      <c r="AR115" s="19"/>
      <c r="AS115" s="19"/>
      <c r="AT115" s="19"/>
      <c r="AU115" s="19"/>
      <c r="AV115" s="19"/>
      <c r="AW115" s="19"/>
      <c r="AX115" s="19"/>
    </row>
    <row r="116">
      <c r="B116" s="50" t="str">
        <f t="shared" si="1"/>
        <v/>
      </c>
      <c r="AG116" s="19"/>
      <c r="AH116" s="19"/>
      <c r="AI116" s="19"/>
      <c r="AJ116" s="19"/>
      <c r="AK116" s="19"/>
      <c r="AL116" s="19"/>
      <c r="AM116" s="19"/>
      <c r="AN116" s="19"/>
      <c r="AO116" s="19"/>
      <c r="AP116" s="19"/>
      <c r="AQ116" s="19"/>
      <c r="AR116" s="19"/>
      <c r="AS116" s="19"/>
      <c r="AT116" s="19"/>
      <c r="AU116" s="19"/>
      <c r="AV116" s="19"/>
      <c r="AW116" s="19"/>
      <c r="AX116" s="19"/>
    </row>
    <row r="117">
      <c r="B117" s="50" t="str">
        <f t="shared" si="1"/>
        <v/>
      </c>
      <c r="AG117" s="19"/>
      <c r="AH117" s="19"/>
      <c r="AI117" s="19"/>
      <c r="AJ117" s="19"/>
      <c r="AK117" s="19"/>
      <c r="AL117" s="19"/>
      <c r="AM117" s="19"/>
      <c r="AN117" s="19"/>
      <c r="AO117" s="19"/>
      <c r="AP117" s="19"/>
      <c r="AQ117" s="19"/>
      <c r="AR117" s="19"/>
      <c r="AS117" s="19"/>
      <c r="AT117" s="19"/>
      <c r="AU117" s="19"/>
      <c r="AV117" s="19"/>
      <c r="AW117" s="19"/>
      <c r="AX117" s="19"/>
    </row>
    <row r="118">
      <c r="B118" s="50" t="str">
        <f t="shared" si="1"/>
        <v/>
      </c>
      <c r="AG118" s="19"/>
      <c r="AH118" s="19"/>
      <c r="AI118" s="19"/>
      <c r="AJ118" s="19"/>
      <c r="AK118" s="19"/>
      <c r="AL118" s="19"/>
      <c r="AM118" s="19"/>
      <c r="AN118" s="19"/>
      <c r="AO118" s="19"/>
      <c r="AP118" s="19"/>
      <c r="AQ118" s="19"/>
      <c r="AR118" s="19"/>
      <c r="AS118" s="19"/>
      <c r="AT118" s="19"/>
      <c r="AU118" s="19"/>
      <c r="AV118" s="19"/>
      <c r="AW118" s="19"/>
      <c r="AX118" s="19"/>
    </row>
    <row r="119">
      <c r="B119" s="50" t="str">
        <f t="shared" si="1"/>
        <v/>
      </c>
      <c r="AG119" s="19"/>
      <c r="AH119" s="19"/>
      <c r="AI119" s="19"/>
      <c r="AJ119" s="19"/>
      <c r="AK119" s="19"/>
      <c r="AL119" s="19"/>
      <c r="AM119" s="19"/>
      <c r="AN119" s="19"/>
      <c r="AO119" s="19"/>
      <c r="AP119" s="19"/>
      <c r="AQ119" s="19"/>
      <c r="AR119" s="19"/>
      <c r="AS119" s="19"/>
      <c r="AT119" s="19"/>
      <c r="AU119" s="19"/>
      <c r="AV119" s="19"/>
      <c r="AW119" s="19"/>
      <c r="AX119" s="19"/>
    </row>
    <row r="120">
      <c r="B120" s="50" t="str">
        <f t="shared" si="1"/>
        <v/>
      </c>
      <c r="AG120" s="19"/>
      <c r="AH120" s="19"/>
      <c r="AI120" s="19"/>
      <c r="AJ120" s="19"/>
      <c r="AK120" s="19"/>
      <c r="AL120" s="19"/>
      <c r="AM120" s="19"/>
      <c r="AN120" s="19"/>
      <c r="AO120" s="19"/>
      <c r="AP120" s="19"/>
      <c r="AQ120" s="19"/>
      <c r="AR120" s="19"/>
      <c r="AS120" s="19"/>
      <c r="AT120" s="19"/>
      <c r="AU120" s="19"/>
      <c r="AV120" s="19"/>
      <c r="AW120" s="19"/>
      <c r="AX120" s="19"/>
    </row>
    <row r="121">
      <c r="B121" s="50" t="str">
        <f t="shared" si="1"/>
        <v/>
      </c>
      <c r="AG121" s="19"/>
      <c r="AH121" s="19"/>
      <c r="AI121" s="19"/>
      <c r="AJ121" s="19"/>
      <c r="AK121" s="19"/>
      <c r="AL121" s="19"/>
      <c r="AM121" s="19"/>
      <c r="AN121" s="19"/>
      <c r="AO121" s="19"/>
      <c r="AP121" s="19"/>
      <c r="AQ121" s="19"/>
      <c r="AR121" s="19"/>
      <c r="AS121" s="19"/>
      <c r="AT121" s="19"/>
      <c r="AU121" s="19"/>
      <c r="AV121" s="19"/>
      <c r="AW121" s="19"/>
      <c r="AX121" s="19"/>
    </row>
    <row r="122">
      <c r="B122" s="50" t="str">
        <f t="shared" si="1"/>
        <v/>
      </c>
      <c r="AG122" s="19"/>
      <c r="AH122" s="19"/>
      <c r="AI122" s="19"/>
      <c r="AJ122" s="19"/>
      <c r="AK122" s="19"/>
      <c r="AL122" s="19"/>
      <c r="AM122" s="19"/>
      <c r="AN122" s="19"/>
      <c r="AO122" s="19"/>
      <c r="AP122" s="19"/>
      <c r="AQ122" s="19"/>
      <c r="AR122" s="19"/>
      <c r="AS122" s="19"/>
      <c r="AT122" s="19"/>
      <c r="AU122" s="19"/>
      <c r="AV122" s="19"/>
      <c r="AW122" s="19"/>
      <c r="AX122" s="19"/>
    </row>
    <row r="123">
      <c r="B123" s="50" t="str">
        <f t="shared" si="1"/>
        <v/>
      </c>
      <c r="AG123" s="19"/>
      <c r="AH123" s="19"/>
      <c r="AI123" s="19"/>
      <c r="AJ123" s="19"/>
      <c r="AK123" s="19"/>
      <c r="AL123" s="19"/>
      <c r="AM123" s="19"/>
      <c r="AN123" s="19"/>
      <c r="AO123" s="19"/>
      <c r="AP123" s="19"/>
      <c r="AQ123" s="19"/>
      <c r="AR123" s="19"/>
      <c r="AS123" s="19"/>
      <c r="AT123" s="19"/>
      <c r="AU123" s="19"/>
      <c r="AV123" s="19"/>
      <c r="AW123" s="19"/>
      <c r="AX123" s="19"/>
    </row>
    <row r="124">
      <c r="B124" s="50" t="str">
        <f t="shared" si="1"/>
        <v/>
      </c>
      <c r="AG124" s="19"/>
      <c r="AH124" s="19"/>
      <c r="AI124" s="19"/>
      <c r="AJ124" s="19"/>
      <c r="AK124" s="19"/>
      <c r="AL124" s="19"/>
      <c r="AM124" s="19"/>
      <c r="AN124" s="19"/>
      <c r="AO124" s="19"/>
      <c r="AP124" s="19"/>
      <c r="AQ124" s="19"/>
      <c r="AR124" s="19"/>
      <c r="AS124" s="19"/>
      <c r="AT124" s="19"/>
      <c r="AU124" s="19"/>
      <c r="AV124" s="19"/>
      <c r="AW124" s="19"/>
      <c r="AX124" s="19"/>
    </row>
    <row r="125">
      <c r="B125" s="50" t="str">
        <f t="shared" si="1"/>
        <v/>
      </c>
      <c r="AG125" s="19"/>
      <c r="AH125" s="19"/>
      <c r="AI125" s="19"/>
      <c r="AJ125" s="19"/>
      <c r="AK125" s="19"/>
      <c r="AL125" s="19"/>
      <c r="AM125" s="19"/>
      <c r="AN125" s="19"/>
      <c r="AO125" s="19"/>
      <c r="AP125" s="19"/>
      <c r="AQ125" s="19"/>
      <c r="AR125" s="19"/>
      <c r="AS125" s="19"/>
      <c r="AT125" s="19"/>
      <c r="AU125" s="19"/>
      <c r="AV125" s="19"/>
      <c r="AW125" s="19"/>
      <c r="AX125" s="19"/>
    </row>
    <row r="126">
      <c r="B126" s="50" t="str">
        <f t="shared" si="1"/>
        <v/>
      </c>
      <c r="AG126" s="19"/>
      <c r="AH126" s="19"/>
      <c r="AI126" s="19"/>
      <c r="AJ126" s="19"/>
      <c r="AK126" s="19"/>
      <c r="AL126" s="19"/>
      <c r="AM126" s="19"/>
      <c r="AN126" s="19"/>
      <c r="AO126" s="19"/>
      <c r="AP126" s="19"/>
      <c r="AQ126" s="19"/>
      <c r="AR126" s="19"/>
      <c r="AS126" s="19"/>
      <c r="AT126" s="19"/>
      <c r="AU126" s="19"/>
      <c r="AV126" s="19"/>
      <c r="AW126" s="19"/>
      <c r="AX126" s="19"/>
    </row>
    <row r="127">
      <c r="B127" s="50" t="str">
        <f t="shared" si="1"/>
        <v/>
      </c>
      <c r="AG127" s="19"/>
      <c r="AH127" s="19"/>
      <c r="AI127" s="19"/>
      <c r="AJ127" s="19"/>
      <c r="AK127" s="19"/>
      <c r="AL127" s="19"/>
      <c r="AM127" s="19"/>
      <c r="AN127" s="19"/>
      <c r="AO127" s="19"/>
      <c r="AP127" s="19"/>
      <c r="AQ127" s="19"/>
      <c r="AR127" s="19"/>
      <c r="AS127" s="19"/>
      <c r="AT127" s="19"/>
      <c r="AU127" s="19"/>
      <c r="AV127" s="19"/>
      <c r="AW127" s="19"/>
      <c r="AX127" s="19"/>
    </row>
    <row r="128">
      <c r="B128" s="50" t="str">
        <f t="shared" si="1"/>
        <v/>
      </c>
      <c r="AG128" s="19"/>
      <c r="AH128" s="19"/>
      <c r="AI128" s="19"/>
      <c r="AJ128" s="19"/>
      <c r="AK128" s="19"/>
      <c r="AL128" s="19"/>
      <c r="AM128" s="19"/>
      <c r="AN128" s="19"/>
      <c r="AO128" s="19"/>
      <c r="AP128" s="19"/>
      <c r="AQ128" s="19"/>
      <c r="AR128" s="19"/>
      <c r="AS128" s="19"/>
      <c r="AT128" s="19"/>
      <c r="AU128" s="19"/>
      <c r="AV128" s="19"/>
      <c r="AW128" s="19"/>
      <c r="AX128" s="19"/>
    </row>
    <row r="129">
      <c r="B129" s="50" t="str">
        <f t="shared" si="1"/>
        <v/>
      </c>
      <c r="AG129" s="19"/>
      <c r="AH129" s="19"/>
      <c r="AI129" s="19"/>
      <c r="AJ129" s="19"/>
      <c r="AK129" s="19"/>
      <c r="AL129" s="19"/>
      <c r="AM129" s="19"/>
      <c r="AN129" s="19"/>
      <c r="AO129" s="19"/>
      <c r="AP129" s="19"/>
      <c r="AQ129" s="19"/>
      <c r="AR129" s="19"/>
      <c r="AS129" s="19"/>
      <c r="AT129" s="19"/>
      <c r="AU129" s="19"/>
      <c r="AV129" s="19"/>
      <c r="AW129" s="19"/>
      <c r="AX129" s="19"/>
    </row>
  </sheetData>
  <hyperlinks>
    <hyperlink r:id="rId1" ref="C12"/>
    <hyperlink r:id="rId2" location="gid=310481599" ref="C13"/>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1" max="9" width="12.63"/>
    <col customWidth="1" min="12" max="12" width="42.38"/>
    <col hidden="1" min="17" max="20" width="12.63"/>
    <col customWidth="1" min="22" max="22" width="40.63"/>
    <col customWidth="1" min="24" max="24" width="14.25"/>
  </cols>
  <sheetData>
    <row r="1">
      <c r="A1" s="26" t="s">
        <v>85</v>
      </c>
      <c r="B1" s="26" t="s">
        <v>86</v>
      </c>
      <c r="C1" s="26" t="s">
        <v>87</v>
      </c>
      <c r="D1" s="26" t="s">
        <v>88</v>
      </c>
      <c r="F1" s="26" t="s">
        <v>89</v>
      </c>
      <c r="G1" s="26" t="s">
        <v>90</v>
      </c>
      <c r="H1" s="26" t="s">
        <v>91</v>
      </c>
      <c r="J1" s="7" t="s">
        <v>83</v>
      </c>
      <c r="K1" s="7" t="s">
        <v>56</v>
      </c>
      <c r="L1" s="7" t="s">
        <v>74</v>
      </c>
      <c r="M1" s="7" t="s">
        <v>60</v>
      </c>
      <c r="N1" s="7" t="s">
        <v>76</v>
      </c>
      <c r="O1" s="7" t="s">
        <v>77</v>
      </c>
      <c r="U1" s="7" t="s">
        <v>83</v>
      </c>
      <c r="V1" s="7" t="s">
        <v>84</v>
      </c>
      <c r="W1" s="7" t="s">
        <v>65</v>
      </c>
      <c r="X1" s="7" t="s">
        <v>92</v>
      </c>
    </row>
    <row r="2">
      <c r="A2" s="60">
        <f>Scores!A12</f>
        <v>1</v>
      </c>
      <c r="B2" s="54" t="str">
        <f>Compilation!D9</f>
        <v>🥇 x3</v>
      </c>
      <c r="C2" s="54">
        <f t="shared" ref="C2:C401" si="1">if(F2=-1,-G2/1000000000,if(H2=-1,"",H2-F2))</f>
        <v>-0.000000004</v>
      </c>
      <c r="D2" s="54">
        <f>Compilation!F9</f>
        <v>58</v>
      </c>
      <c r="E2" s="54" t="str">
        <f t="shared" ref="E2:E401" si="2">if(H2=-1,"",H2)</f>
        <v/>
      </c>
      <c r="F2" s="54">
        <f>Compilation!E9</f>
        <v>-1</v>
      </c>
      <c r="G2" s="54">
        <f>countif(Scores!B12:AG12,D2)</f>
        <v>4</v>
      </c>
      <c r="H2" s="54">
        <f>Compilation!G9</f>
        <v>-1</v>
      </c>
      <c r="J2" s="50">
        <v>1.0</v>
      </c>
      <c r="K2" s="21">
        <f t="array" ref="K2:O401">sort(A2:E401,3,false,4,true)</f>
        <v>396</v>
      </c>
      <c r="L2" s="14" t="s">
        <v>93</v>
      </c>
      <c r="M2" s="8">
        <v>28.0</v>
      </c>
      <c r="N2" s="8">
        <v>139.0</v>
      </c>
      <c r="O2" s="8">
        <v>167.0</v>
      </c>
      <c r="Q2" s="53" t="str">
        <f t="array" ref="Q2:Q55">transpose(Scores!B1:AG1)</f>
        <v>Code Golf International</v>
      </c>
      <c r="R2" s="54">
        <f t="shared" ref="R2:R60" si="3">sumif($L$2:$L$401,CONCATENATE("💎",Q2),$M$2:$M$401)</f>
        <v>461</v>
      </c>
      <c r="S2" s="53" t="str">
        <f t="array" ref="S2:T60">sort(Q2:R60,2,false)</f>
        <v>Code Golf International</v>
      </c>
      <c r="T2" s="54">
        <v>461.0</v>
      </c>
      <c r="U2" s="50">
        <v>1.0</v>
      </c>
      <c r="V2" s="61" t="str">
        <f t="shared" ref="V2:V60" si="4">if(T2&gt;0,S2,IFERROR(0/0,""))</f>
        <v>Code Golf International</v>
      </c>
      <c r="W2" s="8">
        <f t="shared" ref="W2:W60" si="5">if(isblank(V2),iferror(0/0,""),T2)</f>
        <v>461</v>
      </c>
      <c r="X2" s="8">
        <f>SUM(W2:W48)</f>
        <v>1135</v>
      </c>
    </row>
    <row r="3">
      <c r="A3" s="62">
        <f>Scores!A13</f>
        <v>2</v>
      </c>
      <c r="B3" s="54" t="str">
        <f>Compilation!D10</f>
        <v>💎jailctf merger</v>
      </c>
      <c r="C3" s="54">
        <f t="shared" si="1"/>
        <v>2</v>
      </c>
      <c r="D3" s="54">
        <f>Compilation!F10</f>
        <v>86</v>
      </c>
      <c r="E3" s="54">
        <f t="shared" si="2"/>
        <v>88</v>
      </c>
      <c r="F3" s="54">
        <f>Compilation!E10</f>
        <v>86</v>
      </c>
      <c r="G3" s="54">
        <f>countif(Scores!B13:AG13,D3)</f>
        <v>1</v>
      </c>
      <c r="H3" s="54">
        <f>Compilation!G10</f>
        <v>88</v>
      </c>
      <c r="J3" s="50">
        <f t="shared" ref="J3:J401" si="6">if(round(M3,0)&lt;&gt;round(M2,0),N(A3),J2)</f>
        <v>1</v>
      </c>
      <c r="K3" s="21">
        <v>363.0</v>
      </c>
      <c r="L3" s="14" t="s">
        <v>94</v>
      </c>
      <c r="M3" s="8">
        <v>28.0</v>
      </c>
      <c r="N3" s="8">
        <v>175.0</v>
      </c>
      <c r="O3" s="8">
        <v>203.0</v>
      </c>
      <c r="Q3" s="54" t="s">
        <v>1</v>
      </c>
      <c r="R3" s="54">
        <f t="shared" si="3"/>
        <v>0</v>
      </c>
      <c r="S3" s="53" t="s">
        <v>2</v>
      </c>
      <c r="T3" s="54">
        <v>388.0</v>
      </c>
      <c r="U3" s="50">
        <f t="shared" ref="U3:U401" si="7">if(isblank(V3),"",if(W3&lt;&gt;W2,n(A3),U2))</f>
        <v>2</v>
      </c>
      <c r="V3" s="61" t="str">
        <f t="shared" si="4"/>
        <v>ox jam</v>
      </c>
      <c r="W3" s="8">
        <f t="shared" si="5"/>
        <v>388</v>
      </c>
    </row>
    <row r="4">
      <c r="A4" s="62">
        <f>Scores!A14</f>
        <v>3</v>
      </c>
      <c r="B4" s="54" t="str">
        <f>Compilation!D11</f>
        <v>🥇 x11</v>
      </c>
      <c r="C4" s="54">
        <f t="shared" si="1"/>
        <v>-0.000000012</v>
      </c>
      <c r="D4" s="54">
        <f>Compilation!F11</f>
        <v>58</v>
      </c>
      <c r="E4" s="54" t="str">
        <f t="shared" si="2"/>
        <v/>
      </c>
      <c r="F4" s="54">
        <f>Compilation!E11</f>
        <v>-1</v>
      </c>
      <c r="G4" s="54">
        <f>countif(Scores!B14:AG14,D4)</f>
        <v>12</v>
      </c>
      <c r="H4" s="54">
        <f>Compilation!G11</f>
        <v>-1</v>
      </c>
      <c r="J4" s="50">
        <f t="shared" si="6"/>
        <v>3</v>
      </c>
      <c r="K4" s="21">
        <v>366.0</v>
      </c>
      <c r="L4" s="14" t="s">
        <v>93</v>
      </c>
      <c r="M4" s="8">
        <v>27.0</v>
      </c>
      <c r="N4" s="8">
        <v>301.0</v>
      </c>
      <c r="O4" s="8">
        <v>328.0</v>
      </c>
      <c r="Q4" s="53" t="s">
        <v>2</v>
      </c>
      <c r="R4" s="54">
        <f t="shared" si="3"/>
        <v>388</v>
      </c>
      <c r="S4" s="53" t="s">
        <v>4</v>
      </c>
      <c r="T4" s="54">
        <v>223.0</v>
      </c>
      <c r="U4" s="50">
        <f t="shared" si="7"/>
        <v>3</v>
      </c>
      <c r="V4" s="61" t="str">
        <f t="shared" si="4"/>
        <v>jailctf merger</v>
      </c>
      <c r="W4" s="8">
        <f t="shared" si="5"/>
        <v>223</v>
      </c>
    </row>
    <row r="5">
      <c r="A5" s="62">
        <f>Scores!A15</f>
        <v>4</v>
      </c>
      <c r="B5" s="54" t="str">
        <f>Compilation!D12</f>
        <v>💎ox jam</v>
      </c>
      <c r="C5" s="54">
        <f t="shared" si="1"/>
        <v>1</v>
      </c>
      <c r="D5" s="54">
        <f>Compilation!F12</f>
        <v>73</v>
      </c>
      <c r="E5" s="54">
        <f t="shared" si="2"/>
        <v>74</v>
      </c>
      <c r="F5" s="54">
        <f>Compilation!E12</f>
        <v>73</v>
      </c>
      <c r="G5" s="54">
        <f>countif(Scores!B15:AG15,D5)</f>
        <v>2</v>
      </c>
      <c r="H5" s="54">
        <f>Compilation!G12</f>
        <v>74</v>
      </c>
      <c r="J5" s="50">
        <f t="shared" si="6"/>
        <v>4</v>
      </c>
      <c r="K5" s="21">
        <v>208.0</v>
      </c>
      <c r="L5" s="14" t="s">
        <v>94</v>
      </c>
      <c r="M5" s="8">
        <v>26.0</v>
      </c>
      <c r="N5" s="8">
        <v>163.0</v>
      </c>
      <c r="O5" s="8">
        <v>189.0</v>
      </c>
      <c r="Q5" s="54" t="s">
        <v>3</v>
      </c>
      <c r="R5" s="54">
        <f t="shared" si="3"/>
        <v>0</v>
      </c>
      <c r="S5" s="54" t="s">
        <v>39</v>
      </c>
      <c r="T5" s="54">
        <v>32.0</v>
      </c>
      <c r="U5" s="50">
        <f t="shared" si="7"/>
        <v>4</v>
      </c>
      <c r="V5" s="14" t="str">
        <f t="shared" si="4"/>
        <v>LogicLynx</v>
      </c>
      <c r="W5" s="8">
        <f t="shared" si="5"/>
        <v>32</v>
      </c>
    </row>
    <row r="6">
      <c r="A6" s="62">
        <f>Scores!A16</f>
        <v>5</v>
      </c>
      <c r="B6" s="54" t="str">
        <f>Compilation!D13</f>
        <v>💎jailctf merger</v>
      </c>
      <c r="C6" s="54">
        <f t="shared" si="1"/>
        <v>8</v>
      </c>
      <c r="D6" s="54">
        <f>Compilation!F13</f>
        <v>166</v>
      </c>
      <c r="E6" s="54">
        <f t="shared" si="2"/>
        <v>174</v>
      </c>
      <c r="F6" s="54">
        <f>Compilation!E13</f>
        <v>166</v>
      </c>
      <c r="G6" s="54">
        <f>countif(Scores!B16:AG16,D6)</f>
        <v>2</v>
      </c>
      <c r="H6" s="54">
        <f>Compilation!G13</f>
        <v>174</v>
      </c>
      <c r="J6" s="50">
        <f t="shared" si="6"/>
        <v>5</v>
      </c>
      <c r="K6" s="21">
        <v>268.0</v>
      </c>
      <c r="L6" s="14" t="s">
        <v>95</v>
      </c>
      <c r="M6" s="8">
        <v>25.0</v>
      </c>
      <c r="N6" s="8">
        <v>190.0</v>
      </c>
      <c r="O6" s="8">
        <v>215.0</v>
      </c>
      <c r="Q6" s="53" t="s">
        <v>4</v>
      </c>
      <c r="R6" s="54">
        <f t="shared" si="3"/>
        <v>223</v>
      </c>
      <c r="S6" s="54" t="s">
        <v>46</v>
      </c>
      <c r="T6" s="54">
        <v>9.0</v>
      </c>
      <c r="U6" s="50">
        <f t="shared" si="7"/>
        <v>5</v>
      </c>
      <c r="V6" s="14" t="str">
        <f t="shared" si="4"/>
        <v>lv1.dev</v>
      </c>
      <c r="W6" s="8">
        <f t="shared" si="5"/>
        <v>9</v>
      </c>
    </row>
    <row r="7" ht="18.75" customHeight="1">
      <c r="A7" s="62">
        <f>Scores!A17</f>
        <v>6</v>
      </c>
      <c r="B7" s="54" t="str">
        <f>Compilation!D14</f>
        <v>🥇 x4</v>
      </c>
      <c r="C7" s="54">
        <f t="shared" si="1"/>
        <v>-0.000000005</v>
      </c>
      <c r="D7" s="54">
        <f>Compilation!F14</f>
        <v>49</v>
      </c>
      <c r="E7" s="54" t="str">
        <f t="shared" si="2"/>
        <v/>
      </c>
      <c r="F7" s="54">
        <f>Compilation!E14</f>
        <v>-1</v>
      </c>
      <c r="G7" s="54">
        <f>countif(Scores!B17:AG17,D7)</f>
        <v>5</v>
      </c>
      <c r="H7" s="54">
        <f>Compilation!G14</f>
        <v>-1</v>
      </c>
      <c r="J7" s="50">
        <f t="shared" si="6"/>
        <v>6</v>
      </c>
      <c r="K7" s="21">
        <v>281.0</v>
      </c>
      <c r="L7" s="14" t="s">
        <v>93</v>
      </c>
      <c r="M7" s="8">
        <v>20.0</v>
      </c>
      <c r="N7" s="8">
        <v>103.0</v>
      </c>
      <c r="O7" s="8">
        <v>123.0</v>
      </c>
      <c r="Q7" s="54" t="s">
        <v>5</v>
      </c>
      <c r="R7" s="54">
        <f t="shared" si="3"/>
        <v>0</v>
      </c>
      <c r="S7" s="54" t="s">
        <v>11</v>
      </c>
      <c r="T7" s="54">
        <v>6.0</v>
      </c>
      <c r="U7" s="50">
        <f t="shared" si="7"/>
        <v>6</v>
      </c>
      <c r="V7" s="14" t="str">
        <f t="shared" si="4"/>
        <v>intgrah jimboko awu macaque sammyuri</v>
      </c>
      <c r="W7" s="8">
        <f t="shared" si="5"/>
        <v>6</v>
      </c>
    </row>
    <row r="8">
      <c r="A8" s="62">
        <f>Scores!A18</f>
        <v>7</v>
      </c>
      <c r="B8" s="54" t="str">
        <f>Compilation!D15</f>
        <v>🥇 x2</v>
      </c>
      <c r="C8" s="54">
        <f t="shared" si="1"/>
        <v>-0.000000003</v>
      </c>
      <c r="D8" s="54">
        <f>Compilation!F15</f>
        <v>62</v>
      </c>
      <c r="E8" s="54" t="str">
        <f t="shared" si="2"/>
        <v/>
      </c>
      <c r="F8" s="54">
        <f>Compilation!E15</f>
        <v>-1</v>
      </c>
      <c r="G8" s="54">
        <f>countif(Scores!B18:AG18,D8)</f>
        <v>3</v>
      </c>
      <c r="H8" s="54">
        <f>Compilation!G15</f>
        <v>-1</v>
      </c>
      <c r="J8" s="50">
        <f t="shared" si="6"/>
        <v>6</v>
      </c>
      <c r="K8" s="21">
        <v>349.0</v>
      </c>
      <c r="L8" s="14" t="s">
        <v>94</v>
      </c>
      <c r="M8" s="8">
        <v>20.0</v>
      </c>
      <c r="N8" s="8">
        <v>172.0</v>
      </c>
      <c r="O8" s="8">
        <v>192.0</v>
      </c>
      <c r="Q8" s="54" t="s">
        <v>6</v>
      </c>
      <c r="R8" s="54">
        <f t="shared" si="3"/>
        <v>0</v>
      </c>
      <c r="S8" s="54" t="s">
        <v>21</v>
      </c>
      <c r="T8" s="54">
        <v>6.0</v>
      </c>
      <c r="U8" s="50">
        <f t="shared" si="7"/>
        <v>6</v>
      </c>
      <c r="V8" s="14" t="str">
        <f t="shared" si="4"/>
        <v>biz</v>
      </c>
      <c r="W8" s="8">
        <f t="shared" si="5"/>
        <v>6</v>
      </c>
    </row>
    <row r="9">
      <c r="A9" s="62">
        <f>Scores!A19</f>
        <v>8</v>
      </c>
      <c r="B9" s="54" t="str">
        <f>Compilation!D16</f>
        <v>🥇 x2</v>
      </c>
      <c r="C9" s="54">
        <f t="shared" si="1"/>
        <v>-0.000000002</v>
      </c>
      <c r="D9" s="54">
        <f>Compilation!F16</f>
        <v>84</v>
      </c>
      <c r="E9" s="54" t="str">
        <f t="shared" si="2"/>
        <v/>
      </c>
      <c r="F9" s="54">
        <f>Compilation!E16</f>
        <v>-1</v>
      </c>
      <c r="G9" s="54">
        <f>countif(Scores!B19:AG19,D9)</f>
        <v>2</v>
      </c>
      <c r="H9" s="54">
        <f>Compilation!G16</f>
        <v>-1</v>
      </c>
      <c r="J9" s="50">
        <f t="shared" si="6"/>
        <v>8</v>
      </c>
      <c r="K9" s="21">
        <v>134.0</v>
      </c>
      <c r="L9" s="14" t="s">
        <v>93</v>
      </c>
      <c r="M9" s="8">
        <v>19.0</v>
      </c>
      <c r="N9" s="8">
        <v>123.0</v>
      </c>
      <c r="O9" s="8">
        <v>142.0</v>
      </c>
      <c r="Q9" s="54" t="s">
        <v>7</v>
      </c>
      <c r="R9" s="54">
        <f t="shared" si="3"/>
        <v>0</v>
      </c>
      <c r="S9" s="54" t="s">
        <v>45</v>
      </c>
      <c r="T9" s="54">
        <v>6.0</v>
      </c>
      <c r="U9" s="50">
        <f t="shared" si="7"/>
        <v>6</v>
      </c>
      <c r="V9" s="14" t="str">
        <f t="shared" si="4"/>
        <v>FuunAgent</v>
      </c>
      <c r="W9" s="8">
        <f t="shared" si="5"/>
        <v>6</v>
      </c>
    </row>
    <row r="10">
      <c r="A10" s="62">
        <f>Scores!A20</f>
        <v>9</v>
      </c>
      <c r="B10" s="54" t="str">
        <f>Compilation!D17</f>
        <v>💎Code Golf International</v>
      </c>
      <c r="C10" s="54">
        <f t="shared" si="1"/>
        <v>12</v>
      </c>
      <c r="D10" s="54">
        <f>Compilation!F17</f>
        <v>95</v>
      </c>
      <c r="E10" s="54">
        <f t="shared" si="2"/>
        <v>107</v>
      </c>
      <c r="F10" s="54">
        <f>Compilation!E17</f>
        <v>95</v>
      </c>
      <c r="G10" s="54">
        <f>countif(Scores!B20:AG20,D10)</f>
        <v>2</v>
      </c>
      <c r="H10" s="54">
        <f>Compilation!G17</f>
        <v>107</v>
      </c>
      <c r="J10" s="50">
        <f t="shared" si="6"/>
        <v>8</v>
      </c>
      <c r="K10" s="21">
        <v>118.0</v>
      </c>
      <c r="L10" s="14" t="s">
        <v>93</v>
      </c>
      <c r="M10" s="8">
        <v>19.0</v>
      </c>
      <c r="N10" s="8">
        <v>225.0</v>
      </c>
      <c r="O10" s="8">
        <v>244.0</v>
      </c>
      <c r="Q10" s="54" t="s">
        <v>8</v>
      </c>
      <c r="R10" s="54">
        <f t="shared" si="3"/>
        <v>1</v>
      </c>
      <c r="S10" s="54" t="s">
        <v>37</v>
      </c>
      <c r="T10" s="54">
        <v>2.0</v>
      </c>
      <c r="U10" s="50">
        <f t="shared" si="7"/>
        <v>9</v>
      </c>
      <c r="V10" s="14" t="str">
        <f t="shared" si="4"/>
        <v>Ravi Annaswamy</v>
      </c>
      <c r="W10" s="8">
        <f t="shared" si="5"/>
        <v>2</v>
      </c>
    </row>
    <row r="11">
      <c r="A11" s="62">
        <f>Scores!A21</f>
        <v>10</v>
      </c>
      <c r="B11" s="54" t="str">
        <f>Compilation!D18</f>
        <v>💎Code Golf International</v>
      </c>
      <c r="C11" s="54">
        <f t="shared" si="1"/>
        <v>1</v>
      </c>
      <c r="D11" s="54">
        <f>Compilation!F18</f>
        <v>66</v>
      </c>
      <c r="E11" s="54">
        <f t="shared" si="2"/>
        <v>67</v>
      </c>
      <c r="F11" s="54">
        <f>Compilation!E18</f>
        <v>66</v>
      </c>
      <c r="G11" s="54">
        <f>countif(Scores!B21:AG21,D11)</f>
        <v>2</v>
      </c>
      <c r="H11" s="54">
        <f>Compilation!G18</f>
        <v>67</v>
      </c>
      <c r="J11" s="50">
        <f t="shared" si="6"/>
        <v>10</v>
      </c>
      <c r="K11" s="21">
        <v>280.0</v>
      </c>
      <c r="L11" s="14" t="s">
        <v>94</v>
      </c>
      <c r="M11" s="8">
        <v>18.0</v>
      </c>
      <c r="N11" s="8">
        <v>145.0</v>
      </c>
      <c r="O11" s="8">
        <v>163.0</v>
      </c>
      <c r="Q11" s="54" t="s">
        <v>9</v>
      </c>
      <c r="R11" s="54">
        <f t="shared" si="3"/>
        <v>0</v>
      </c>
      <c r="S11" s="54" t="s">
        <v>8</v>
      </c>
      <c r="T11" s="54">
        <v>1.0</v>
      </c>
      <c r="U11" s="50">
        <f t="shared" si="7"/>
        <v>10</v>
      </c>
      <c r="V11" s="14" t="str">
        <f t="shared" si="4"/>
        <v>import itertools</v>
      </c>
      <c r="W11" s="8">
        <f t="shared" si="5"/>
        <v>1</v>
      </c>
    </row>
    <row r="12">
      <c r="A12" s="62">
        <f>Scores!A22</f>
        <v>11</v>
      </c>
      <c r="B12" s="54" t="str">
        <f>Compilation!D19</f>
        <v>💎ox jam</v>
      </c>
      <c r="C12" s="54">
        <f t="shared" si="1"/>
        <v>6</v>
      </c>
      <c r="D12" s="54">
        <f>Compilation!F19</f>
        <v>114</v>
      </c>
      <c r="E12" s="54">
        <f t="shared" si="2"/>
        <v>120</v>
      </c>
      <c r="F12" s="54">
        <f>Compilation!E19</f>
        <v>114</v>
      </c>
      <c r="G12" s="54">
        <f>countif(Scores!B22:AG22,D12)</f>
        <v>1</v>
      </c>
      <c r="H12" s="54">
        <f>Compilation!G19</f>
        <v>120</v>
      </c>
      <c r="J12" s="50">
        <f t="shared" si="6"/>
        <v>11</v>
      </c>
      <c r="K12" s="21">
        <v>224.0</v>
      </c>
      <c r="L12" s="14" t="s">
        <v>95</v>
      </c>
      <c r="M12" s="8">
        <v>17.0</v>
      </c>
      <c r="N12" s="8">
        <v>114.0</v>
      </c>
      <c r="O12" s="8">
        <v>131.0</v>
      </c>
      <c r="Q12" s="54" t="s">
        <v>10</v>
      </c>
      <c r="R12" s="54">
        <f t="shared" si="3"/>
        <v>0</v>
      </c>
      <c r="S12" s="54" t="s">
        <v>25</v>
      </c>
      <c r="T12" s="54">
        <v>1.0</v>
      </c>
      <c r="U12" s="50">
        <f t="shared" si="7"/>
        <v>10</v>
      </c>
      <c r="V12" s="14" t="str">
        <f t="shared" si="4"/>
        <v>garrymoss</v>
      </c>
      <c r="W12" s="8">
        <f t="shared" si="5"/>
        <v>1</v>
      </c>
    </row>
    <row r="13">
      <c r="A13" s="62">
        <f>Scores!A23</f>
        <v>12</v>
      </c>
      <c r="B13" s="54" t="str">
        <f>Compilation!D20</f>
        <v>💎Code Golf International</v>
      </c>
      <c r="C13" s="54">
        <f t="shared" si="1"/>
        <v>4</v>
      </c>
      <c r="D13" s="54">
        <f>Compilation!F20</f>
        <v>122</v>
      </c>
      <c r="E13" s="54">
        <f t="shared" si="2"/>
        <v>126</v>
      </c>
      <c r="F13" s="54">
        <f>Compilation!E20</f>
        <v>122</v>
      </c>
      <c r="G13" s="54">
        <f>countif(Scores!B23:AG23,D13)</f>
        <v>2</v>
      </c>
      <c r="H13" s="54">
        <f>Compilation!G20</f>
        <v>126</v>
      </c>
      <c r="J13" s="50">
        <f t="shared" si="6"/>
        <v>12</v>
      </c>
      <c r="K13" s="21">
        <v>272.0</v>
      </c>
      <c r="L13" s="14" t="s">
        <v>93</v>
      </c>
      <c r="M13" s="8">
        <v>16.0</v>
      </c>
      <c r="N13" s="8">
        <v>71.0</v>
      </c>
      <c r="O13" s="8">
        <v>87.0</v>
      </c>
      <c r="Q13" s="54" t="s">
        <v>11</v>
      </c>
      <c r="R13" s="54">
        <f t="shared" si="3"/>
        <v>6</v>
      </c>
      <c r="S13" s="54" t="s">
        <v>1</v>
      </c>
      <c r="T13" s="54">
        <v>0.0</v>
      </c>
      <c r="U13" s="50" t="str">
        <f t="shared" si="7"/>
        <v/>
      </c>
      <c r="V13" s="14" t="str">
        <f t="shared" si="4"/>
        <v/>
      </c>
      <c r="W13" s="8" t="str">
        <f t="shared" si="5"/>
        <v/>
      </c>
    </row>
    <row r="14">
      <c r="A14" s="62">
        <f>Scores!A24</f>
        <v>13</v>
      </c>
      <c r="B14" s="54" t="str">
        <f>Compilation!D21</f>
        <v>💎Code Golf International</v>
      </c>
      <c r="C14" s="54">
        <f t="shared" si="1"/>
        <v>5</v>
      </c>
      <c r="D14" s="54">
        <f>Compilation!F21</f>
        <v>124</v>
      </c>
      <c r="E14" s="54">
        <f t="shared" si="2"/>
        <v>129</v>
      </c>
      <c r="F14" s="54">
        <f>Compilation!E21</f>
        <v>124</v>
      </c>
      <c r="G14" s="54">
        <f>countif(Scores!B24:AG24,D14)</f>
        <v>2</v>
      </c>
      <c r="H14" s="54">
        <f>Compilation!G21</f>
        <v>129</v>
      </c>
      <c r="J14" s="50">
        <f t="shared" si="6"/>
        <v>12</v>
      </c>
      <c r="K14" s="21">
        <v>189.0</v>
      </c>
      <c r="L14" s="14" t="s">
        <v>94</v>
      </c>
      <c r="M14" s="8">
        <v>16.0</v>
      </c>
      <c r="N14" s="8">
        <v>95.0</v>
      </c>
      <c r="O14" s="8">
        <v>111.0</v>
      </c>
      <c r="Q14" s="54" t="s">
        <v>12</v>
      </c>
      <c r="R14" s="54">
        <f t="shared" si="3"/>
        <v>0</v>
      </c>
      <c r="S14" s="54" t="s">
        <v>3</v>
      </c>
      <c r="T14" s="54">
        <v>0.0</v>
      </c>
      <c r="U14" s="50" t="str">
        <f t="shared" si="7"/>
        <v/>
      </c>
      <c r="V14" s="14" t="str">
        <f t="shared" si="4"/>
        <v/>
      </c>
      <c r="W14" s="8" t="str">
        <f t="shared" si="5"/>
        <v/>
      </c>
    </row>
    <row r="15">
      <c r="A15" s="62">
        <f>Scores!A25</f>
        <v>14</v>
      </c>
      <c r="B15" s="54" t="str">
        <f>Compilation!D22</f>
        <v>💎Code Golf International</v>
      </c>
      <c r="C15" s="54">
        <f t="shared" si="1"/>
        <v>10</v>
      </c>
      <c r="D15" s="54">
        <f>Compilation!F22</f>
        <v>57</v>
      </c>
      <c r="E15" s="54">
        <f t="shared" si="2"/>
        <v>67</v>
      </c>
      <c r="F15" s="54">
        <f>Compilation!E22</f>
        <v>57</v>
      </c>
      <c r="G15" s="54">
        <f>countif(Scores!B25:AG25,D15)</f>
        <v>2</v>
      </c>
      <c r="H15" s="54">
        <f>Compilation!G22</f>
        <v>67</v>
      </c>
      <c r="J15" s="50">
        <f t="shared" si="6"/>
        <v>14</v>
      </c>
      <c r="K15" s="21">
        <v>117.0</v>
      </c>
      <c r="L15" s="14" t="s">
        <v>94</v>
      </c>
      <c r="M15" s="8">
        <v>15.0</v>
      </c>
      <c r="N15" s="8">
        <v>115.0</v>
      </c>
      <c r="O15" s="8">
        <v>130.0</v>
      </c>
      <c r="Q15" s="54" t="s">
        <v>13</v>
      </c>
      <c r="R15" s="54">
        <f t="shared" si="3"/>
        <v>0</v>
      </c>
      <c r="S15" s="54" t="s">
        <v>5</v>
      </c>
      <c r="T15" s="54">
        <v>0.0</v>
      </c>
      <c r="U15" s="50" t="str">
        <f t="shared" si="7"/>
        <v/>
      </c>
      <c r="V15" s="14" t="str">
        <f t="shared" si="4"/>
        <v/>
      </c>
      <c r="W15" s="8" t="str">
        <f t="shared" si="5"/>
        <v/>
      </c>
    </row>
    <row r="16">
      <c r="A16" s="62">
        <f>Scores!A26</f>
        <v>15</v>
      </c>
      <c r="B16" s="54" t="str">
        <f>Compilation!D23</f>
        <v>💎jailctf merger</v>
      </c>
      <c r="C16" s="54">
        <f t="shared" si="1"/>
        <v>5</v>
      </c>
      <c r="D16" s="54">
        <f>Compilation!F23</f>
        <v>87</v>
      </c>
      <c r="E16" s="54">
        <f t="shared" si="2"/>
        <v>92</v>
      </c>
      <c r="F16" s="54">
        <f>Compilation!E23</f>
        <v>87</v>
      </c>
      <c r="G16" s="54">
        <f>countif(Scores!B26:AG26,D16)</f>
        <v>2</v>
      </c>
      <c r="H16" s="54">
        <f>Compilation!G23</f>
        <v>92</v>
      </c>
      <c r="J16" s="50">
        <f t="shared" si="6"/>
        <v>15</v>
      </c>
      <c r="K16" s="21">
        <v>183.0</v>
      </c>
      <c r="L16" s="14" t="s">
        <v>94</v>
      </c>
      <c r="M16" s="8">
        <v>14.0</v>
      </c>
      <c r="N16" s="8">
        <v>79.0</v>
      </c>
      <c r="O16" s="8">
        <v>93.0</v>
      </c>
      <c r="Q16" s="54" t="s">
        <v>14</v>
      </c>
      <c r="R16" s="54">
        <f t="shared" si="3"/>
        <v>0</v>
      </c>
      <c r="S16" s="54" t="s">
        <v>6</v>
      </c>
      <c r="T16" s="54">
        <v>0.0</v>
      </c>
      <c r="U16" s="50" t="str">
        <f t="shared" si="7"/>
        <v/>
      </c>
      <c r="V16" s="14" t="str">
        <f t="shared" si="4"/>
        <v/>
      </c>
      <c r="W16" s="8" t="str">
        <f t="shared" si="5"/>
        <v/>
      </c>
    </row>
    <row r="17">
      <c r="A17" s="62">
        <f>Scores!A27</f>
        <v>16</v>
      </c>
      <c r="B17" s="54" t="str">
        <f>Compilation!D24</f>
        <v>🥇 x5</v>
      </c>
      <c r="C17" s="54">
        <f t="shared" si="1"/>
        <v>-0.000000006</v>
      </c>
      <c r="D17" s="54">
        <f>Compilation!F24</f>
        <v>43</v>
      </c>
      <c r="E17" s="54" t="str">
        <f t="shared" si="2"/>
        <v/>
      </c>
      <c r="F17" s="54">
        <f>Compilation!E24</f>
        <v>-1</v>
      </c>
      <c r="G17" s="54">
        <f>countif(Scores!B27:AG27,D17)</f>
        <v>6</v>
      </c>
      <c r="H17" s="54">
        <f>Compilation!G24</f>
        <v>-1</v>
      </c>
      <c r="J17" s="50">
        <f t="shared" si="6"/>
        <v>15</v>
      </c>
      <c r="K17" s="21">
        <v>77.0</v>
      </c>
      <c r="L17" s="14" t="s">
        <v>93</v>
      </c>
      <c r="M17" s="8">
        <v>14.0</v>
      </c>
      <c r="N17" s="8">
        <v>110.0</v>
      </c>
      <c r="O17" s="8">
        <v>124.0</v>
      </c>
      <c r="Q17" s="54" t="s">
        <v>15</v>
      </c>
      <c r="R17" s="54">
        <f t="shared" si="3"/>
        <v>0</v>
      </c>
      <c r="S17" s="54" t="s">
        <v>7</v>
      </c>
      <c r="T17" s="54">
        <v>0.0</v>
      </c>
      <c r="U17" s="50" t="str">
        <f t="shared" si="7"/>
        <v/>
      </c>
      <c r="V17" s="14" t="str">
        <f t="shared" si="4"/>
        <v/>
      </c>
      <c r="W17" s="8" t="str">
        <f t="shared" si="5"/>
        <v/>
      </c>
    </row>
    <row r="18">
      <c r="A18" s="62">
        <f>Scores!A28</f>
        <v>17</v>
      </c>
      <c r="B18" s="54" t="str">
        <f>Compilation!D25</f>
        <v>💎Code Golf International</v>
      </c>
      <c r="C18" s="54">
        <f t="shared" si="1"/>
        <v>9</v>
      </c>
      <c r="D18" s="54">
        <f>Compilation!F25</f>
        <v>90</v>
      </c>
      <c r="E18" s="54">
        <f t="shared" si="2"/>
        <v>99</v>
      </c>
      <c r="F18" s="54">
        <f>Compilation!E25</f>
        <v>90</v>
      </c>
      <c r="G18" s="54">
        <f>countif(Scores!B28:AG28,D18)</f>
        <v>1</v>
      </c>
      <c r="H18" s="54">
        <f>Compilation!G25</f>
        <v>99</v>
      </c>
      <c r="J18" s="50">
        <f t="shared" si="6"/>
        <v>15</v>
      </c>
      <c r="K18" s="21">
        <v>392.0</v>
      </c>
      <c r="L18" s="14" t="s">
        <v>94</v>
      </c>
      <c r="M18" s="8">
        <v>14.0</v>
      </c>
      <c r="N18" s="8">
        <v>135.0</v>
      </c>
      <c r="O18" s="8">
        <v>149.0</v>
      </c>
      <c r="Q18" s="54" t="s">
        <v>16</v>
      </c>
      <c r="R18" s="54">
        <f t="shared" si="3"/>
        <v>0</v>
      </c>
      <c r="S18" s="54" t="s">
        <v>9</v>
      </c>
      <c r="T18" s="54">
        <v>0.0</v>
      </c>
      <c r="U18" s="50" t="str">
        <f t="shared" si="7"/>
        <v/>
      </c>
      <c r="V18" s="14" t="str">
        <f t="shared" si="4"/>
        <v/>
      </c>
      <c r="W18" s="8" t="str">
        <f t="shared" si="5"/>
        <v/>
      </c>
    </row>
    <row r="19">
      <c r="A19" s="62">
        <f>Scores!A29</f>
        <v>18</v>
      </c>
      <c r="B19" s="54" t="str">
        <f>Compilation!D26</f>
        <v>💎ox jam</v>
      </c>
      <c r="C19" s="54">
        <f t="shared" si="1"/>
        <v>11</v>
      </c>
      <c r="D19" s="54">
        <f>Compilation!F26</f>
        <v>275</v>
      </c>
      <c r="E19" s="54">
        <f t="shared" si="2"/>
        <v>286</v>
      </c>
      <c r="F19" s="54">
        <f>Compilation!E26</f>
        <v>275</v>
      </c>
      <c r="G19" s="54">
        <f>countif(Scores!B29:AG29,D19)</f>
        <v>1</v>
      </c>
      <c r="H19" s="54">
        <f>Compilation!G26</f>
        <v>286</v>
      </c>
      <c r="J19" s="50">
        <f t="shared" si="6"/>
        <v>18</v>
      </c>
      <c r="K19" s="21">
        <v>9.0</v>
      </c>
      <c r="L19" s="14" t="s">
        <v>94</v>
      </c>
      <c r="M19" s="8">
        <v>12.0</v>
      </c>
      <c r="N19" s="8">
        <v>95.0</v>
      </c>
      <c r="O19" s="8">
        <v>107.0</v>
      </c>
      <c r="Q19" s="54" t="s">
        <v>17</v>
      </c>
      <c r="R19" s="54">
        <f t="shared" si="3"/>
        <v>0</v>
      </c>
      <c r="S19" s="54" t="s">
        <v>10</v>
      </c>
      <c r="T19" s="54">
        <v>0.0</v>
      </c>
      <c r="U19" s="50" t="str">
        <f t="shared" si="7"/>
        <v/>
      </c>
      <c r="V19" s="14" t="str">
        <f t="shared" si="4"/>
        <v/>
      </c>
      <c r="W19" s="8" t="str">
        <f t="shared" si="5"/>
        <v/>
      </c>
    </row>
    <row r="20">
      <c r="A20" s="62">
        <f>Scores!A30</f>
        <v>19</v>
      </c>
      <c r="B20" s="54" t="str">
        <f>Compilation!D27</f>
        <v>💎Code Golf International</v>
      </c>
      <c r="C20" s="54">
        <f t="shared" si="1"/>
        <v>1</v>
      </c>
      <c r="D20" s="54">
        <f>Compilation!F27</f>
        <v>103</v>
      </c>
      <c r="E20" s="54">
        <f t="shared" si="2"/>
        <v>104</v>
      </c>
      <c r="F20" s="54">
        <f>Compilation!E27</f>
        <v>103</v>
      </c>
      <c r="G20" s="54">
        <f>countif(Scores!B30:AG30,D20)</f>
        <v>2</v>
      </c>
      <c r="H20" s="54">
        <f>Compilation!G27</f>
        <v>104</v>
      </c>
      <c r="J20" s="50">
        <f t="shared" si="6"/>
        <v>19</v>
      </c>
      <c r="K20" s="21">
        <v>64.0</v>
      </c>
      <c r="L20" s="14" t="s">
        <v>94</v>
      </c>
      <c r="M20" s="8">
        <v>11.0</v>
      </c>
      <c r="N20" s="8">
        <v>135.0</v>
      </c>
      <c r="O20" s="8">
        <v>146.0</v>
      </c>
      <c r="Q20" s="54" t="s">
        <v>18</v>
      </c>
      <c r="R20" s="54">
        <f t="shared" si="3"/>
        <v>0</v>
      </c>
      <c r="S20" s="54" t="s">
        <v>12</v>
      </c>
      <c r="T20" s="54">
        <v>0.0</v>
      </c>
      <c r="U20" s="50" t="str">
        <f t="shared" si="7"/>
        <v/>
      </c>
      <c r="V20" s="14" t="str">
        <f t="shared" si="4"/>
        <v/>
      </c>
      <c r="W20" s="8" t="str">
        <f t="shared" si="5"/>
        <v/>
      </c>
    </row>
    <row r="21">
      <c r="A21" s="62">
        <f>Scores!A31</f>
        <v>20</v>
      </c>
      <c r="B21" s="54" t="str">
        <f>Compilation!D28</f>
        <v>💎LogicLynx</v>
      </c>
      <c r="C21" s="54">
        <f t="shared" si="1"/>
        <v>7</v>
      </c>
      <c r="D21" s="54">
        <f>Compilation!F28</f>
        <v>126</v>
      </c>
      <c r="E21" s="54">
        <f t="shared" si="2"/>
        <v>133</v>
      </c>
      <c r="F21" s="54">
        <f>Compilation!E28</f>
        <v>126</v>
      </c>
      <c r="G21" s="54">
        <f>countif(Scores!B31:AG31,D21)</f>
        <v>1</v>
      </c>
      <c r="H21" s="54">
        <f>Compilation!G28</f>
        <v>133</v>
      </c>
      <c r="J21" s="50">
        <f t="shared" si="6"/>
        <v>19</v>
      </c>
      <c r="K21" s="21">
        <v>325.0</v>
      </c>
      <c r="L21" s="14" t="s">
        <v>93</v>
      </c>
      <c r="M21" s="8">
        <v>11.0</v>
      </c>
      <c r="N21" s="8">
        <v>140.0</v>
      </c>
      <c r="O21" s="8">
        <v>151.0</v>
      </c>
      <c r="Q21" s="54" t="s">
        <v>19</v>
      </c>
      <c r="R21" s="54">
        <f t="shared" si="3"/>
        <v>0</v>
      </c>
      <c r="S21" s="54" t="s">
        <v>13</v>
      </c>
      <c r="T21" s="54">
        <v>0.0</v>
      </c>
      <c r="U21" s="50" t="str">
        <f t="shared" si="7"/>
        <v/>
      </c>
      <c r="V21" s="14" t="str">
        <f t="shared" si="4"/>
        <v/>
      </c>
      <c r="W21" s="8" t="str">
        <f t="shared" si="5"/>
        <v/>
      </c>
    </row>
    <row r="22">
      <c r="A22" s="62">
        <f>Scores!A32</f>
        <v>21</v>
      </c>
      <c r="B22" s="54" t="str">
        <f>Compilation!D29</f>
        <v>🥇 x2</v>
      </c>
      <c r="C22" s="54">
        <f t="shared" si="1"/>
        <v>-0.000000003</v>
      </c>
      <c r="D22" s="54">
        <f>Compilation!F29</f>
        <v>51</v>
      </c>
      <c r="E22" s="54" t="str">
        <f t="shared" si="2"/>
        <v/>
      </c>
      <c r="F22" s="54">
        <f>Compilation!E29</f>
        <v>-1</v>
      </c>
      <c r="G22" s="54">
        <f>countif(Scores!B32:AG32,D22)</f>
        <v>3</v>
      </c>
      <c r="H22" s="54">
        <f>Compilation!G29</f>
        <v>-1</v>
      </c>
      <c r="J22" s="50">
        <f t="shared" si="6"/>
        <v>19</v>
      </c>
      <c r="K22" s="21">
        <v>18.0</v>
      </c>
      <c r="L22" s="14" t="s">
        <v>93</v>
      </c>
      <c r="M22" s="8">
        <v>11.0</v>
      </c>
      <c r="N22" s="8">
        <v>275.0</v>
      </c>
      <c r="O22" s="8">
        <v>286.0</v>
      </c>
      <c r="Q22" s="54" t="s">
        <v>20</v>
      </c>
      <c r="R22" s="54">
        <f t="shared" si="3"/>
        <v>0</v>
      </c>
      <c r="S22" s="54" t="s">
        <v>14</v>
      </c>
      <c r="T22" s="54">
        <v>0.0</v>
      </c>
      <c r="U22" s="50" t="str">
        <f t="shared" si="7"/>
        <v/>
      </c>
      <c r="V22" s="14" t="str">
        <f t="shared" si="4"/>
        <v/>
      </c>
      <c r="W22" s="8" t="str">
        <f t="shared" si="5"/>
        <v/>
      </c>
    </row>
    <row r="23">
      <c r="A23" s="62">
        <f>Scores!A33</f>
        <v>22</v>
      </c>
      <c r="B23" s="54" t="str">
        <f>Compilation!D30</f>
        <v>💎Code Golf International</v>
      </c>
      <c r="C23" s="54">
        <f t="shared" si="1"/>
        <v>1</v>
      </c>
      <c r="D23" s="54">
        <f>Compilation!F30</f>
        <v>91</v>
      </c>
      <c r="E23" s="54">
        <f t="shared" si="2"/>
        <v>92</v>
      </c>
      <c r="F23" s="54">
        <f>Compilation!E30</f>
        <v>91</v>
      </c>
      <c r="G23" s="54">
        <f>countif(Scores!B33:AG33,D23)</f>
        <v>2</v>
      </c>
      <c r="H23" s="54">
        <f>Compilation!G30</f>
        <v>92</v>
      </c>
      <c r="J23" s="50">
        <f t="shared" si="6"/>
        <v>22</v>
      </c>
      <c r="K23" s="21">
        <v>14.0</v>
      </c>
      <c r="L23" s="14" t="s">
        <v>94</v>
      </c>
      <c r="M23" s="8">
        <v>10.0</v>
      </c>
      <c r="N23" s="8">
        <v>57.0</v>
      </c>
      <c r="O23" s="8">
        <v>67.0</v>
      </c>
      <c r="Q23" s="54" t="s">
        <v>21</v>
      </c>
      <c r="R23" s="54">
        <f t="shared" si="3"/>
        <v>6</v>
      </c>
      <c r="S23" s="54" t="s">
        <v>15</v>
      </c>
      <c r="T23" s="54">
        <v>0.0</v>
      </c>
      <c r="U23" s="50" t="str">
        <f t="shared" si="7"/>
        <v/>
      </c>
      <c r="V23" s="14" t="str">
        <f t="shared" si="4"/>
        <v/>
      </c>
      <c r="W23" s="8" t="str">
        <f t="shared" si="5"/>
        <v/>
      </c>
    </row>
    <row r="24">
      <c r="A24" s="62">
        <f>Scores!A34</f>
        <v>23</v>
      </c>
      <c r="B24" s="54" t="str">
        <f>Compilation!D31</f>
        <v>💎ox jam</v>
      </c>
      <c r="C24" s="54">
        <f t="shared" si="1"/>
        <v>9</v>
      </c>
      <c r="D24" s="54">
        <f>Compilation!F31</f>
        <v>182</v>
      </c>
      <c r="E24" s="54">
        <f t="shared" si="2"/>
        <v>191</v>
      </c>
      <c r="F24" s="54">
        <f>Compilation!E31</f>
        <v>182</v>
      </c>
      <c r="G24" s="54">
        <f>countif(Scores!B34:AG34,D24)</f>
        <v>1</v>
      </c>
      <c r="H24" s="54">
        <f>Compilation!G31</f>
        <v>191</v>
      </c>
      <c r="J24" s="50">
        <f t="shared" si="6"/>
        <v>22</v>
      </c>
      <c r="K24" s="21">
        <v>266.0</v>
      </c>
      <c r="L24" s="14" t="s">
        <v>94</v>
      </c>
      <c r="M24" s="8">
        <v>10.0</v>
      </c>
      <c r="N24" s="8">
        <v>88.0</v>
      </c>
      <c r="O24" s="8">
        <v>98.0</v>
      </c>
      <c r="Q24" s="54" t="s">
        <v>22</v>
      </c>
      <c r="R24" s="54">
        <f t="shared" si="3"/>
        <v>0</v>
      </c>
      <c r="S24" s="54" t="s">
        <v>16</v>
      </c>
      <c r="T24" s="54">
        <v>0.0</v>
      </c>
      <c r="U24" s="50" t="str">
        <f t="shared" si="7"/>
        <v/>
      </c>
      <c r="V24" s="14" t="str">
        <f t="shared" si="4"/>
        <v/>
      </c>
      <c r="W24" s="8" t="str">
        <f t="shared" si="5"/>
        <v/>
      </c>
    </row>
    <row r="25">
      <c r="A25" s="62">
        <f>Scores!A35</f>
        <v>24</v>
      </c>
      <c r="B25" s="54" t="str">
        <f>Compilation!D32</f>
        <v>🥇 x10</v>
      </c>
      <c r="C25" s="54">
        <f t="shared" si="1"/>
        <v>-0.000000011</v>
      </c>
      <c r="D25" s="54">
        <f>Compilation!F32</f>
        <v>62</v>
      </c>
      <c r="E25" s="54" t="str">
        <f t="shared" si="2"/>
        <v/>
      </c>
      <c r="F25" s="54">
        <f>Compilation!E32</f>
        <v>-1</v>
      </c>
      <c r="G25" s="54">
        <f>countif(Scores!B35:AG35,D25)</f>
        <v>11</v>
      </c>
      <c r="H25" s="54">
        <f>Compilation!G32</f>
        <v>-1</v>
      </c>
      <c r="J25" s="50">
        <f t="shared" si="6"/>
        <v>22</v>
      </c>
      <c r="K25" s="21">
        <v>240.0</v>
      </c>
      <c r="L25" s="14" t="s">
        <v>96</v>
      </c>
      <c r="M25" s="8">
        <v>10.0</v>
      </c>
      <c r="N25" s="8">
        <v>89.0</v>
      </c>
      <c r="O25" s="8">
        <v>99.0</v>
      </c>
      <c r="Q25" s="54" t="s">
        <v>23</v>
      </c>
      <c r="R25" s="54">
        <f t="shared" si="3"/>
        <v>0</v>
      </c>
      <c r="S25" s="54" t="s">
        <v>17</v>
      </c>
      <c r="T25" s="54">
        <v>0.0</v>
      </c>
      <c r="U25" s="50" t="str">
        <f t="shared" si="7"/>
        <v/>
      </c>
      <c r="V25" s="14" t="str">
        <f t="shared" si="4"/>
        <v/>
      </c>
      <c r="W25" s="8" t="str">
        <f t="shared" si="5"/>
        <v/>
      </c>
    </row>
    <row r="26">
      <c r="A26" s="62">
        <f>Scores!A36</f>
        <v>25</v>
      </c>
      <c r="B26" s="54" t="str">
        <f>Compilation!D33</f>
        <v>💎Code Golf International</v>
      </c>
      <c r="C26" s="54">
        <f t="shared" si="1"/>
        <v>7</v>
      </c>
      <c r="D26" s="54">
        <f>Compilation!F33</f>
        <v>127</v>
      </c>
      <c r="E26" s="54">
        <f t="shared" si="2"/>
        <v>134</v>
      </c>
      <c r="F26" s="54">
        <f>Compilation!E33</f>
        <v>127</v>
      </c>
      <c r="G26" s="54">
        <f>countif(Scores!B36:AG36,D26)</f>
        <v>2</v>
      </c>
      <c r="H26" s="54">
        <f>Compilation!G33</f>
        <v>134</v>
      </c>
      <c r="J26" s="50">
        <f t="shared" si="6"/>
        <v>22</v>
      </c>
      <c r="K26" s="21">
        <v>99.0</v>
      </c>
      <c r="L26" s="14" t="s">
        <v>94</v>
      </c>
      <c r="M26" s="8">
        <v>10.0</v>
      </c>
      <c r="N26" s="8">
        <v>93.0</v>
      </c>
      <c r="O26" s="8">
        <v>103.0</v>
      </c>
      <c r="Q26" s="54" t="s">
        <v>24</v>
      </c>
      <c r="R26" s="54">
        <f t="shared" si="3"/>
        <v>0</v>
      </c>
      <c r="S26" s="54" t="s">
        <v>18</v>
      </c>
      <c r="T26" s="54">
        <v>0.0</v>
      </c>
      <c r="U26" s="50" t="str">
        <f t="shared" si="7"/>
        <v/>
      </c>
      <c r="V26" s="14" t="str">
        <f t="shared" si="4"/>
        <v/>
      </c>
      <c r="W26" s="8" t="str">
        <f t="shared" si="5"/>
        <v/>
      </c>
    </row>
    <row r="27">
      <c r="A27" s="62">
        <f>Scores!A37</f>
        <v>26</v>
      </c>
      <c r="B27" s="54" t="str">
        <f>Compilation!D34</f>
        <v>🥇 x4</v>
      </c>
      <c r="C27" s="54">
        <f t="shared" si="1"/>
        <v>-0.000000005</v>
      </c>
      <c r="D27" s="54">
        <f>Compilation!F34</f>
        <v>50</v>
      </c>
      <c r="E27" s="54" t="str">
        <f t="shared" si="2"/>
        <v/>
      </c>
      <c r="F27" s="54">
        <f>Compilation!E34</f>
        <v>-1</v>
      </c>
      <c r="G27" s="54">
        <f>countif(Scores!B37:AG37,D27)</f>
        <v>5</v>
      </c>
      <c r="H27" s="54">
        <f>Compilation!G34</f>
        <v>-1</v>
      </c>
      <c r="J27" s="50">
        <f t="shared" si="6"/>
        <v>22</v>
      </c>
      <c r="K27" s="21">
        <v>192.0</v>
      </c>
      <c r="L27" s="14" t="s">
        <v>95</v>
      </c>
      <c r="M27" s="8">
        <v>10.0</v>
      </c>
      <c r="N27" s="8">
        <v>99.0</v>
      </c>
      <c r="O27" s="8">
        <v>109.0</v>
      </c>
      <c r="Q27" s="54" t="s">
        <v>25</v>
      </c>
      <c r="R27" s="54">
        <f t="shared" si="3"/>
        <v>1</v>
      </c>
      <c r="S27" s="54" t="s">
        <v>19</v>
      </c>
      <c r="T27" s="54">
        <v>0.0</v>
      </c>
      <c r="U27" s="50" t="str">
        <f t="shared" si="7"/>
        <v/>
      </c>
      <c r="V27" s="14" t="str">
        <f t="shared" si="4"/>
        <v/>
      </c>
      <c r="W27" s="8" t="str">
        <f t="shared" si="5"/>
        <v/>
      </c>
    </row>
    <row r="28">
      <c r="A28" s="62">
        <f>Scores!A38</f>
        <v>27</v>
      </c>
      <c r="B28" s="54" t="str">
        <f>Compilation!D35</f>
        <v>💎Code Golf International</v>
      </c>
      <c r="C28" s="54">
        <f t="shared" si="1"/>
        <v>6</v>
      </c>
      <c r="D28" s="54">
        <f>Compilation!F35</f>
        <v>97</v>
      </c>
      <c r="E28" s="54">
        <f t="shared" si="2"/>
        <v>103</v>
      </c>
      <c r="F28" s="54">
        <f>Compilation!E35</f>
        <v>97</v>
      </c>
      <c r="G28" s="54">
        <f>countif(Scores!B38:AG38,D28)</f>
        <v>2</v>
      </c>
      <c r="H28" s="54">
        <f>Compilation!G35</f>
        <v>103</v>
      </c>
      <c r="J28" s="50">
        <f t="shared" si="6"/>
        <v>22</v>
      </c>
      <c r="K28" s="21">
        <v>165.0</v>
      </c>
      <c r="L28" s="14" t="s">
        <v>94</v>
      </c>
      <c r="M28" s="8">
        <v>10.0</v>
      </c>
      <c r="N28" s="8">
        <v>112.0</v>
      </c>
      <c r="O28" s="8">
        <v>122.0</v>
      </c>
      <c r="Q28" s="54" t="s">
        <v>26</v>
      </c>
      <c r="R28" s="54">
        <f t="shared" si="3"/>
        <v>0</v>
      </c>
      <c r="S28" s="54" t="s">
        <v>20</v>
      </c>
      <c r="T28" s="54">
        <v>0.0</v>
      </c>
      <c r="U28" s="50" t="str">
        <f t="shared" si="7"/>
        <v/>
      </c>
      <c r="V28" s="14" t="str">
        <f t="shared" si="4"/>
        <v/>
      </c>
      <c r="W28" s="8" t="str">
        <f t="shared" si="5"/>
        <v/>
      </c>
    </row>
    <row r="29">
      <c r="A29" s="62">
        <f>Scores!A39</f>
        <v>28</v>
      </c>
      <c r="B29" s="54" t="str">
        <f>Compilation!D36</f>
        <v>🥇 x3</v>
      </c>
      <c r="C29" s="54">
        <f t="shared" si="1"/>
        <v>-0.000000004</v>
      </c>
      <c r="D29" s="54">
        <f>Compilation!F36</f>
        <v>63</v>
      </c>
      <c r="E29" s="54" t="str">
        <f t="shared" si="2"/>
        <v/>
      </c>
      <c r="F29" s="54">
        <f>Compilation!E36</f>
        <v>-1</v>
      </c>
      <c r="G29" s="54">
        <f>countif(Scores!B39:AG39,D29)</f>
        <v>4</v>
      </c>
      <c r="H29" s="54">
        <f>Compilation!G36</f>
        <v>-1</v>
      </c>
      <c r="J29" s="50">
        <f t="shared" si="6"/>
        <v>22</v>
      </c>
      <c r="K29" s="21">
        <v>156.0</v>
      </c>
      <c r="L29" s="14" t="s">
        <v>94</v>
      </c>
      <c r="M29" s="8">
        <v>10.0</v>
      </c>
      <c r="N29" s="8">
        <v>118.0</v>
      </c>
      <c r="O29" s="8">
        <v>128.0</v>
      </c>
      <c r="Q29" s="54" t="s">
        <v>27</v>
      </c>
      <c r="R29" s="54">
        <f t="shared" si="3"/>
        <v>0</v>
      </c>
      <c r="S29" s="54" t="s">
        <v>22</v>
      </c>
      <c r="T29" s="54">
        <v>0.0</v>
      </c>
      <c r="U29" s="50" t="str">
        <f t="shared" si="7"/>
        <v/>
      </c>
      <c r="V29" s="14" t="str">
        <f t="shared" si="4"/>
        <v/>
      </c>
      <c r="W29" s="8" t="str">
        <f t="shared" si="5"/>
        <v/>
      </c>
    </row>
    <row r="30">
      <c r="A30" s="62">
        <f>Scores!A40</f>
        <v>29</v>
      </c>
      <c r="B30" s="54" t="str">
        <f>Compilation!D37</f>
        <v>💎Code Golf International</v>
      </c>
      <c r="C30" s="54">
        <f t="shared" si="1"/>
        <v>5</v>
      </c>
      <c r="D30" s="54">
        <f>Compilation!F37</f>
        <v>103</v>
      </c>
      <c r="E30" s="54">
        <f t="shared" si="2"/>
        <v>108</v>
      </c>
      <c r="F30" s="54">
        <f>Compilation!E37</f>
        <v>103</v>
      </c>
      <c r="G30" s="54">
        <f>countif(Scores!B40:AG40,D30)</f>
        <v>2</v>
      </c>
      <c r="H30" s="54">
        <f>Compilation!G37</f>
        <v>108</v>
      </c>
      <c r="J30" s="50">
        <f t="shared" si="6"/>
        <v>22</v>
      </c>
      <c r="K30" s="21">
        <v>145.0</v>
      </c>
      <c r="L30" s="14" t="s">
        <v>93</v>
      </c>
      <c r="M30" s="8">
        <v>10.0</v>
      </c>
      <c r="N30" s="8">
        <v>157.0</v>
      </c>
      <c r="O30" s="8">
        <v>167.0</v>
      </c>
      <c r="Q30" s="54" t="s">
        <v>28</v>
      </c>
      <c r="R30" s="54">
        <f t="shared" si="3"/>
        <v>0</v>
      </c>
      <c r="S30" s="54" t="s">
        <v>23</v>
      </c>
      <c r="T30" s="54">
        <v>0.0</v>
      </c>
      <c r="U30" s="50" t="str">
        <f t="shared" si="7"/>
        <v/>
      </c>
      <c r="V30" s="14" t="str">
        <f t="shared" si="4"/>
        <v/>
      </c>
      <c r="W30" s="8" t="str">
        <f t="shared" si="5"/>
        <v/>
      </c>
    </row>
    <row r="31">
      <c r="A31" s="62">
        <f>Scores!A41</f>
        <v>30</v>
      </c>
      <c r="B31" s="54" t="str">
        <f>Compilation!D38</f>
        <v>🥇 x3</v>
      </c>
      <c r="C31" s="54">
        <f t="shared" si="1"/>
        <v>-0.000000003</v>
      </c>
      <c r="D31" s="54">
        <f>Compilation!F38</f>
        <v>93</v>
      </c>
      <c r="E31" s="54" t="str">
        <f t="shared" si="2"/>
        <v/>
      </c>
      <c r="F31" s="54">
        <f>Compilation!E38</f>
        <v>-1</v>
      </c>
      <c r="G31" s="54">
        <f>countif(Scores!B41:AG41,D31)</f>
        <v>3</v>
      </c>
      <c r="H31" s="54">
        <f>Compilation!G38</f>
        <v>-1</v>
      </c>
      <c r="J31" s="50">
        <f t="shared" si="6"/>
        <v>22</v>
      </c>
      <c r="K31" s="21">
        <v>255.0</v>
      </c>
      <c r="L31" s="14" t="s">
        <v>93</v>
      </c>
      <c r="M31" s="8">
        <v>10.0</v>
      </c>
      <c r="N31" s="8">
        <v>212.0</v>
      </c>
      <c r="O31" s="8">
        <v>222.0</v>
      </c>
      <c r="Q31" s="54" t="s">
        <v>29</v>
      </c>
      <c r="R31" s="54">
        <f t="shared" si="3"/>
        <v>0</v>
      </c>
      <c r="S31" s="54" t="s">
        <v>24</v>
      </c>
      <c r="T31" s="54">
        <v>0.0</v>
      </c>
      <c r="U31" s="50" t="str">
        <f t="shared" si="7"/>
        <v/>
      </c>
      <c r="V31" s="14" t="str">
        <f t="shared" si="4"/>
        <v/>
      </c>
      <c r="W31" s="8" t="str">
        <f t="shared" si="5"/>
        <v/>
      </c>
    </row>
    <row r="32">
      <c r="A32" s="62">
        <f>Scores!A42</f>
        <v>31</v>
      </c>
      <c r="B32" s="54" t="str">
        <f>Compilation!D39</f>
        <v>🥇 x4</v>
      </c>
      <c r="C32" s="54">
        <f t="shared" si="1"/>
        <v>-0.000000005</v>
      </c>
      <c r="D32" s="54">
        <f>Compilation!F39</f>
        <v>45</v>
      </c>
      <c r="E32" s="54" t="str">
        <f t="shared" si="2"/>
        <v/>
      </c>
      <c r="F32" s="54">
        <f>Compilation!E39</f>
        <v>-1</v>
      </c>
      <c r="G32" s="54">
        <f>countif(Scores!B42:AG42,D32)</f>
        <v>5</v>
      </c>
      <c r="H32" s="54">
        <f>Compilation!G39</f>
        <v>-1</v>
      </c>
      <c r="J32" s="50">
        <f t="shared" si="6"/>
        <v>22</v>
      </c>
      <c r="K32" s="21">
        <v>233.0</v>
      </c>
      <c r="L32" s="14" t="s">
        <v>95</v>
      </c>
      <c r="M32" s="8">
        <v>10.0</v>
      </c>
      <c r="N32" s="8">
        <v>261.0</v>
      </c>
      <c r="O32" s="8">
        <v>271.0</v>
      </c>
      <c r="Q32" s="54" t="s">
        <v>30</v>
      </c>
      <c r="R32" s="54">
        <f t="shared" si="3"/>
        <v>0</v>
      </c>
      <c r="S32" s="54" t="s">
        <v>26</v>
      </c>
      <c r="T32" s="54">
        <v>0.0</v>
      </c>
      <c r="U32" s="50" t="str">
        <f t="shared" si="7"/>
        <v/>
      </c>
      <c r="V32" s="14" t="str">
        <f t="shared" si="4"/>
        <v/>
      </c>
      <c r="W32" s="8" t="str">
        <f t="shared" si="5"/>
        <v/>
      </c>
    </row>
    <row r="33">
      <c r="A33" s="62">
        <f>Scores!A43</f>
        <v>32</v>
      </c>
      <c r="B33" s="54" t="str">
        <f>Compilation!D40</f>
        <v>🥇 x36</v>
      </c>
      <c r="C33" s="54">
        <f t="shared" si="1"/>
        <v>-0.000000037</v>
      </c>
      <c r="D33" s="54">
        <f>Compilation!F40</f>
        <v>39</v>
      </c>
      <c r="E33" s="54" t="str">
        <f t="shared" si="2"/>
        <v/>
      </c>
      <c r="F33" s="54">
        <f>Compilation!E40</f>
        <v>-1</v>
      </c>
      <c r="G33" s="54">
        <f>countif(Scores!B43:AG43,D33)</f>
        <v>37</v>
      </c>
      <c r="H33" s="54">
        <f>Compilation!G40</f>
        <v>-1</v>
      </c>
      <c r="J33" s="50">
        <f t="shared" si="6"/>
        <v>32</v>
      </c>
      <c r="K33" s="21">
        <v>147.0</v>
      </c>
      <c r="L33" s="14" t="s">
        <v>93</v>
      </c>
      <c r="M33" s="8">
        <v>9.0</v>
      </c>
      <c r="N33" s="8">
        <v>72.0</v>
      </c>
      <c r="O33" s="8">
        <v>81.0</v>
      </c>
      <c r="Q33" s="54" t="s">
        <v>31</v>
      </c>
      <c r="R33" s="54">
        <f t="shared" si="3"/>
        <v>0</v>
      </c>
      <c r="S33" s="54" t="s">
        <v>27</v>
      </c>
      <c r="T33" s="54">
        <v>0.0</v>
      </c>
      <c r="U33" s="50" t="str">
        <f t="shared" si="7"/>
        <v/>
      </c>
      <c r="V33" s="14" t="str">
        <f t="shared" si="4"/>
        <v/>
      </c>
      <c r="W33" s="8" t="str">
        <f t="shared" si="5"/>
        <v/>
      </c>
    </row>
    <row r="34">
      <c r="A34" s="62">
        <f>Scores!A44</f>
        <v>33</v>
      </c>
      <c r="B34" s="54" t="str">
        <f>Compilation!D41</f>
        <v>💎Code Golf International</v>
      </c>
      <c r="C34" s="54">
        <f t="shared" si="1"/>
        <v>2</v>
      </c>
      <c r="D34" s="54">
        <f>Compilation!F41</f>
        <v>71</v>
      </c>
      <c r="E34" s="54">
        <f t="shared" si="2"/>
        <v>73</v>
      </c>
      <c r="F34" s="54">
        <f>Compilation!E41</f>
        <v>71</v>
      </c>
      <c r="G34" s="54">
        <f>countif(Scores!B44:AG44,D34)</f>
        <v>2</v>
      </c>
      <c r="H34" s="54">
        <f>Compilation!G41</f>
        <v>73</v>
      </c>
      <c r="J34" s="50">
        <f t="shared" si="6"/>
        <v>32</v>
      </c>
      <c r="K34" s="21">
        <v>17.0</v>
      </c>
      <c r="L34" s="14" t="s">
        <v>94</v>
      </c>
      <c r="M34" s="8">
        <v>9.0</v>
      </c>
      <c r="N34" s="8">
        <v>90.0</v>
      </c>
      <c r="O34" s="8">
        <v>99.0</v>
      </c>
      <c r="Q34" s="54" t="s">
        <v>32</v>
      </c>
      <c r="R34" s="54">
        <f t="shared" si="3"/>
        <v>0</v>
      </c>
      <c r="S34" s="54" t="s">
        <v>28</v>
      </c>
      <c r="T34" s="54">
        <v>0.0</v>
      </c>
      <c r="U34" s="50" t="str">
        <f t="shared" si="7"/>
        <v/>
      </c>
      <c r="V34" s="14" t="str">
        <f t="shared" si="4"/>
        <v/>
      </c>
      <c r="W34" s="8" t="str">
        <f t="shared" si="5"/>
        <v/>
      </c>
    </row>
    <row r="35">
      <c r="A35" s="62">
        <f>Scores!A45</f>
        <v>34</v>
      </c>
      <c r="B35" s="54" t="str">
        <f>Compilation!D42</f>
        <v>💎Code Golf International</v>
      </c>
      <c r="C35" s="54">
        <f t="shared" si="1"/>
        <v>9</v>
      </c>
      <c r="D35" s="54">
        <f>Compilation!F42</f>
        <v>116</v>
      </c>
      <c r="E35" s="54">
        <f t="shared" si="2"/>
        <v>125</v>
      </c>
      <c r="F35" s="54">
        <f>Compilation!E42</f>
        <v>116</v>
      </c>
      <c r="G35" s="54">
        <f>countif(Scores!B45:AG45,D35)</f>
        <v>2</v>
      </c>
      <c r="H35" s="54">
        <f>Compilation!G42</f>
        <v>125</v>
      </c>
      <c r="J35" s="50">
        <f t="shared" si="6"/>
        <v>32</v>
      </c>
      <c r="K35" s="21">
        <v>222.0</v>
      </c>
      <c r="L35" s="14" t="s">
        <v>93</v>
      </c>
      <c r="M35" s="8">
        <v>9.0</v>
      </c>
      <c r="N35" s="8">
        <v>93.0</v>
      </c>
      <c r="O35" s="8">
        <v>102.0</v>
      </c>
      <c r="Q35" s="54" t="s">
        <v>33</v>
      </c>
      <c r="R35" s="54">
        <f t="shared" si="3"/>
        <v>0</v>
      </c>
      <c r="S35" s="54" t="s">
        <v>29</v>
      </c>
      <c r="T35" s="54">
        <v>0.0</v>
      </c>
      <c r="U35" s="50" t="str">
        <f t="shared" si="7"/>
        <v/>
      </c>
      <c r="V35" s="14" t="str">
        <f t="shared" si="4"/>
        <v/>
      </c>
      <c r="W35" s="8" t="str">
        <f t="shared" si="5"/>
        <v/>
      </c>
    </row>
    <row r="36">
      <c r="A36" s="62">
        <f>Scores!A46</f>
        <v>35</v>
      </c>
      <c r="B36" s="54" t="str">
        <f>Compilation!D43</f>
        <v>🥇 x2</v>
      </c>
      <c r="C36" s="54">
        <f t="shared" si="1"/>
        <v>-0.000000003</v>
      </c>
      <c r="D36" s="54">
        <f>Compilation!F43</f>
        <v>82</v>
      </c>
      <c r="E36" s="54" t="str">
        <f t="shared" si="2"/>
        <v/>
      </c>
      <c r="F36" s="54">
        <f>Compilation!E43</f>
        <v>-1</v>
      </c>
      <c r="G36" s="54">
        <f>countif(Scores!B46:AG46,D36)</f>
        <v>3</v>
      </c>
      <c r="H36" s="54">
        <f>Compilation!G43</f>
        <v>-1</v>
      </c>
      <c r="J36" s="50">
        <f t="shared" si="6"/>
        <v>32</v>
      </c>
      <c r="K36" s="21">
        <v>34.0</v>
      </c>
      <c r="L36" s="14" t="s">
        <v>94</v>
      </c>
      <c r="M36" s="8">
        <v>9.0</v>
      </c>
      <c r="N36" s="8">
        <v>116.0</v>
      </c>
      <c r="O36" s="8">
        <v>125.0</v>
      </c>
      <c r="Q36" s="54" t="s">
        <v>34</v>
      </c>
      <c r="R36" s="54">
        <f t="shared" si="3"/>
        <v>0</v>
      </c>
      <c r="S36" s="54" t="s">
        <v>30</v>
      </c>
      <c r="T36" s="54">
        <v>0.0</v>
      </c>
      <c r="U36" s="50" t="str">
        <f t="shared" si="7"/>
        <v/>
      </c>
      <c r="V36" s="14" t="str">
        <f t="shared" si="4"/>
        <v/>
      </c>
      <c r="W36" s="8" t="str">
        <f t="shared" si="5"/>
        <v/>
      </c>
    </row>
    <row r="37">
      <c r="A37" s="62">
        <f>Scores!A47</f>
        <v>36</v>
      </c>
      <c r="B37" s="54" t="str">
        <f>Compilation!D44</f>
        <v>🥇 x3</v>
      </c>
      <c r="C37" s="54">
        <f t="shared" si="1"/>
        <v>-0.000000004</v>
      </c>
      <c r="D37" s="54">
        <f>Compilation!F44</f>
        <v>75</v>
      </c>
      <c r="E37" s="54" t="str">
        <f t="shared" si="2"/>
        <v/>
      </c>
      <c r="F37" s="54">
        <f>Compilation!E44</f>
        <v>-1</v>
      </c>
      <c r="G37" s="54">
        <f>countif(Scores!B47:AG47,D37)</f>
        <v>4</v>
      </c>
      <c r="H37" s="54">
        <f>Compilation!G44</f>
        <v>-1</v>
      </c>
      <c r="J37" s="50">
        <f t="shared" si="6"/>
        <v>32</v>
      </c>
      <c r="K37" s="21">
        <v>23.0</v>
      </c>
      <c r="L37" s="14" t="s">
        <v>93</v>
      </c>
      <c r="M37" s="8">
        <v>9.0</v>
      </c>
      <c r="N37" s="8">
        <v>182.0</v>
      </c>
      <c r="O37" s="8">
        <v>191.0</v>
      </c>
      <c r="Q37" s="54" t="s">
        <v>35</v>
      </c>
      <c r="R37" s="54">
        <f t="shared" si="3"/>
        <v>0</v>
      </c>
      <c r="S37" s="54" t="s">
        <v>31</v>
      </c>
      <c r="T37" s="54">
        <v>0.0</v>
      </c>
      <c r="U37" s="50" t="str">
        <f t="shared" si="7"/>
        <v/>
      </c>
      <c r="V37" s="14" t="str">
        <f t="shared" si="4"/>
        <v/>
      </c>
      <c r="W37" s="8" t="str">
        <f t="shared" si="5"/>
        <v/>
      </c>
    </row>
    <row r="38">
      <c r="A38" s="62">
        <f>Scores!A48</f>
        <v>37</v>
      </c>
      <c r="B38" s="54" t="str">
        <f>Compilation!D45</f>
        <v>💎Code Golf International</v>
      </c>
      <c r="C38" s="54">
        <f t="shared" si="1"/>
        <v>3</v>
      </c>
      <c r="D38" s="54">
        <f>Compilation!F45</f>
        <v>101</v>
      </c>
      <c r="E38" s="54">
        <f t="shared" si="2"/>
        <v>104</v>
      </c>
      <c r="F38" s="54">
        <f>Compilation!E45</f>
        <v>101</v>
      </c>
      <c r="G38" s="54">
        <f>countif(Scores!B48:AG48,D38)</f>
        <v>2</v>
      </c>
      <c r="H38" s="54">
        <f>Compilation!G45</f>
        <v>104</v>
      </c>
      <c r="J38" s="50">
        <f t="shared" si="6"/>
        <v>32</v>
      </c>
      <c r="K38" s="21">
        <v>387.0</v>
      </c>
      <c r="L38" s="14" t="s">
        <v>94</v>
      </c>
      <c r="M38" s="8">
        <v>9.0</v>
      </c>
      <c r="N38" s="8">
        <v>192.0</v>
      </c>
      <c r="O38" s="8">
        <v>201.0</v>
      </c>
      <c r="Q38" s="54" t="s">
        <v>36</v>
      </c>
      <c r="R38" s="54">
        <f t="shared" si="3"/>
        <v>0</v>
      </c>
      <c r="S38" s="54" t="s">
        <v>32</v>
      </c>
      <c r="T38" s="54">
        <v>0.0</v>
      </c>
      <c r="U38" s="50" t="str">
        <f t="shared" si="7"/>
        <v/>
      </c>
      <c r="V38" s="14" t="str">
        <f t="shared" si="4"/>
        <v/>
      </c>
      <c r="W38" s="8" t="str">
        <f t="shared" si="5"/>
        <v/>
      </c>
    </row>
    <row r="39">
      <c r="A39" s="62">
        <f>Scores!A49</f>
        <v>38</v>
      </c>
      <c r="B39" s="54" t="str">
        <f>Compilation!D46</f>
        <v>🥇 x13</v>
      </c>
      <c r="C39" s="54">
        <f t="shared" si="1"/>
        <v>-0.000000014</v>
      </c>
      <c r="D39" s="54">
        <f>Compilation!F46</f>
        <v>51</v>
      </c>
      <c r="E39" s="54" t="str">
        <f t="shared" si="2"/>
        <v/>
      </c>
      <c r="F39" s="54">
        <f>Compilation!E46</f>
        <v>-1</v>
      </c>
      <c r="G39" s="54">
        <f>countif(Scores!B49:AG49,D39)</f>
        <v>14</v>
      </c>
      <c r="H39" s="54">
        <f>Compilation!G46</f>
        <v>-1</v>
      </c>
      <c r="J39" s="50">
        <f t="shared" si="6"/>
        <v>32</v>
      </c>
      <c r="K39" s="21">
        <v>319.0</v>
      </c>
      <c r="L39" s="14" t="s">
        <v>95</v>
      </c>
      <c r="M39" s="8">
        <v>9.0</v>
      </c>
      <c r="N39" s="8">
        <v>194.0</v>
      </c>
      <c r="O39" s="8">
        <v>203.0</v>
      </c>
      <c r="Q39" s="54" t="s">
        <v>37</v>
      </c>
      <c r="R39" s="54">
        <f t="shared" si="3"/>
        <v>2</v>
      </c>
      <c r="S39" s="54" t="s">
        <v>33</v>
      </c>
      <c r="T39" s="54">
        <v>0.0</v>
      </c>
      <c r="U39" s="50" t="str">
        <f t="shared" si="7"/>
        <v/>
      </c>
      <c r="V39" s="14" t="str">
        <f t="shared" si="4"/>
        <v/>
      </c>
      <c r="W39" s="8" t="str">
        <f t="shared" si="5"/>
        <v/>
      </c>
    </row>
    <row r="40">
      <c r="A40" s="62">
        <f>Scores!A50</f>
        <v>39</v>
      </c>
      <c r="B40" s="54" t="str">
        <f>Compilation!D47</f>
        <v>🥇 x5</v>
      </c>
      <c r="C40" s="54">
        <f t="shared" si="1"/>
        <v>-0.000000006</v>
      </c>
      <c r="D40" s="54">
        <f>Compilation!F47</f>
        <v>60</v>
      </c>
      <c r="E40" s="54" t="str">
        <f t="shared" si="2"/>
        <v/>
      </c>
      <c r="F40" s="54">
        <f>Compilation!E47</f>
        <v>-1</v>
      </c>
      <c r="G40" s="54">
        <f>countif(Scores!B50:AG50,D40)</f>
        <v>6</v>
      </c>
      <c r="H40" s="54">
        <f>Compilation!G47</f>
        <v>-1</v>
      </c>
      <c r="J40" s="50">
        <f t="shared" si="6"/>
        <v>32</v>
      </c>
      <c r="K40" s="21">
        <v>284.0</v>
      </c>
      <c r="L40" s="14" t="s">
        <v>95</v>
      </c>
      <c r="M40" s="8">
        <v>9.0</v>
      </c>
      <c r="N40" s="8">
        <v>195.0</v>
      </c>
      <c r="O40" s="8">
        <v>204.0</v>
      </c>
      <c r="Q40" s="54" t="s">
        <v>38</v>
      </c>
      <c r="R40" s="54">
        <f t="shared" si="3"/>
        <v>0</v>
      </c>
      <c r="S40" s="54" t="s">
        <v>34</v>
      </c>
      <c r="T40" s="54">
        <v>0.0</v>
      </c>
      <c r="U40" s="50" t="str">
        <f t="shared" si="7"/>
        <v/>
      </c>
      <c r="V40" s="14" t="str">
        <f t="shared" si="4"/>
        <v/>
      </c>
      <c r="W40" s="8" t="str">
        <f t="shared" si="5"/>
        <v/>
      </c>
    </row>
    <row r="41">
      <c r="A41" s="62">
        <f>Scores!A51</f>
        <v>40</v>
      </c>
      <c r="B41" s="54" t="str">
        <f>Compilation!D48</f>
        <v>💎Code Golf International</v>
      </c>
      <c r="C41" s="54">
        <f t="shared" si="1"/>
        <v>6</v>
      </c>
      <c r="D41" s="54">
        <f>Compilation!F48</f>
        <v>63</v>
      </c>
      <c r="E41" s="54">
        <f t="shared" si="2"/>
        <v>69</v>
      </c>
      <c r="F41" s="54">
        <f>Compilation!E48</f>
        <v>63</v>
      </c>
      <c r="G41" s="54">
        <f>countif(Scores!B51:AG51,D41)</f>
        <v>2</v>
      </c>
      <c r="H41" s="54">
        <f>Compilation!G48</f>
        <v>69</v>
      </c>
      <c r="J41" s="50">
        <f t="shared" si="6"/>
        <v>40</v>
      </c>
      <c r="K41" s="21">
        <v>98.0</v>
      </c>
      <c r="L41" s="14" t="s">
        <v>93</v>
      </c>
      <c r="M41" s="8">
        <v>8.0</v>
      </c>
      <c r="N41" s="8">
        <v>64.0</v>
      </c>
      <c r="O41" s="8">
        <v>72.0</v>
      </c>
      <c r="Q41" s="54" t="s">
        <v>39</v>
      </c>
      <c r="R41" s="54">
        <f t="shared" si="3"/>
        <v>32</v>
      </c>
      <c r="S41" s="54" t="s">
        <v>35</v>
      </c>
      <c r="T41" s="54">
        <v>0.0</v>
      </c>
      <c r="U41" s="50" t="str">
        <f t="shared" si="7"/>
        <v/>
      </c>
      <c r="V41" s="14" t="str">
        <f t="shared" si="4"/>
        <v/>
      </c>
      <c r="W41" s="8" t="str">
        <f t="shared" si="5"/>
        <v/>
      </c>
    </row>
    <row r="42">
      <c r="A42" s="62">
        <f>Scores!A52</f>
        <v>41</v>
      </c>
      <c r="B42" s="54" t="str">
        <f>Compilation!D49</f>
        <v>🥇 x21</v>
      </c>
      <c r="C42" s="54">
        <f t="shared" si="1"/>
        <v>-0.000000022</v>
      </c>
      <c r="D42" s="54">
        <f>Compilation!F49</f>
        <v>49</v>
      </c>
      <c r="E42" s="54" t="str">
        <f t="shared" si="2"/>
        <v/>
      </c>
      <c r="F42" s="54">
        <f>Compilation!E49</f>
        <v>-1</v>
      </c>
      <c r="G42" s="54">
        <f>countif(Scores!B52:AG52,D42)</f>
        <v>22</v>
      </c>
      <c r="H42" s="54">
        <f>Compilation!G49</f>
        <v>-1</v>
      </c>
      <c r="J42" s="50">
        <f t="shared" si="6"/>
        <v>40</v>
      </c>
      <c r="K42" s="21">
        <v>310.0</v>
      </c>
      <c r="L42" s="14" t="s">
        <v>93</v>
      </c>
      <c r="M42" s="8">
        <v>8.0</v>
      </c>
      <c r="N42" s="8">
        <v>70.0</v>
      </c>
      <c r="O42" s="8">
        <v>78.0</v>
      </c>
      <c r="Q42" s="54" t="s">
        <v>40</v>
      </c>
      <c r="R42" s="54">
        <f t="shared" si="3"/>
        <v>0</v>
      </c>
      <c r="S42" s="54" t="s">
        <v>36</v>
      </c>
      <c r="T42" s="54">
        <v>0.0</v>
      </c>
      <c r="U42" s="50" t="str">
        <f t="shared" si="7"/>
        <v/>
      </c>
      <c r="V42" s="14" t="str">
        <f t="shared" si="4"/>
        <v/>
      </c>
      <c r="W42" s="8" t="str">
        <f t="shared" si="5"/>
        <v/>
      </c>
    </row>
    <row r="43">
      <c r="A43" s="62">
        <f>Scores!A53</f>
        <v>42</v>
      </c>
      <c r="B43" s="54" t="str">
        <f>Compilation!D50</f>
        <v>💎jailctf merger</v>
      </c>
      <c r="C43" s="54">
        <f t="shared" si="1"/>
        <v>2</v>
      </c>
      <c r="D43" s="54">
        <f>Compilation!F50</f>
        <v>132</v>
      </c>
      <c r="E43" s="54">
        <f t="shared" si="2"/>
        <v>134</v>
      </c>
      <c r="F43" s="54">
        <f>Compilation!E50</f>
        <v>132</v>
      </c>
      <c r="G43" s="54">
        <f>countif(Scores!B53:AG53,D43)</f>
        <v>2</v>
      </c>
      <c r="H43" s="54">
        <f>Compilation!G50</f>
        <v>134</v>
      </c>
      <c r="J43" s="50">
        <f t="shared" si="6"/>
        <v>40</v>
      </c>
      <c r="K43" s="21">
        <v>356.0</v>
      </c>
      <c r="L43" s="14" t="s">
        <v>94</v>
      </c>
      <c r="M43" s="8">
        <v>8.0</v>
      </c>
      <c r="N43" s="8">
        <v>92.0</v>
      </c>
      <c r="O43" s="8">
        <v>100.0</v>
      </c>
      <c r="Q43" s="54" t="s">
        <v>41</v>
      </c>
      <c r="R43" s="54">
        <f t="shared" si="3"/>
        <v>0</v>
      </c>
      <c r="S43" s="54" t="s">
        <v>38</v>
      </c>
      <c r="T43" s="54">
        <v>0.0</v>
      </c>
      <c r="U43" s="50" t="str">
        <f t="shared" si="7"/>
        <v/>
      </c>
      <c r="V43" s="14" t="str">
        <f t="shared" si="4"/>
        <v/>
      </c>
      <c r="W43" s="8" t="str">
        <f t="shared" si="5"/>
        <v/>
      </c>
    </row>
    <row r="44">
      <c r="A44" s="62">
        <f>Scores!A54</f>
        <v>43</v>
      </c>
      <c r="B44" s="54" t="str">
        <f>Compilation!D51</f>
        <v>🥇 x4</v>
      </c>
      <c r="C44" s="54">
        <f t="shared" si="1"/>
        <v>-0.000000005</v>
      </c>
      <c r="D44" s="54">
        <f>Compilation!F51</f>
        <v>56</v>
      </c>
      <c r="E44" s="54" t="str">
        <f t="shared" si="2"/>
        <v/>
      </c>
      <c r="F44" s="54">
        <f>Compilation!E51</f>
        <v>-1</v>
      </c>
      <c r="G44" s="54">
        <f>countif(Scores!B54:AG54,D44)</f>
        <v>5</v>
      </c>
      <c r="H44" s="54">
        <f>Compilation!G51</f>
        <v>-1</v>
      </c>
      <c r="J44" s="50">
        <f t="shared" si="6"/>
        <v>40</v>
      </c>
      <c r="K44" s="21">
        <v>195.0</v>
      </c>
      <c r="L44" s="14" t="s">
        <v>93</v>
      </c>
      <c r="M44" s="8">
        <v>8.0</v>
      </c>
      <c r="N44" s="8">
        <v>94.0</v>
      </c>
      <c r="O44" s="8">
        <v>102.0</v>
      </c>
      <c r="Q44" s="54"/>
      <c r="R44" s="54">
        <f t="shared" si="3"/>
        <v>0</v>
      </c>
      <c r="S44" s="54" t="s">
        <v>40</v>
      </c>
      <c r="T44" s="54">
        <v>0.0</v>
      </c>
      <c r="U44" s="50" t="str">
        <f t="shared" si="7"/>
        <v/>
      </c>
      <c r="V44" s="14" t="str">
        <f t="shared" si="4"/>
        <v/>
      </c>
      <c r="W44" s="8" t="str">
        <f t="shared" si="5"/>
        <v/>
      </c>
    </row>
    <row r="45">
      <c r="A45" s="62">
        <f>Scores!A55</f>
        <v>44</v>
      </c>
      <c r="B45" s="54" t="str">
        <f>Compilation!D52</f>
        <v>💎jailctf merger</v>
      </c>
      <c r="C45" s="54">
        <f t="shared" si="1"/>
        <v>6</v>
      </c>
      <c r="D45" s="54">
        <f>Compilation!F52</f>
        <v>195</v>
      </c>
      <c r="E45" s="54">
        <f t="shared" si="2"/>
        <v>201</v>
      </c>
      <c r="F45" s="54">
        <f>Compilation!E52</f>
        <v>195</v>
      </c>
      <c r="G45" s="54">
        <f>countif(Scores!B55:AG55,D45)</f>
        <v>1</v>
      </c>
      <c r="H45" s="54">
        <f>Compilation!G52</f>
        <v>201</v>
      </c>
      <c r="J45" s="50">
        <f t="shared" si="6"/>
        <v>40</v>
      </c>
      <c r="K45" s="21">
        <v>131.0</v>
      </c>
      <c r="L45" s="14" t="s">
        <v>95</v>
      </c>
      <c r="M45" s="8">
        <v>8.0</v>
      </c>
      <c r="N45" s="8">
        <v>117.0</v>
      </c>
      <c r="O45" s="8">
        <v>125.0</v>
      </c>
      <c r="Q45" s="54" t="s">
        <v>42</v>
      </c>
      <c r="R45" s="54">
        <f t="shared" si="3"/>
        <v>0</v>
      </c>
      <c r="S45" s="54" t="s">
        <v>41</v>
      </c>
      <c r="T45" s="54">
        <v>0.0</v>
      </c>
      <c r="U45" s="50" t="str">
        <f t="shared" si="7"/>
        <v/>
      </c>
      <c r="V45" s="14" t="str">
        <f t="shared" si="4"/>
        <v/>
      </c>
      <c r="W45" s="8" t="str">
        <f t="shared" si="5"/>
        <v/>
      </c>
    </row>
    <row r="46">
      <c r="A46" s="62">
        <f>Scores!A56</f>
        <v>45</v>
      </c>
      <c r="B46" s="54" t="str">
        <f>Compilation!D53</f>
        <v>🥇 x13</v>
      </c>
      <c r="C46" s="54">
        <f t="shared" si="1"/>
        <v>-0.000000014</v>
      </c>
      <c r="D46" s="54">
        <f>Compilation!F53</f>
        <v>45</v>
      </c>
      <c r="E46" s="54" t="str">
        <f t="shared" si="2"/>
        <v/>
      </c>
      <c r="F46" s="54">
        <f>Compilation!E53</f>
        <v>-1</v>
      </c>
      <c r="G46" s="54">
        <f>countif(Scores!B56:AG56,D46)</f>
        <v>14</v>
      </c>
      <c r="H46" s="54">
        <f>Compilation!G53</f>
        <v>-1</v>
      </c>
      <c r="J46" s="50">
        <f t="shared" si="6"/>
        <v>40</v>
      </c>
      <c r="K46" s="21">
        <v>5.0</v>
      </c>
      <c r="L46" s="14" t="s">
        <v>95</v>
      </c>
      <c r="M46" s="8">
        <v>8.0</v>
      </c>
      <c r="N46" s="8">
        <v>166.0</v>
      </c>
      <c r="O46" s="8">
        <v>174.0</v>
      </c>
      <c r="Q46" s="54" t="s">
        <v>43</v>
      </c>
      <c r="R46" s="54">
        <f t="shared" si="3"/>
        <v>0</v>
      </c>
      <c r="S46" s="54"/>
      <c r="T46" s="54">
        <v>0.0</v>
      </c>
      <c r="U46" s="50" t="str">
        <f t="shared" si="7"/>
        <v/>
      </c>
      <c r="V46" s="14" t="str">
        <f t="shared" si="4"/>
        <v/>
      </c>
      <c r="W46" s="8" t="str">
        <f t="shared" si="5"/>
        <v/>
      </c>
    </row>
    <row r="47">
      <c r="A47" s="62">
        <f>Scores!A57</f>
        <v>46</v>
      </c>
      <c r="B47" s="54" t="str">
        <f>Compilation!D54</f>
        <v>💎Code Golf International</v>
      </c>
      <c r="C47" s="54">
        <f t="shared" si="1"/>
        <v>2</v>
      </c>
      <c r="D47" s="54">
        <f>Compilation!F54</f>
        <v>166</v>
      </c>
      <c r="E47" s="54">
        <f t="shared" si="2"/>
        <v>168</v>
      </c>
      <c r="F47" s="54">
        <f>Compilation!E54</f>
        <v>166</v>
      </c>
      <c r="G47" s="54">
        <f>countif(Scores!B57:AG57,D47)</f>
        <v>2</v>
      </c>
      <c r="H47" s="54">
        <f>Compilation!G54</f>
        <v>168</v>
      </c>
      <c r="J47" s="50">
        <f t="shared" si="6"/>
        <v>40</v>
      </c>
      <c r="K47" s="21">
        <v>285.0</v>
      </c>
      <c r="L47" s="14" t="s">
        <v>94</v>
      </c>
      <c r="M47" s="8">
        <v>8.0</v>
      </c>
      <c r="N47" s="8">
        <v>226.0</v>
      </c>
      <c r="O47" s="8">
        <v>234.0</v>
      </c>
      <c r="Q47" s="54" t="s">
        <v>44</v>
      </c>
      <c r="R47" s="54">
        <f t="shared" si="3"/>
        <v>0</v>
      </c>
      <c r="S47" s="54" t="s">
        <v>42</v>
      </c>
      <c r="T47" s="54">
        <v>0.0</v>
      </c>
      <c r="U47" s="50" t="str">
        <f t="shared" si="7"/>
        <v/>
      </c>
      <c r="V47" s="14" t="str">
        <f t="shared" si="4"/>
        <v/>
      </c>
      <c r="W47" s="8" t="str">
        <f t="shared" si="5"/>
        <v/>
      </c>
    </row>
    <row r="48">
      <c r="A48" s="62">
        <f>Scores!A58</f>
        <v>47</v>
      </c>
      <c r="B48" s="54" t="str">
        <f>Compilation!D55</f>
        <v>🥇 x9</v>
      </c>
      <c r="C48" s="54">
        <f t="shared" si="1"/>
        <v>-0.00000001</v>
      </c>
      <c r="D48" s="54">
        <f>Compilation!F55</f>
        <v>55</v>
      </c>
      <c r="E48" s="54" t="str">
        <f t="shared" si="2"/>
        <v/>
      </c>
      <c r="F48" s="54">
        <f>Compilation!E55</f>
        <v>-1</v>
      </c>
      <c r="G48" s="54">
        <f>countif(Scores!B58:AG58,D48)</f>
        <v>10</v>
      </c>
      <c r="H48" s="54">
        <f>Compilation!G55</f>
        <v>-1</v>
      </c>
      <c r="J48" s="50">
        <f t="shared" si="6"/>
        <v>47</v>
      </c>
      <c r="K48" s="21">
        <v>283.0</v>
      </c>
      <c r="L48" s="14" t="s">
        <v>93</v>
      </c>
      <c r="M48" s="8">
        <v>7.0</v>
      </c>
      <c r="N48" s="8">
        <v>72.0</v>
      </c>
      <c r="O48" s="8">
        <v>79.0</v>
      </c>
      <c r="Q48" s="54" t="s">
        <v>45</v>
      </c>
      <c r="R48" s="54">
        <f t="shared" si="3"/>
        <v>6</v>
      </c>
      <c r="S48" s="54" t="s">
        <v>43</v>
      </c>
      <c r="T48" s="54">
        <v>0.0</v>
      </c>
      <c r="U48" s="50" t="str">
        <f t="shared" si="7"/>
        <v/>
      </c>
      <c r="V48" s="14" t="str">
        <f t="shared" si="4"/>
        <v/>
      </c>
      <c r="W48" s="8" t="str">
        <f t="shared" si="5"/>
        <v/>
      </c>
    </row>
    <row r="49">
      <c r="A49" s="62">
        <f>Scores!A59</f>
        <v>48</v>
      </c>
      <c r="B49" s="54" t="str">
        <f>Compilation!D56</f>
        <v>💎jailctf merger</v>
      </c>
      <c r="C49" s="54">
        <f t="shared" si="1"/>
        <v>3</v>
      </c>
      <c r="D49" s="54">
        <f>Compilation!F56</f>
        <v>92</v>
      </c>
      <c r="E49" s="54">
        <f t="shared" si="2"/>
        <v>95</v>
      </c>
      <c r="F49" s="54">
        <f>Compilation!E56</f>
        <v>92</v>
      </c>
      <c r="G49" s="54">
        <f>countif(Scores!B59:AG59,D49)</f>
        <v>1</v>
      </c>
      <c r="H49" s="54">
        <f>Compilation!G56</f>
        <v>95</v>
      </c>
      <c r="J49" s="50">
        <f t="shared" si="6"/>
        <v>47</v>
      </c>
      <c r="K49" s="21">
        <v>120.0</v>
      </c>
      <c r="L49" s="14" t="s">
        <v>93</v>
      </c>
      <c r="M49" s="8">
        <v>7.0</v>
      </c>
      <c r="N49" s="8">
        <v>78.0</v>
      </c>
      <c r="O49" s="8">
        <v>85.0</v>
      </c>
      <c r="Q49" s="54" t="s">
        <v>46</v>
      </c>
      <c r="R49" s="54">
        <f t="shared" si="3"/>
        <v>9</v>
      </c>
      <c r="S49" s="54" t="s">
        <v>44</v>
      </c>
      <c r="T49" s="54">
        <v>0.0</v>
      </c>
      <c r="U49" s="50" t="str">
        <f t="shared" si="7"/>
        <v/>
      </c>
      <c r="V49" s="14" t="str">
        <f t="shared" si="4"/>
        <v/>
      </c>
      <c r="W49" s="8" t="str">
        <f t="shared" si="5"/>
        <v/>
      </c>
    </row>
    <row r="50">
      <c r="A50" s="62">
        <f>Scores!A60</f>
        <v>49</v>
      </c>
      <c r="B50" s="54" t="str">
        <f>Compilation!D57</f>
        <v>🥇 x7</v>
      </c>
      <c r="C50" s="54">
        <f t="shared" si="1"/>
        <v>-0.000000008</v>
      </c>
      <c r="D50" s="54">
        <f>Compilation!F57</f>
        <v>81</v>
      </c>
      <c r="E50" s="54" t="str">
        <f t="shared" si="2"/>
        <v/>
      </c>
      <c r="F50" s="54">
        <f>Compilation!E57</f>
        <v>-1</v>
      </c>
      <c r="G50" s="54">
        <f>countif(Scores!B60:AG60,D50)</f>
        <v>8</v>
      </c>
      <c r="H50" s="54">
        <f>Compilation!G57</f>
        <v>-1</v>
      </c>
      <c r="J50" s="50">
        <f t="shared" si="6"/>
        <v>47</v>
      </c>
      <c r="K50" s="21">
        <v>230.0</v>
      </c>
      <c r="L50" s="14" t="s">
        <v>95</v>
      </c>
      <c r="M50" s="8">
        <v>7.0</v>
      </c>
      <c r="N50" s="8">
        <v>95.0</v>
      </c>
      <c r="O50" s="8">
        <v>102.0</v>
      </c>
      <c r="Q50" s="54" t="s">
        <v>47</v>
      </c>
      <c r="R50" s="54">
        <f t="shared" si="3"/>
        <v>0</v>
      </c>
      <c r="S50" s="54" t="s">
        <v>47</v>
      </c>
      <c r="T50" s="54">
        <v>0.0</v>
      </c>
      <c r="U50" s="50" t="str">
        <f t="shared" si="7"/>
        <v/>
      </c>
      <c r="V50" s="14" t="str">
        <f t="shared" si="4"/>
        <v/>
      </c>
      <c r="W50" s="8" t="str">
        <f t="shared" si="5"/>
        <v/>
      </c>
    </row>
    <row r="51">
      <c r="A51" s="62">
        <f>Scores!A61</f>
        <v>50</v>
      </c>
      <c r="B51" s="54" t="str">
        <f>Compilation!D58</f>
        <v>💎jailctf merger</v>
      </c>
      <c r="C51" s="54">
        <f t="shared" si="1"/>
        <v>1</v>
      </c>
      <c r="D51" s="54">
        <f>Compilation!F58</f>
        <v>83</v>
      </c>
      <c r="E51" s="54">
        <f t="shared" si="2"/>
        <v>84</v>
      </c>
      <c r="F51" s="54">
        <f>Compilation!E58</f>
        <v>83</v>
      </c>
      <c r="G51" s="54">
        <f>countif(Scores!B61:AG61,D51)</f>
        <v>2</v>
      </c>
      <c r="H51" s="54">
        <f>Compilation!G58</f>
        <v>84</v>
      </c>
      <c r="J51" s="50">
        <f t="shared" si="6"/>
        <v>47</v>
      </c>
      <c r="K51" s="21">
        <v>371.0</v>
      </c>
      <c r="L51" s="14" t="s">
        <v>94</v>
      </c>
      <c r="M51" s="8">
        <v>7.0</v>
      </c>
      <c r="N51" s="8">
        <v>102.0</v>
      </c>
      <c r="O51" s="8">
        <v>109.0</v>
      </c>
      <c r="Q51" s="53" t="s">
        <v>48</v>
      </c>
      <c r="R51" s="54">
        <f t="shared" si="3"/>
        <v>0</v>
      </c>
      <c r="S51" s="53" t="s">
        <v>48</v>
      </c>
      <c r="T51" s="54">
        <v>0.0</v>
      </c>
      <c r="U51" s="50" t="str">
        <f t="shared" si="7"/>
        <v/>
      </c>
      <c r="V51" s="14" t="str">
        <f t="shared" si="4"/>
        <v/>
      </c>
      <c r="W51" s="8" t="str">
        <f t="shared" si="5"/>
        <v/>
      </c>
    </row>
    <row r="52">
      <c r="A52" s="62">
        <f>Scores!A62</f>
        <v>51</v>
      </c>
      <c r="B52" s="54" t="str">
        <f>Compilation!D59</f>
        <v>💎ox jam</v>
      </c>
      <c r="C52" s="54">
        <f t="shared" si="1"/>
        <v>2</v>
      </c>
      <c r="D52" s="54">
        <f>Compilation!F59</f>
        <v>111</v>
      </c>
      <c r="E52" s="54">
        <f t="shared" si="2"/>
        <v>113</v>
      </c>
      <c r="F52" s="54">
        <f>Compilation!E59</f>
        <v>111</v>
      </c>
      <c r="G52" s="54">
        <f>countif(Scores!B62:AG62,D52)</f>
        <v>2</v>
      </c>
      <c r="H52" s="54">
        <f>Compilation!G59</f>
        <v>113</v>
      </c>
      <c r="J52" s="50">
        <f t="shared" si="6"/>
        <v>47</v>
      </c>
      <c r="K52" s="21">
        <v>20.0</v>
      </c>
      <c r="L52" s="14" t="s">
        <v>96</v>
      </c>
      <c r="M52" s="8">
        <v>7.0</v>
      </c>
      <c r="N52" s="8">
        <v>126.0</v>
      </c>
      <c r="O52" s="8">
        <v>133.0</v>
      </c>
      <c r="Q52" s="54"/>
      <c r="R52" s="54">
        <f t="shared" si="3"/>
        <v>0</v>
      </c>
      <c r="S52" s="54"/>
      <c r="T52" s="54">
        <v>0.0</v>
      </c>
      <c r="U52" s="50" t="str">
        <f t="shared" si="7"/>
        <v/>
      </c>
      <c r="V52" s="14" t="str">
        <f t="shared" si="4"/>
        <v/>
      </c>
      <c r="W52" s="8" t="str">
        <f t="shared" si="5"/>
        <v/>
      </c>
    </row>
    <row r="53">
      <c r="A53" s="62">
        <f>Scores!A63</f>
        <v>52</v>
      </c>
      <c r="B53" s="54" t="str">
        <f>Compilation!D60</f>
        <v>🥇 x17</v>
      </c>
      <c r="C53" s="54">
        <f t="shared" si="1"/>
        <v>-0.000000018</v>
      </c>
      <c r="D53" s="54">
        <f>Compilation!F60</f>
        <v>40</v>
      </c>
      <c r="E53" s="54" t="str">
        <f t="shared" si="2"/>
        <v/>
      </c>
      <c r="F53" s="54">
        <f>Compilation!E60</f>
        <v>-1</v>
      </c>
      <c r="G53" s="54">
        <f>countif(Scores!B63:AG63,D53)</f>
        <v>18</v>
      </c>
      <c r="H53" s="54">
        <f>Compilation!G60</f>
        <v>-1</v>
      </c>
      <c r="J53" s="50">
        <f t="shared" si="6"/>
        <v>47</v>
      </c>
      <c r="K53" s="21">
        <v>25.0</v>
      </c>
      <c r="L53" s="14" t="s">
        <v>94</v>
      </c>
      <c r="M53" s="8">
        <v>7.0</v>
      </c>
      <c r="N53" s="8">
        <v>127.0</v>
      </c>
      <c r="O53" s="8">
        <v>134.0</v>
      </c>
      <c r="Q53" s="54"/>
      <c r="R53" s="54">
        <f t="shared" si="3"/>
        <v>0</v>
      </c>
      <c r="S53" s="54"/>
      <c r="T53" s="54">
        <v>0.0</v>
      </c>
      <c r="U53" s="50" t="str">
        <f t="shared" si="7"/>
        <v/>
      </c>
      <c r="V53" s="14" t="str">
        <f t="shared" si="4"/>
        <v/>
      </c>
      <c r="W53" s="8" t="str">
        <f t="shared" si="5"/>
        <v/>
      </c>
    </row>
    <row r="54">
      <c r="A54" s="62">
        <f>Scores!A64</f>
        <v>53</v>
      </c>
      <c r="B54" s="54" t="str">
        <f>Compilation!D61</f>
        <v>🥇 x25</v>
      </c>
      <c r="C54" s="54">
        <f t="shared" si="1"/>
        <v>-0.000000026</v>
      </c>
      <c r="D54" s="54">
        <f>Compilation!F61</f>
        <v>21</v>
      </c>
      <c r="E54" s="54" t="str">
        <f t="shared" si="2"/>
        <v/>
      </c>
      <c r="F54" s="54">
        <f>Compilation!E61</f>
        <v>-1</v>
      </c>
      <c r="G54" s="54">
        <f>countif(Scores!B64:AG64,D54)</f>
        <v>26</v>
      </c>
      <c r="H54" s="54">
        <f>Compilation!G61</f>
        <v>-1</v>
      </c>
      <c r="J54" s="50">
        <f t="shared" si="6"/>
        <v>47</v>
      </c>
      <c r="K54" s="21">
        <v>378.0</v>
      </c>
      <c r="L54" s="14" t="s">
        <v>95</v>
      </c>
      <c r="M54" s="8">
        <v>7.0</v>
      </c>
      <c r="N54" s="8">
        <v>131.0</v>
      </c>
      <c r="O54" s="8">
        <v>138.0</v>
      </c>
      <c r="Q54" s="54"/>
      <c r="R54" s="54">
        <f t="shared" si="3"/>
        <v>0</v>
      </c>
      <c r="S54" s="54"/>
      <c r="T54" s="54">
        <v>0.0</v>
      </c>
      <c r="U54" s="50" t="str">
        <f t="shared" si="7"/>
        <v/>
      </c>
      <c r="V54" s="14" t="str">
        <f t="shared" si="4"/>
        <v/>
      </c>
      <c r="W54" s="8" t="str">
        <f t="shared" si="5"/>
        <v/>
      </c>
    </row>
    <row r="55">
      <c r="A55" s="62">
        <f>Scores!A65</f>
        <v>54</v>
      </c>
      <c r="B55" s="54" t="str">
        <f>Compilation!D62</f>
        <v>💎Code Golf International</v>
      </c>
      <c r="C55" s="54">
        <f t="shared" si="1"/>
        <v>4</v>
      </c>
      <c r="D55" s="54">
        <f>Compilation!F62</f>
        <v>266</v>
      </c>
      <c r="E55" s="54">
        <f t="shared" si="2"/>
        <v>270</v>
      </c>
      <c r="F55" s="54">
        <f>Compilation!E62</f>
        <v>266</v>
      </c>
      <c r="G55" s="54">
        <f>countif(Scores!B65:AG65,D55)</f>
        <v>1</v>
      </c>
      <c r="H55" s="54">
        <f>Compilation!G62</f>
        <v>270</v>
      </c>
      <c r="J55" s="50">
        <f t="shared" si="6"/>
        <v>47</v>
      </c>
      <c r="K55" s="21">
        <v>182.0</v>
      </c>
      <c r="L55" s="14" t="s">
        <v>94</v>
      </c>
      <c r="M55" s="8">
        <v>7.0</v>
      </c>
      <c r="N55" s="8">
        <v>160.0</v>
      </c>
      <c r="O55" s="8">
        <v>167.0</v>
      </c>
      <c r="Q55" s="54"/>
      <c r="R55" s="54">
        <f t="shared" si="3"/>
        <v>0</v>
      </c>
      <c r="S55" s="54"/>
      <c r="T55" s="54">
        <v>0.0</v>
      </c>
      <c r="U55" s="50" t="str">
        <f t="shared" si="7"/>
        <v/>
      </c>
      <c r="V55" s="14" t="str">
        <f t="shared" si="4"/>
        <v/>
      </c>
      <c r="W55" s="8" t="str">
        <f t="shared" si="5"/>
        <v/>
      </c>
    </row>
    <row r="56">
      <c r="A56" s="62">
        <f>Scores!A66</f>
        <v>55</v>
      </c>
      <c r="B56" s="54" t="str">
        <f>Compilation!D63</f>
        <v>💎ox jam</v>
      </c>
      <c r="C56" s="54">
        <f t="shared" si="1"/>
        <v>2</v>
      </c>
      <c r="D56" s="54">
        <f>Compilation!F63</f>
        <v>77</v>
      </c>
      <c r="E56" s="54">
        <f t="shared" si="2"/>
        <v>79</v>
      </c>
      <c r="F56" s="54">
        <f>Compilation!E63</f>
        <v>77</v>
      </c>
      <c r="G56" s="54">
        <f>countif(Scores!B66:AG66,D56)</f>
        <v>2</v>
      </c>
      <c r="H56" s="54">
        <f>Compilation!G63</f>
        <v>79</v>
      </c>
      <c r="J56" s="50">
        <f t="shared" si="6"/>
        <v>47</v>
      </c>
      <c r="K56" s="21">
        <v>101.0</v>
      </c>
      <c r="L56" s="14" t="s">
        <v>93</v>
      </c>
      <c r="M56" s="8">
        <v>7.0</v>
      </c>
      <c r="N56" s="8">
        <v>258.0</v>
      </c>
      <c r="O56" s="8">
        <v>265.0</v>
      </c>
      <c r="R56" s="54">
        <f t="shared" si="3"/>
        <v>0</v>
      </c>
      <c r="S56" s="54"/>
      <c r="T56" s="54">
        <v>0.0</v>
      </c>
      <c r="U56" s="50" t="str">
        <f t="shared" si="7"/>
        <v/>
      </c>
      <c r="V56" s="14" t="str">
        <f t="shared" si="4"/>
        <v/>
      </c>
      <c r="W56" s="8" t="str">
        <f t="shared" si="5"/>
        <v/>
      </c>
    </row>
    <row r="57">
      <c r="A57" s="62">
        <f>Scores!A67</f>
        <v>56</v>
      </c>
      <c r="B57" s="54" t="str">
        <f>Compilation!D64</f>
        <v>💎LogicLynx</v>
      </c>
      <c r="C57" s="54">
        <f t="shared" si="1"/>
        <v>1</v>
      </c>
      <c r="D57" s="54">
        <f>Compilation!F64</f>
        <v>39</v>
      </c>
      <c r="E57" s="54">
        <f t="shared" si="2"/>
        <v>40</v>
      </c>
      <c r="F57" s="54">
        <f>Compilation!E64</f>
        <v>39</v>
      </c>
      <c r="G57" s="54">
        <f>countif(Scores!B67:AG67,D57)</f>
        <v>2</v>
      </c>
      <c r="H57" s="54">
        <f>Compilation!G64</f>
        <v>40</v>
      </c>
      <c r="J57" s="50">
        <f t="shared" si="6"/>
        <v>56</v>
      </c>
      <c r="K57" s="21">
        <v>40.0</v>
      </c>
      <c r="L57" s="14" t="s">
        <v>94</v>
      </c>
      <c r="M57" s="8">
        <v>6.0</v>
      </c>
      <c r="N57" s="8">
        <v>63.0</v>
      </c>
      <c r="O57" s="8">
        <v>69.0</v>
      </c>
      <c r="R57" s="54">
        <f t="shared" si="3"/>
        <v>0</v>
      </c>
      <c r="S57" s="54"/>
      <c r="T57" s="54">
        <v>0.0</v>
      </c>
      <c r="U57" s="50" t="str">
        <f t="shared" si="7"/>
        <v/>
      </c>
      <c r="V57" s="14" t="str">
        <f t="shared" si="4"/>
        <v/>
      </c>
      <c r="W57" s="8" t="str">
        <f t="shared" si="5"/>
        <v/>
      </c>
    </row>
    <row r="58">
      <c r="A58" s="62">
        <f>Scores!A68</f>
        <v>57</v>
      </c>
      <c r="B58" s="54" t="str">
        <f>Compilation!D65</f>
        <v>🥇 x2</v>
      </c>
      <c r="C58" s="54">
        <f t="shared" si="1"/>
        <v>-0.000000003</v>
      </c>
      <c r="D58" s="54">
        <f>Compilation!F65</f>
        <v>48</v>
      </c>
      <c r="E58" s="54" t="str">
        <f t="shared" si="2"/>
        <v/>
      </c>
      <c r="F58" s="54">
        <f>Compilation!E65</f>
        <v>-1</v>
      </c>
      <c r="G58" s="54">
        <f>countif(Scores!B68:AG68,D58)</f>
        <v>3</v>
      </c>
      <c r="H58" s="54">
        <f>Compilation!G65</f>
        <v>-1</v>
      </c>
      <c r="J58" s="50">
        <f t="shared" si="6"/>
        <v>56</v>
      </c>
      <c r="K58" s="21">
        <v>193.0</v>
      </c>
      <c r="L58" s="14" t="s">
        <v>93</v>
      </c>
      <c r="M58" s="8">
        <v>6.0</v>
      </c>
      <c r="N58" s="8">
        <v>71.0</v>
      </c>
      <c r="O58" s="8">
        <v>77.0</v>
      </c>
      <c r="R58" s="54">
        <f t="shared" si="3"/>
        <v>0</v>
      </c>
      <c r="S58" s="54"/>
      <c r="T58" s="54">
        <v>0.0</v>
      </c>
      <c r="U58" s="50" t="str">
        <f t="shared" si="7"/>
        <v/>
      </c>
      <c r="V58" s="14" t="str">
        <f t="shared" si="4"/>
        <v/>
      </c>
      <c r="W58" s="8" t="str">
        <f t="shared" si="5"/>
        <v/>
      </c>
    </row>
    <row r="59">
      <c r="A59" s="62">
        <f>Scores!A69</f>
        <v>58</v>
      </c>
      <c r="B59" s="54" t="str">
        <f>Compilation!D66</f>
        <v>💎ox jam</v>
      </c>
      <c r="C59" s="54">
        <f t="shared" si="1"/>
        <v>1</v>
      </c>
      <c r="D59" s="54">
        <f>Compilation!F66</f>
        <v>85</v>
      </c>
      <c r="E59" s="54">
        <f t="shared" si="2"/>
        <v>86</v>
      </c>
      <c r="F59" s="54">
        <f>Compilation!E66</f>
        <v>85</v>
      </c>
      <c r="G59" s="54">
        <f>countif(Scores!B69:AG69,D59)</f>
        <v>2</v>
      </c>
      <c r="H59" s="54">
        <f>Compilation!G66</f>
        <v>86</v>
      </c>
      <c r="J59" s="50">
        <f t="shared" si="6"/>
        <v>56</v>
      </c>
      <c r="K59" s="21">
        <v>273.0</v>
      </c>
      <c r="L59" s="14" t="s">
        <v>94</v>
      </c>
      <c r="M59" s="8">
        <v>6.0</v>
      </c>
      <c r="N59" s="8">
        <v>75.0</v>
      </c>
      <c r="O59" s="8">
        <v>81.0</v>
      </c>
      <c r="R59" s="54">
        <f t="shared" si="3"/>
        <v>0</v>
      </c>
      <c r="S59" s="54"/>
      <c r="T59" s="54">
        <v>0.0</v>
      </c>
      <c r="U59" s="50" t="str">
        <f t="shared" si="7"/>
        <v/>
      </c>
      <c r="V59" s="14" t="str">
        <f t="shared" si="4"/>
        <v/>
      </c>
      <c r="W59" s="8" t="str">
        <f t="shared" si="5"/>
        <v/>
      </c>
    </row>
    <row r="60">
      <c r="A60" s="62">
        <f>Scores!A70</f>
        <v>59</v>
      </c>
      <c r="B60" s="54" t="str">
        <f>Compilation!D67</f>
        <v>💎Code Golf International</v>
      </c>
      <c r="C60" s="54">
        <f t="shared" si="1"/>
        <v>2</v>
      </c>
      <c r="D60" s="54">
        <f>Compilation!F67</f>
        <v>151</v>
      </c>
      <c r="E60" s="54">
        <f t="shared" si="2"/>
        <v>153</v>
      </c>
      <c r="F60" s="54">
        <f>Compilation!E67</f>
        <v>151</v>
      </c>
      <c r="G60" s="54">
        <f>countif(Scores!B70:AG70,D60)</f>
        <v>2</v>
      </c>
      <c r="H60" s="54">
        <f>Compilation!G67</f>
        <v>153</v>
      </c>
      <c r="J60" s="50">
        <f t="shared" si="6"/>
        <v>56</v>
      </c>
      <c r="K60" s="21">
        <v>333.0</v>
      </c>
      <c r="L60" s="14" t="s">
        <v>94</v>
      </c>
      <c r="M60" s="8">
        <v>6.0</v>
      </c>
      <c r="N60" s="8">
        <v>83.0</v>
      </c>
      <c r="O60" s="8">
        <v>89.0</v>
      </c>
      <c r="R60" s="54">
        <f t="shared" si="3"/>
        <v>0</v>
      </c>
      <c r="S60" s="54"/>
      <c r="T60" s="54">
        <v>0.0</v>
      </c>
      <c r="U60" s="50" t="str">
        <f t="shared" si="7"/>
        <v/>
      </c>
      <c r="V60" s="14" t="str">
        <f t="shared" si="4"/>
        <v/>
      </c>
      <c r="W60" s="8" t="str">
        <f t="shared" si="5"/>
        <v/>
      </c>
    </row>
    <row r="61">
      <c r="A61" s="62">
        <f>Scores!A71</f>
        <v>60</v>
      </c>
      <c r="B61" s="54" t="str">
        <f>Compilation!D68</f>
        <v>🥇 x6</v>
      </c>
      <c r="C61" s="54">
        <f t="shared" si="1"/>
        <v>-0.000000007</v>
      </c>
      <c r="D61" s="54">
        <f>Compilation!F68</f>
        <v>47</v>
      </c>
      <c r="E61" s="54" t="str">
        <f t="shared" si="2"/>
        <v/>
      </c>
      <c r="F61" s="54">
        <f>Compilation!E68</f>
        <v>-1</v>
      </c>
      <c r="G61" s="54">
        <f>countif(Scores!B71:AG71,D61)</f>
        <v>7</v>
      </c>
      <c r="H61" s="54">
        <f>Compilation!G68</f>
        <v>-1</v>
      </c>
      <c r="J61" s="50">
        <f t="shared" si="6"/>
        <v>56</v>
      </c>
      <c r="K61" s="21">
        <v>212.0</v>
      </c>
      <c r="L61" s="14" t="s">
        <v>93</v>
      </c>
      <c r="M61" s="8">
        <v>6.0</v>
      </c>
      <c r="N61" s="8">
        <v>93.0</v>
      </c>
      <c r="O61" s="8">
        <v>99.0</v>
      </c>
      <c r="U61" s="50" t="str">
        <f t="shared" si="7"/>
        <v/>
      </c>
      <c r="V61" s="14"/>
      <c r="W61" s="8"/>
    </row>
    <row r="62">
      <c r="A62" s="62">
        <f>Scores!A72</f>
        <v>61</v>
      </c>
      <c r="B62" s="54" t="str">
        <f>Compilation!D69</f>
        <v>🥇 x4</v>
      </c>
      <c r="C62" s="54">
        <f t="shared" si="1"/>
        <v>-0.000000005</v>
      </c>
      <c r="D62" s="54">
        <f>Compilation!F69</f>
        <v>62</v>
      </c>
      <c r="E62" s="54" t="str">
        <f t="shared" si="2"/>
        <v/>
      </c>
      <c r="F62" s="54">
        <f>Compilation!E69</f>
        <v>-1</v>
      </c>
      <c r="G62" s="54">
        <f>countif(Scores!B72:AG72,D62)</f>
        <v>5</v>
      </c>
      <c r="H62" s="54">
        <f>Compilation!G69</f>
        <v>-1</v>
      </c>
      <c r="J62" s="50">
        <f t="shared" si="6"/>
        <v>56</v>
      </c>
      <c r="K62" s="21">
        <v>27.0</v>
      </c>
      <c r="L62" s="14" t="s">
        <v>94</v>
      </c>
      <c r="M62" s="8">
        <v>6.0</v>
      </c>
      <c r="N62" s="8">
        <v>97.0</v>
      </c>
      <c r="O62" s="8">
        <v>103.0</v>
      </c>
      <c r="U62" s="50" t="str">
        <f t="shared" si="7"/>
        <v/>
      </c>
      <c r="V62" s="14"/>
      <c r="W62" s="8"/>
    </row>
    <row r="63">
      <c r="A63" s="62">
        <f>Scores!A73</f>
        <v>62</v>
      </c>
      <c r="B63" s="54" t="str">
        <f>Compilation!D70</f>
        <v>💎ox jam</v>
      </c>
      <c r="C63" s="54">
        <f t="shared" si="1"/>
        <v>2</v>
      </c>
      <c r="D63" s="54">
        <f>Compilation!F70</f>
        <v>121</v>
      </c>
      <c r="E63" s="54">
        <f t="shared" si="2"/>
        <v>123</v>
      </c>
      <c r="F63" s="54">
        <f>Compilation!E70</f>
        <v>121</v>
      </c>
      <c r="G63" s="54">
        <f>countif(Scores!B73:AG73,D63)</f>
        <v>2</v>
      </c>
      <c r="H63" s="54">
        <f>Compilation!G70</f>
        <v>123</v>
      </c>
      <c r="J63" s="50">
        <f t="shared" si="6"/>
        <v>56</v>
      </c>
      <c r="K63" s="21">
        <v>278.0</v>
      </c>
      <c r="L63" s="14" t="s">
        <v>97</v>
      </c>
      <c r="M63" s="8">
        <v>6.0</v>
      </c>
      <c r="N63" s="8">
        <v>104.0</v>
      </c>
      <c r="O63" s="8">
        <v>110.0</v>
      </c>
      <c r="U63" s="50" t="str">
        <f t="shared" si="7"/>
        <v/>
      </c>
      <c r="V63" s="14"/>
      <c r="W63" s="8"/>
    </row>
    <row r="64">
      <c r="A64" s="62">
        <f>Scores!A74</f>
        <v>63</v>
      </c>
      <c r="B64" s="54" t="str">
        <f>Compilation!D71</f>
        <v>💎Code Golf International</v>
      </c>
      <c r="C64" s="54">
        <f t="shared" si="1"/>
        <v>1</v>
      </c>
      <c r="D64" s="54">
        <f>Compilation!F71</f>
        <v>74</v>
      </c>
      <c r="E64" s="54">
        <f t="shared" si="2"/>
        <v>75</v>
      </c>
      <c r="F64" s="54">
        <f>Compilation!E71</f>
        <v>74</v>
      </c>
      <c r="G64" s="54">
        <f>countif(Scores!B74:AG74,D64)</f>
        <v>2</v>
      </c>
      <c r="H64" s="54">
        <f>Compilation!G71</f>
        <v>75</v>
      </c>
      <c r="J64" s="50">
        <f t="shared" si="6"/>
        <v>56</v>
      </c>
      <c r="K64" s="21">
        <v>263.0</v>
      </c>
      <c r="L64" s="14" t="s">
        <v>94</v>
      </c>
      <c r="M64" s="8">
        <v>6.0</v>
      </c>
      <c r="N64" s="8">
        <v>106.0</v>
      </c>
      <c r="O64" s="8">
        <v>112.0</v>
      </c>
      <c r="U64" s="50" t="str">
        <f t="shared" si="7"/>
        <v/>
      </c>
      <c r="V64" s="14"/>
      <c r="W64" s="8"/>
    </row>
    <row r="65">
      <c r="A65" s="62">
        <f>Scores!A75</f>
        <v>64</v>
      </c>
      <c r="B65" s="54" t="str">
        <f>Compilation!D72</f>
        <v>💎Code Golf International</v>
      </c>
      <c r="C65" s="54">
        <f t="shared" si="1"/>
        <v>11</v>
      </c>
      <c r="D65" s="54">
        <f>Compilation!F72</f>
        <v>135</v>
      </c>
      <c r="E65" s="54">
        <f t="shared" si="2"/>
        <v>146</v>
      </c>
      <c r="F65" s="54">
        <f>Compilation!E72</f>
        <v>135</v>
      </c>
      <c r="G65" s="54">
        <f>countif(Scores!B75:AG75,D65)</f>
        <v>2</v>
      </c>
      <c r="H65" s="54">
        <f>Compilation!G72</f>
        <v>146</v>
      </c>
      <c r="J65" s="50">
        <f t="shared" si="6"/>
        <v>56</v>
      </c>
      <c r="K65" s="21">
        <v>341.0</v>
      </c>
      <c r="L65" s="14" t="s">
        <v>94</v>
      </c>
      <c r="M65" s="8">
        <v>6.0</v>
      </c>
      <c r="N65" s="8">
        <v>108.0</v>
      </c>
      <c r="O65" s="8">
        <v>114.0</v>
      </c>
      <c r="U65" s="50" t="str">
        <f t="shared" si="7"/>
        <v/>
      </c>
      <c r="V65" s="14"/>
      <c r="W65" s="8"/>
    </row>
    <row r="66">
      <c r="A66" s="62">
        <f>Scores!A76</f>
        <v>65</v>
      </c>
      <c r="B66" s="54" t="str">
        <f>Compilation!D73</f>
        <v>💎Code Golf International</v>
      </c>
      <c r="C66" s="54">
        <f t="shared" si="1"/>
        <v>2</v>
      </c>
      <c r="D66" s="54">
        <f>Compilation!F73</f>
        <v>82</v>
      </c>
      <c r="E66" s="54">
        <f t="shared" si="2"/>
        <v>84</v>
      </c>
      <c r="F66" s="54">
        <f>Compilation!E73</f>
        <v>82</v>
      </c>
      <c r="G66" s="54">
        <f>countif(Scores!B76:AG76,D66)</f>
        <v>2</v>
      </c>
      <c r="H66" s="54">
        <f>Compilation!G73</f>
        <v>84</v>
      </c>
      <c r="J66" s="50">
        <f t="shared" si="6"/>
        <v>56</v>
      </c>
      <c r="K66" s="21">
        <v>125.0</v>
      </c>
      <c r="L66" s="14" t="s">
        <v>95</v>
      </c>
      <c r="M66" s="8">
        <v>6.0</v>
      </c>
      <c r="N66" s="8">
        <v>110.0</v>
      </c>
      <c r="O66" s="8">
        <v>116.0</v>
      </c>
      <c r="U66" s="50" t="str">
        <f t="shared" si="7"/>
        <v/>
      </c>
      <c r="V66" s="14"/>
      <c r="W66" s="8"/>
    </row>
    <row r="67">
      <c r="A67" s="62">
        <f>Scores!A77</f>
        <v>66</v>
      </c>
      <c r="B67" s="54" t="str">
        <f>Compilation!D74</f>
        <v>💎jailctf merger</v>
      </c>
      <c r="C67" s="54">
        <f t="shared" si="1"/>
        <v>3</v>
      </c>
      <c r="D67" s="54">
        <f>Compilation!F74</f>
        <v>237</v>
      </c>
      <c r="E67" s="54">
        <f t="shared" si="2"/>
        <v>240</v>
      </c>
      <c r="F67" s="54">
        <f>Compilation!E74</f>
        <v>237</v>
      </c>
      <c r="G67" s="54">
        <f>countif(Scores!B77:AG77,D67)</f>
        <v>1</v>
      </c>
      <c r="H67" s="54">
        <f>Compilation!G74</f>
        <v>240</v>
      </c>
      <c r="J67" s="50">
        <f t="shared" si="6"/>
        <v>56</v>
      </c>
      <c r="K67" s="21">
        <v>11.0</v>
      </c>
      <c r="L67" s="14" t="s">
        <v>93</v>
      </c>
      <c r="M67" s="8">
        <v>6.0</v>
      </c>
      <c r="N67" s="8">
        <v>114.0</v>
      </c>
      <c r="O67" s="8">
        <v>120.0</v>
      </c>
      <c r="U67" s="50" t="str">
        <f t="shared" si="7"/>
        <v/>
      </c>
      <c r="V67" s="14"/>
      <c r="W67" s="8"/>
    </row>
    <row r="68">
      <c r="A68" s="62">
        <f>Scores!A78</f>
        <v>67</v>
      </c>
      <c r="B68" s="54" t="str">
        <f>Compilation!D75</f>
        <v>🥇 x39</v>
      </c>
      <c r="C68" s="54">
        <f t="shared" si="1"/>
        <v>-0.00000004</v>
      </c>
      <c r="D68" s="54">
        <f>Compilation!F75</f>
        <v>33</v>
      </c>
      <c r="E68" s="54" t="str">
        <f t="shared" si="2"/>
        <v/>
      </c>
      <c r="F68" s="54">
        <f>Compilation!E75</f>
        <v>-1</v>
      </c>
      <c r="G68" s="54">
        <f>countif(Scores!B78:AG78,D68)</f>
        <v>40</v>
      </c>
      <c r="H68" s="54">
        <f>Compilation!G75</f>
        <v>-1</v>
      </c>
      <c r="J68" s="50">
        <f t="shared" si="6"/>
        <v>56</v>
      </c>
      <c r="K68" s="21">
        <v>253.0</v>
      </c>
      <c r="L68" s="14" t="s">
        <v>93</v>
      </c>
      <c r="M68" s="8">
        <v>6.0</v>
      </c>
      <c r="N68" s="8">
        <v>114.0</v>
      </c>
      <c r="O68" s="8">
        <v>120.0</v>
      </c>
      <c r="U68" s="50" t="str">
        <f t="shared" si="7"/>
        <v/>
      </c>
      <c r="V68" s="14"/>
      <c r="W68" s="8"/>
    </row>
    <row r="69">
      <c r="A69" s="62">
        <f>Scores!A79</f>
        <v>68</v>
      </c>
      <c r="B69" s="54" t="str">
        <f>Compilation!D76</f>
        <v>💎Code Golf International</v>
      </c>
      <c r="C69" s="54">
        <f t="shared" si="1"/>
        <v>4</v>
      </c>
      <c r="D69" s="54">
        <f>Compilation!F76</f>
        <v>99</v>
      </c>
      <c r="E69" s="54">
        <f t="shared" si="2"/>
        <v>103</v>
      </c>
      <c r="F69" s="54">
        <f>Compilation!E76</f>
        <v>99</v>
      </c>
      <c r="G69" s="54">
        <f>countif(Scores!B79:AG79,D69)</f>
        <v>2</v>
      </c>
      <c r="H69" s="54">
        <f>Compilation!G76</f>
        <v>103</v>
      </c>
      <c r="J69" s="50">
        <f t="shared" si="6"/>
        <v>56</v>
      </c>
      <c r="K69" s="21">
        <v>148.0</v>
      </c>
      <c r="L69" s="14" t="s">
        <v>94</v>
      </c>
      <c r="M69" s="8">
        <v>6.0</v>
      </c>
      <c r="N69" s="8">
        <v>118.0</v>
      </c>
      <c r="O69" s="8">
        <v>124.0</v>
      </c>
      <c r="U69" s="50" t="str">
        <f t="shared" si="7"/>
        <v/>
      </c>
      <c r="V69" s="14"/>
      <c r="W69" s="8"/>
    </row>
    <row r="70">
      <c r="A70" s="62">
        <f>Scores!A80</f>
        <v>69</v>
      </c>
      <c r="B70" s="54" t="str">
        <f>Compilation!D77</f>
        <v>💎jailctf merger</v>
      </c>
      <c r="C70" s="54">
        <f t="shared" si="1"/>
        <v>5</v>
      </c>
      <c r="D70" s="54">
        <f>Compilation!F77</f>
        <v>143</v>
      </c>
      <c r="E70" s="54">
        <f t="shared" si="2"/>
        <v>148</v>
      </c>
      <c r="F70" s="54">
        <f>Compilation!E77</f>
        <v>143</v>
      </c>
      <c r="G70" s="54">
        <f>countif(Scores!B80:AG80,D70)</f>
        <v>2</v>
      </c>
      <c r="H70" s="54">
        <f>Compilation!G77</f>
        <v>148</v>
      </c>
      <c r="J70" s="50">
        <f t="shared" si="6"/>
        <v>56</v>
      </c>
      <c r="K70" s="21">
        <v>368.0</v>
      </c>
      <c r="L70" s="14" t="s">
        <v>93</v>
      </c>
      <c r="M70" s="8">
        <v>6.0</v>
      </c>
      <c r="N70" s="8">
        <v>129.0</v>
      </c>
      <c r="O70" s="8">
        <v>135.0</v>
      </c>
      <c r="U70" s="50" t="str">
        <f t="shared" si="7"/>
        <v/>
      </c>
      <c r="V70" s="14"/>
      <c r="W70" s="8"/>
    </row>
    <row r="71">
      <c r="A71" s="62">
        <f>Scores!A81</f>
        <v>70</v>
      </c>
      <c r="B71" s="54" t="str">
        <f>Compilation!D78</f>
        <v>💎jailctf merger</v>
      </c>
      <c r="C71" s="54">
        <f t="shared" si="1"/>
        <v>2</v>
      </c>
      <c r="D71" s="54">
        <f>Compilation!F78</f>
        <v>78</v>
      </c>
      <c r="E71" s="54">
        <f t="shared" si="2"/>
        <v>80</v>
      </c>
      <c r="F71" s="54">
        <f>Compilation!E78</f>
        <v>78</v>
      </c>
      <c r="G71" s="54">
        <f>countif(Scores!B81:AG81,D71)</f>
        <v>2</v>
      </c>
      <c r="H71" s="54">
        <f>Compilation!G78</f>
        <v>80</v>
      </c>
      <c r="J71" s="50">
        <f t="shared" si="6"/>
        <v>56</v>
      </c>
      <c r="K71" s="21">
        <v>90.0</v>
      </c>
      <c r="L71" s="14" t="s">
        <v>94</v>
      </c>
      <c r="M71" s="8">
        <v>6.0</v>
      </c>
      <c r="N71" s="8">
        <v>147.0</v>
      </c>
      <c r="O71" s="8">
        <v>153.0</v>
      </c>
      <c r="U71" s="50" t="str">
        <f t="shared" si="7"/>
        <v/>
      </c>
      <c r="V71" s="14"/>
      <c r="W71" s="8"/>
    </row>
    <row r="72">
      <c r="A72" s="62">
        <f>Scores!A82</f>
        <v>71</v>
      </c>
      <c r="B72" s="54" t="str">
        <f>Compilation!D79</f>
        <v>💎LogicLynx</v>
      </c>
      <c r="C72" s="54">
        <f t="shared" si="1"/>
        <v>4</v>
      </c>
      <c r="D72" s="54">
        <f>Compilation!F79</f>
        <v>100</v>
      </c>
      <c r="E72" s="54">
        <f t="shared" si="2"/>
        <v>104</v>
      </c>
      <c r="F72" s="54">
        <f>Compilation!E79</f>
        <v>100</v>
      </c>
      <c r="G72" s="54">
        <f>countif(Scores!B82:AG82,D72)</f>
        <v>1</v>
      </c>
      <c r="H72" s="54">
        <f>Compilation!G79</f>
        <v>104</v>
      </c>
      <c r="J72" s="50">
        <f t="shared" si="6"/>
        <v>56</v>
      </c>
      <c r="K72" s="21">
        <v>44.0</v>
      </c>
      <c r="L72" s="14" t="s">
        <v>95</v>
      </c>
      <c r="M72" s="8">
        <v>6.0</v>
      </c>
      <c r="N72" s="8">
        <v>195.0</v>
      </c>
      <c r="O72" s="8">
        <v>201.0</v>
      </c>
      <c r="U72" s="50" t="str">
        <f t="shared" si="7"/>
        <v/>
      </c>
      <c r="V72" s="14"/>
      <c r="W72" s="8"/>
    </row>
    <row r="73">
      <c r="A73" s="62">
        <f>Scores!A83</f>
        <v>72</v>
      </c>
      <c r="B73" s="54" t="str">
        <f>Compilation!D80</f>
        <v>🥇 x4</v>
      </c>
      <c r="C73" s="54">
        <f t="shared" si="1"/>
        <v>-0.000000005</v>
      </c>
      <c r="D73" s="54">
        <f>Compilation!F80</f>
        <v>54</v>
      </c>
      <c r="E73" s="54" t="str">
        <f t="shared" si="2"/>
        <v/>
      </c>
      <c r="F73" s="54">
        <f>Compilation!E80</f>
        <v>-1</v>
      </c>
      <c r="G73" s="54">
        <f>countif(Scores!B83:AG83,D73)</f>
        <v>5</v>
      </c>
      <c r="H73" s="54">
        <f>Compilation!G80</f>
        <v>-1</v>
      </c>
      <c r="J73" s="50">
        <f t="shared" si="6"/>
        <v>56</v>
      </c>
      <c r="K73" s="21">
        <v>238.0</v>
      </c>
      <c r="L73" s="14" t="s">
        <v>95</v>
      </c>
      <c r="M73" s="8">
        <v>6.0</v>
      </c>
      <c r="N73" s="8">
        <v>195.0</v>
      </c>
      <c r="O73" s="8">
        <v>201.0</v>
      </c>
      <c r="U73" s="50" t="str">
        <f t="shared" si="7"/>
        <v/>
      </c>
      <c r="V73" s="14"/>
      <c r="W73" s="8"/>
    </row>
    <row r="74">
      <c r="A74" s="62">
        <f>Scores!A84</f>
        <v>73</v>
      </c>
      <c r="B74" s="54" t="str">
        <f>Compilation!D81</f>
        <v>🥇 x21</v>
      </c>
      <c r="C74" s="54">
        <f t="shared" si="1"/>
        <v>-0.000000022</v>
      </c>
      <c r="D74" s="54">
        <f>Compilation!F81</f>
        <v>46</v>
      </c>
      <c r="E74" s="54" t="str">
        <f t="shared" si="2"/>
        <v/>
      </c>
      <c r="F74" s="54">
        <f>Compilation!E81</f>
        <v>-1</v>
      </c>
      <c r="G74" s="54">
        <f>countif(Scores!B84:AG84,D74)</f>
        <v>22</v>
      </c>
      <c r="H74" s="54">
        <f>Compilation!G81</f>
        <v>-1</v>
      </c>
      <c r="J74" s="50">
        <f t="shared" si="6"/>
        <v>56</v>
      </c>
      <c r="K74" s="21">
        <v>191.0</v>
      </c>
      <c r="L74" s="14" t="s">
        <v>94</v>
      </c>
      <c r="M74" s="8">
        <v>6.0</v>
      </c>
      <c r="N74" s="8">
        <v>221.0</v>
      </c>
      <c r="O74" s="8">
        <v>227.0</v>
      </c>
      <c r="U74" s="50" t="str">
        <f t="shared" si="7"/>
        <v/>
      </c>
      <c r="V74" s="14"/>
      <c r="W74" s="8"/>
    </row>
    <row r="75">
      <c r="A75" s="62">
        <f>Scores!A85</f>
        <v>74</v>
      </c>
      <c r="B75" s="54" t="str">
        <f>Compilation!D82</f>
        <v>🥇 x3</v>
      </c>
      <c r="C75" s="54">
        <f t="shared" si="1"/>
        <v>-0.000000004</v>
      </c>
      <c r="D75" s="54">
        <f>Compilation!F82</f>
        <v>77</v>
      </c>
      <c r="E75" s="54" t="str">
        <f t="shared" si="2"/>
        <v/>
      </c>
      <c r="F75" s="54">
        <f>Compilation!E82</f>
        <v>-1</v>
      </c>
      <c r="G75" s="54">
        <f>countif(Scores!B85:AG85,D75)</f>
        <v>4</v>
      </c>
      <c r="H75" s="54">
        <f>Compilation!G82</f>
        <v>-1</v>
      </c>
      <c r="J75" s="50">
        <f t="shared" si="6"/>
        <v>56</v>
      </c>
      <c r="K75" s="21">
        <v>76.0</v>
      </c>
      <c r="L75" s="14" t="s">
        <v>94</v>
      </c>
      <c r="M75" s="8">
        <v>6.0</v>
      </c>
      <c r="N75" s="8">
        <v>258.0</v>
      </c>
      <c r="O75" s="8">
        <v>264.0</v>
      </c>
      <c r="U75" s="50" t="str">
        <f t="shared" si="7"/>
        <v/>
      </c>
      <c r="V75" s="14"/>
      <c r="W75" s="8"/>
    </row>
    <row r="76">
      <c r="A76" s="62">
        <f>Scores!A86</f>
        <v>75</v>
      </c>
      <c r="B76" s="54" t="str">
        <f>Compilation!D83</f>
        <v>🥇 x11</v>
      </c>
      <c r="C76" s="54">
        <f t="shared" si="1"/>
        <v>-0.000000012</v>
      </c>
      <c r="D76" s="54">
        <f>Compilation!F83</f>
        <v>86</v>
      </c>
      <c r="E76" s="54" t="str">
        <f t="shared" si="2"/>
        <v/>
      </c>
      <c r="F76" s="54">
        <f>Compilation!E83</f>
        <v>-1</v>
      </c>
      <c r="G76" s="54">
        <f>countif(Scores!B86:AG86,D76)</f>
        <v>12</v>
      </c>
      <c r="H76" s="54">
        <f>Compilation!G83</f>
        <v>-1</v>
      </c>
      <c r="J76" s="50">
        <f t="shared" si="6"/>
        <v>75</v>
      </c>
      <c r="K76" s="21">
        <v>296.0</v>
      </c>
      <c r="L76" s="14" t="s">
        <v>94</v>
      </c>
      <c r="M76" s="8">
        <v>5.0</v>
      </c>
      <c r="N76" s="8">
        <v>55.0</v>
      </c>
      <c r="O76" s="8">
        <v>60.0</v>
      </c>
      <c r="U76" s="50" t="str">
        <f t="shared" si="7"/>
        <v/>
      </c>
      <c r="V76" s="14"/>
      <c r="W76" s="8"/>
    </row>
    <row r="77">
      <c r="A77" s="62">
        <f>Scores!A87</f>
        <v>76</v>
      </c>
      <c r="B77" s="54" t="str">
        <f>Compilation!D84</f>
        <v>💎Code Golf International</v>
      </c>
      <c r="C77" s="54">
        <f t="shared" si="1"/>
        <v>6</v>
      </c>
      <c r="D77" s="54">
        <f>Compilation!F84</f>
        <v>258</v>
      </c>
      <c r="E77" s="54">
        <f t="shared" si="2"/>
        <v>264</v>
      </c>
      <c r="F77" s="54">
        <f>Compilation!E84</f>
        <v>258</v>
      </c>
      <c r="G77" s="54">
        <f>countif(Scores!B87:AG87,D77)</f>
        <v>1</v>
      </c>
      <c r="H77" s="54">
        <f>Compilation!G84</f>
        <v>264</v>
      </c>
      <c r="J77" s="50">
        <f t="shared" si="6"/>
        <v>75</v>
      </c>
      <c r="K77" s="21">
        <v>180.0</v>
      </c>
      <c r="L77" s="14" t="s">
        <v>93</v>
      </c>
      <c r="M77" s="8">
        <v>5.0</v>
      </c>
      <c r="N77" s="8">
        <v>74.0</v>
      </c>
      <c r="O77" s="8">
        <v>79.0</v>
      </c>
      <c r="U77" s="50" t="str">
        <f t="shared" si="7"/>
        <v/>
      </c>
      <c r="V77" s="14"/>
      <c r="W77" s="8"/>
    </row>
    <row r="78">
      <c r="A78" s="62">
        <f>Scores!A88</f>
        <v>77</v>
      </c>
      <c r="B78" s="54" t="str">
        <f>Compilation!D85</f>
        <v>💎ox jam</v>
      </c>
      <c r="C78" s="54">
        <f t="shared" si="1"/>
        <v>14</v>
      </c>
      <c r="D78" s="54">
        <f>Compilation!F85</f>
        <v>110</v>
      </c>
      <c r="E78" s="54">
        <f t="shared" si="2"/>
        <v>124</v>
      </c>
      <c r="F78" s="54">
        <f>Compilation!E85</f>
        <v>110</v>
      </c>
      <c r="G78" s="54">
        <f>countif(Scores!B88:AG88,D78)</f>
        <v>2</v>
      </c>
      <c r="H78" s="54">
        <f>Compilation!G85</f>
        <v>124</v>
      </c>
      <c r="J78" s="50">
        <f t="shared" si="6"/>
        <v>75</v>
      </c>
      <c r="K78" s="21">
        <v>139.0</v>
      </c>
      <c r="L78" s="14" t="s">
        <v>98</v>
      </c>
      <c r="M78" s="8">
        <v>5.0</v>
      </c>
      <c r="N78" s="8">
        <v>81.0</v>
      </c>
      <c r="O78" s="8">
        <v>86.0</v>
      </c>
      <c r="U78" s="50" t="str">
        <f t="shared" si="7"/>
        <v/>
      </c>
      <c r="V78" s="14"/>
      <c r="W78" s="8"/>
    </row>
    <row r="79">
      <c r="A79" s="62">
        <f>Scores!A89</f>
        <v>78</v>
      </c>
      <c r="B79" s="54" t="str">
        <f>Compilation!D86</f>
        <v>💎ox jam</v>
      </c>
      <c r="C79" s="54">
        <f t="shared" si="1"/>
        <v>1</v>
      </c>
      <c r="D79" s="54">
        <f>Compilation!F86</f>
        <v>59</v>
      </c>
      <c r="E79" s="54">
        <f t="shared" si="2"/>
        <v>60</v>
      </c>
      <c r="F79" s="54">
        <f>Compilation!E86</f>
        <v>59</v>
      </c>
      <c r="G79" s="54">
        <f>countif(Scores!B89:AG89,D79)</f>
        <v>2</v>
      </c>
      <c r="H79" s="54">
        <f>Compilation!G86</f>
        <v>60</v>
      </c>
      <c r="J79" s="50">
        <f t="shared" si="6"/>
        <v>75</v>
      </c>
      <c r="K79" s="21">
        <v>220.0</v>
      </c>
      <c r="L79" s="14" t="s">
        <v>95</v>
      </c>
      <c r="M79" s="8">
        <v>5.0</v>
      </c>
      <c r="N79" s="8">
        <v>82.0</v>
      </c>
      <c r="O79" s="8">
        <v>87.0</v>
      </c>
      <c r="U79" s="50" t="str">
        <f t="shared" si="7"/>
        <v/>
      </c>
      <c r="V79" s="14"/>
      <c r="W79" s="8"/>
    </row>
    <row r="80">
      <c r="A80" s="62">
        <f>Scores!A90</f>
        <v>79</v>
      </c>
      <c r="B80" s="54" t="str">
        <f>Compilation!D87</f>
        <v>💎ox jam</v>
      </c>
      <c r="C80" s="54">
        <f t="shared" si="1"/>
        <v>2</v>
      </c>
      <c r="D80" s="54">
        <f>Compilation!F87</f>
        <v>105</v>
      </c>
      <c r="E80" s="54">
        <f t="shared" si="2"/>
        <v>107</v>
      </c>
      <c r="F80" s="54">
        <f>Compilation!E87</f>
        <v>105</v>
      </c>
      <c r="G80" s="54">
        <f>countif(Scores!B90:AG90,D80)</f>
        <v>2</v>
      </c>
      <c r="H80" s="54">
        <f>Compilation!G87</f>
        <v>107</v>
      </c>
      <c r="J80" s="50">
        <f t="shared" si="6"/>
        <v>75</v>
      </c>
      <c r="K80" s="21">
        <v>187.0</v>
      </c>
      <c r="L80" s="14" t="s">
        <v>95</v>
      </c>
      <c r="M80" s="8">
        <v>5.0</v>
      </c>
      <c r="N80" s="8">
        <v>83.0</v>
      </c>
      <c r="O80" s="8">
        <v>88.0</v>
      </c>
      <c r="U80" s="50" t="str">
        <f t="shared" si="7"/>
        <v/>
      </c>
      <c r="V80" s="14"/>
      <c r="W80" s="8"/>
    </row>
    <row r="81">
      <c r="A81" s="62">
        <f>Scores!A91</f>
        <v>80</v>
      </c>
      <c r="B81" s="54" t="str">
        <f>Compilation!D88</f>
        <v>💎ox jam</v>
      </c>
      <c r="C81" s="54">
        <f t="shared" si="1"/>
        <v>1</v>
      </c>
      <c r="D81" s="54">
        <f>Compilation!F88</f>
        <v>231</v>
      </c>
      <c r="E81" s="54">
        <f t="shared" si="2"/>
        <v>232</v>
      </c>
      <c r="F81" s="54">
        <f>Compilation!E88</f>
        <v>231</v>
      </c>
      <c r="G81" s="54">
        <f>countif(Scores!B91:AG91,D81)</f>
        <v>1</v>
      </c>
      <c r="H81" s="54">
        <f>Compilation!G88</f>
        <v>232</v>
      </c>
      <c r="J81" s="50">
        <f t="shared" si="6"/>
        <v>75</v>
      </c>
      <c r="K81" s="21">
        <v>15.0</v>
      </c>
      <c r="L81" s="14" t="s">
        <v>95</v>
      </c>
      <c r="M81" s="8">
        <v>5.0</v>
      </c>
      <c r="N81" s="8">
        <v>87.0</v>
      </c>
      <c r="O81" s="8">
        <v>92.0</v>
      </c>
      <c r="U81" s="50" t="str">
        <f t="shared" si="7"/>
        <v/>
      </c>
      <c r="V81" s="14"/>
      <c r="W81" s="8"/>
    </row>
    <row r="82">
      <c r="A82" s="62">
        <f>Scores!A92</f>
        <v>81</v>
      </c>
      <c r="B82" s="54" t="str">
        <f>Compilation!D89</f>
        <v>💎jailctf merger</v>
      </c>
      <c r="C82" s="54">
        <f t="shared" si="1"/>
        <v>2</v>
      </c>
      <c r="D82" s="54">
        <f>Compilation!F89</f>
        <v>81</v>
      </c>
      <c r="E82" s="54">
        <f t="shared" si="2"/>
        <v>83</v>
      </c>
      <c r="F82" s="54">
        <f>Compilation!E89</f>
        <v>81</v>
      </c>
      <c r="G82" s="54">
        <f>countif(Scores!B92:AG92,D82)</f>
        <v>2</v>
      </c>
      <c r="H82" s="54">
        <f>Compilation!G89</f>
        <v>83</v>
      </c>
      <c r="J82" s="50">
        <f t="shared" si="6"/>
        <v>75</v>
      </c>
      <c r="K82" s="21">
        <v>29.0</v>
      </c>
      <c r="L82" s="14" t="s">
        <v>94</v>
      </c>
      <c r="M82" s="8">
        <v>5.0</v>
      </c>
      <c r="N82" s="8">
        <v>103.0</v>
      </c>
      <c r="O82" s="8">
        <v>108.0</v>
      </c>
      <c r="U82" s="50" t="str">
        <f t="shared" si="7"/>
        <v/>
      </c>
      <c r="V82" s="14"/>
      <c r="W82" s="8"/>
    </row>
    <row r="83">
      <c r="A83" s="62">
        <f>Scores!A93</f>
        <v>82</v>
      </c>
      <c r="B83" s="54" t="str">
        <f>Compilation!D90</f>
        <v>🥇 x20</v>
      </c>
      <c r="C83" s="54">
        <f t="shared" si="1"/>
        <v>-0.000000021</v>
      </c>
      <c r="D83" s="54">
        <f>Compilation!F90</f>
        <v>50</v>
      </c>
      <c r="E83" s="54" t="str">
        <f t="shared" si="2"/>
        <v/>
      </c>
      <c r="F83" s="54">
        <f>Compilation!E90</f>
        <v>-1</v>
      </c>
      <c r="G83" s="54">
        <f>countif(Scores!B93:AG93,D83)</f>
        <v>21</v>
      </c>
      <c r="H83" s="54">
        <f>Compilation!G90</f>
        <v>-1</v>
      </c>
      <c r="J83" s="50">
        <f t="shared" si="6"/>
        <v>75</v>
      </c>
      <c r="K83" s="21">
        <v>13.0</v>
      </c>
      <c r="L83" s="14" t="s">
        <v>94</v>
      </c>
      <c r="M83" s="8">
        <v>5.0</v>
      </c>
      <c r="N83" s="8">
        <v>124.0</v>
      </c>
      <c r="O83" s="8">
        <v>129.0</v>
      </c>
      <c r="U83" s="50" t="str">
        <f t="shared" si="7"/>
        <v/>
      </c>
      <c r="V83" s="14"/>
      <c r="W83" s="8"/>
    </row>
    <row r="84">
      <c r="A84" s="62">
        <f>Scores!A94</f>
        <v>83</v>
      </c>
      <c r="B84" s="54" t="str">
        <f>Compilation!D91</f>
        <v>🥇 x40</v>
      </c>
      <c r="C84" s="54">
        <f t="shared" si="1"/>
        <v>-0.000000041</v>
      </c>
      <c r="D84" s="54">
        <f>Compilation!F91</f>
        <v>40</v>
      </c>
      <c r="E84" s="54" t="str">
        <f t="shared" si="2"/>
        <v/>
      </c>
      <c r="F84" s="54">
        <f>Compilation!E91</f>
        <v>-1</v>
      </c>
      <c r="G84" s="54">
        <f>countif(Scores!B94:AG94,D84)</f>
        <v>41</v>
      </c>
      <c r="H84" s="54">
        <f>Compilation!G91</f>
        <v>-1</v>
      </c>
      <c r="J84" s="50">
        <f t="shared" si="6"/>
        <v>75</v>
      </c>
      <c r="K84" s="21">
        <v>382.0</v>
      </c>
      <c r="L84" s="14" t="s">
        <v>93</v>
      </c>
      <c r="M84" s="8">
        <v>5.0</v>
      </c>
      <c r="N84" s="8">
        <v>124.0</v>
      </c>
      <c r="O84" s="8">
        <v>129.0</v>
      </c>
      <c r="U84" s="50" t="str">
        <f t="shared" si="7"/>
        <v/>
      </c>
      <c r="V84" s="14"/>
      <c r="W84" s="8"/>
    </row>
    <row r="85">
      <c r="A85" s="62">
        <f>Scores!A95</f>
        <v>84</v>
      </c>
      <c r="B85" s="54" t="str">
        <f>Compilation!D92</f>
        <v>🥇 x9</v>
      </c>
      <c r="C85" s="54">
        <f t="shared" si="1"/>
        <v>-0.00000001</v>
      </c>
      <c r="D85" s="54">
        <f>Compilation!F92</f>
        <v>62</v>
      </c>
      <c r="E85" s="54" t="str">
        <f t="shared" si="2"/>
        <v/>
      </c>
      <c r="F85" s="54">
        <f>Compilation!E92</f>
        <v>-1</v>
      </c>
      <c r="G85" s="54">
        <f>countif(Scores!B95:AG95,D85)</f>
        <v>10</v>
      </c>
      <c r="H85" s="54">
        <f>Compilation!G92</f>
        <v>-1</v>
      </c>
      <c r="J85" s="50">
        <f t="shared" si="6"/>
        <v>75</v>
      </c>
      <c r="K85" s="21">
        <v>107.0</v>
      </c>
      <c r="L85" s="14" t="s">
        <v>93</v>
      </c>
      <c r="M85" s="8">
        <v>5.0</v>
      </c>
      <c r="N85" s="8">
        <v>132.0</v>
      </c>
      <c r="O85" s="8">
        <v>137.0</v>
      </c>
      <c r="U85" s="50" t="str">
        <f t="shared" si="7"/>
        <v/>
      </c>
      <c r="V85" s="14"/>
      <c r="W85" s="8"/>
    </row>
    <row r="86">
      <c r="A86" s="62">
        <f>Scores!A96</f>
        <v>85</v>
      </c>
      <c r="B86" s="54" t="str">
        <f>Compilation!D93</f>
        <v>🥇 x4</v>
      </c>
      <c r="C86" s="54">
        <f t="shared" si="1"/>
        <v>-0.000000005</v>
      </c>
      <c r="D86" s="54">
        <f>Compilation!F93</f>
        <v>49</v>
      </c>
      <c r="E86" s="54" t="str">
        <f t="shared" si="2"/>
        <v/>
      </c>
      <c r="F86" s="54">
        <f>Compilation!E93</f>
        <v>-1</v>
      </c>
      <c r="G86" s="54">
        <f>countif(Scores!B96:AG96,D86)</f>
        <v>5</v>
      </c>
      <c r="H86" s="54">
        <f>Compilation!G93</f>
        <v>-1</v>
      </c>
      <c r="J86" s="50">
        <f t="shared" si="6"/>
        <v>75</v>
      </c>
      <c r="K86" s="21">
        <v>69.0</v>
      </c>
      <c r="L86" s="14" t="s">
        <v>95</v>
      </c>
      <c r="M86" s="8">
        <v>5.0</v>
      </c>
      <c r="N86" s="8">
        <v>143.0</v>
      </c>
      <c r="O86" s="8">
        <v>148.0</v>
      </c>
      <c r="U86" s="50" t="str">
        <f t="shared" si="7"/>
        <v/>
      </c>
      <c r="V86" s="14"/>
      <c r="W86" s="8"/>
    </row>
    <row r="87">
      <c r="A87" s="62">
        <f>Scores!A97</f>
        <v>86</v>
      </c>
      <c r="B87" s="54" t="str">
        <f>Compilation!D94</f>
        <v>💎ox jam</v>
      </c>
      <c r="C87" s="54">
        <f t="shared" si="1"/>
        <v>3</v>
      </c>
      <c r="D87" s="54">
        <f>Compilation!F94</f>
        <v>151</v>
      </c>
      <c r="E87" s="54">
        <f t="shared" si="2"/>
        <v>154</v>
      </c>
      <c r="F87" s="54">
        <f>Compilation!E94</f>
        <v>151</v>
      </c>
      <c r="G87" s="54">
        <f>countif(Scores!B97:AG97,D87)</f>
        <v>2</v>
      </c>
      <c r="H87" s="54">
        <f>Compilation!G94</f>
        <v>154</v>
      </c>
      <c r="J87" s="50">
        <f t="shared" si="6"/>
        <v>75</v>
      </c>
      <c r="K87" s="21">
        <v>370.0</v>
      </c>
      <c r="L87" s="14" t="s">
        <v>94</v>
      </c>
      <c r="M87" s="8">
        <v>5.0</v>
      </c>
      <c r="N87" s="8">
        <v>159.0</v>
      </c>
      <c r="O87" s="8">
        <v>164.0</v>
      </c>
      <c r="U87" s="50" t="str">
        <f t="shared" si="7"/>
        <v/>
      </c>
      <c r="V87" s="14"/>
      <c r="W87" s="8"/>
    </row>
    <row r="88">
      <c r="A88" s="62">
        <f>Scores!A98</f>
        <v>87</v>
      </c>
      <c r="B88" s="54" t="str">
        <f>Compilation!D95</f>
        <v>🥇 x44</v>
      </c>
      <c r="C88" s="54">
        <f t="shared" si="1"/>
        <v>-0.000000045</v>
      </c>
      <c r="D88" s="54">
        <f>Compilation!F95</f>
        <v>36</v>
      </c>
      <c r="E88" s="54" t="str">
        <f t="shared" si="2"/>
        <v/>
      </c>
      <c r="F88" s="54">
        <f>Compilation!E95</f>
        <v>-1</v>
      </c>
      <c r="G88" s="54">
        <f>countif(Scores!B98:AG98,D88)</f>
        <v>45</v>
      </c>
      <c r="H88" s="54">
        <f>Compilation!G95</f>
        <v>-1</v>
      </c>
      <c r="J88" s="50">
        <f t="shared" si="6"/>
        <v>87</v>
      </c>
      <c r="K88" s="21">
        <v>106.0</v>
      </c>
      <c r="L88" s="14" t="s">
        <v>93</v>
      </c>
      <c r="M88" s="8">
        <v>4.0</v>
      </c>
      <c r="N88" s="8">
        <v>55.0</v>
      </c>
      <c r="O88" s="8">
        <v>59.0</v>
      </c>
      <c r="U88" s="50" t="str">
        <f t="shared" si="7"/>
        <v/>
      </c>
      <c r="V88" s="14"/>
      <c r="W88" s="8"/>
    </row>
    <row r="89">
      <c r="A89" s="62">
        <f>Scores!A99</f>
        <v>88</v>
      </c>
      <c r="B89" s="54" t="str">
        <f>Compilation!D96</f>
        <v>💎jailctf merger</v>
      </c>
      <c r="C89" s="54">
        <f t="shared" si="1"/>
        <v>3</v>
      </c>
      <c r="D89" s="54">
        <f>Compilation!F96</f>
        <v>95</v>
      </c>
      <c r="E89" s="54">
        <f t="shared" si="2"/>
        <v>98</v>
      </c>
      <c r="F89" s="54">
        <f>Compilation!E96</f>
        <v>95</v>
      </c>
      <c r="G89" s="54">
        <f>countif(Scores!B99:AG99,D89)</f>
        <v>2</v>
      </c>
      <c r="H89" s="54">
        <f>Compilation!G96</f>
        <v>98</v>
      </c>
      <c r="J89" s="50">
        <f t="shared" si="6"/>
        <v>87</v>
      </c>
      <c r="K89" s="21">
        <v>194.0</v>
      </c>
      <c r="L89" s="14" t="s">
        <v>93</v>
      </c>
      <c r="M89" s="8">
        <v>4.0</v>
      </c>
      <c r="N89" s="8">
        <v>55.0</v>
      </c>
      <c r="O89" s="8">
        <v>59.0</v>
      </c>
      <c r="U89" s="50" t="str">
        <f t="shared" si="7"/>
        <v/>
      </c>
      <c r="V89" s="14"/>
      <c r="W89" s="8"/>
    </row>
    <row r="90">
      <c r="A90" s="62">
        <f>Scores!A100</f>
        <v>89</v>
      </c>
      <c r="B90" s="54" t="str">
        <f>Compilation!D97</f>
        <v>💎ox jam</v>
      </c>
      <c r="C90" s="54">
        <f t="shared" si="1"/>
        <v>1</v>
      </c>
      <c r="D90" s="54">
        <f>Compilation!F97</f>
        <v>232</v>
      </c>
      <c r="E90" s="54">
        <f t="shared" si="2"/>
        <v>233</v>
      </c>
      <c r="F90" s="54">
        <f>Compilation!E97</f>
        <v>232</v>
      </c>
      <c r="G90" s="54">
        <f>countif(Scores!B100:AG100,D90)</f>
        <v>1</v>
      </c>
      <c r="H90" s="54">
        <f>Compilation!G97</f>
        <v>233</v>
      </c>
      <c r="J90" s="50">
        <f t="shared" si="6"/>
        <v>87</v>
      </c>
      <c r="K90" s="21">
        <v>130.0</v>
      </c>
      <c r="L90" s="14" t="s">
        <v>94</v>
      </c>
      <c r="M90" s="8">
        <v>4.0</v>
      </c>
      <c r="N90" s="8">
        <v>61.0</v>
      </c>
      <c r="O90" s="8">
        <v>65.0</v>
      </c>
      <c r="U90" s="50" t="str">
        <f t="shared" si="7"/>
        <v/>
      </c>
      <c r="V90" s="14"/>
      <c r="W90" s="8"/>
    </row>
    <row r="91">
      <c r="A91" s="62">
        <f>Scores!A101</f>
        <v>90</v>
      </c>
      <c r="B91" s="54" t="str">
        <f>Compilation!D98</f>
        <v>💎Code Golf International</v>
      </c>
      <c r="C91" s="54">
        <f t="shared" si="1"/>
        <v>6</v>
      </c>
      <c r="D91" s="54">
        <f>Compilation!F98</f>
        <v>147</v>
      </c>
      <c r="E91" s="54">
        <f t="shared" si="2"/>
        <v>153</v>
      </c>
      <c r="F91" s="54">
        <f>Compilation!E98</f>
        <v>147</v>
      </c>
      <c r="G91" s="54">
        <f>countif(Scores!B101:AG101,D91)</f>
        <v>1</v>
      </c>
      <c r="H91" s="54">
        <f>Compilation!G98</f>
        <v>153</v>
      </c>
      <c r="J91" s="50">
        <f t="shared" si="6"/>
        <v>87</v>
      </c>
      <c r="K91" s="21">
        <v>251.0</v>
      </c>
      <c r="L91" s="14" t="s">
        <v>95</v>
      </c>
      <c r="M91" s="8">
        <v>4.0</v>
      </c>
      <c r="N91" s="8">
        <v>84.0</v>
      </c>
      <c r="O91" s="8">
        <v>88.0</v>
      </c>
      <c r="U91" s="50" t="str">
        <f t="shared" si="7"/>
        <v/>
      </c>
      <c r="V91" s="14"/>
      <c r="W91" s="8"/>
    </row>
    <row r="92">
      <c r="A92" s="62">
        <f>Scores!A102</f>
        <v>91</v>
      </c>
      <c r="B92" s="54" t="str">
        <f>Compilation!D99</f>
        <v>🥇 x3</v>
      </c>
      <c r="C92" s="54">
        <f t="shared" si="1"/>
        <v>-0.000000004</v>
      </c>
      <c r="D92" s="54">
        <f>Compilation!F99</f>
        <v>62</v>
      </c>
      <c r="E92" s="54" t="str">
        <f t="shared" si="2"/>
        <v/>
      </c>
      <c r="F92" s="54">
        <f>Compilation!E99</f>
        <v>-1</v>
      </c>
      <c r="G92" s="54">
        <f>countif(Scores!B102:AG102,D92)</f>
        <v>4</v>
      </c>
      <c r="H92" s="54">
        <f>Compilation!G99</f>
        <v>-1</v>
      </c>
      <c r="J92" s="50">
        <f t="shared" si="6"/>
        <v>87</v>
      </c>
      <c r="K92" s="21">
        <v>348.0</v>
      </c>
      <c r="L92" s="14" t="s">
        <v>94</v>
      </c>
      <c r="M92" s="8">
        <v>4.0</v>
      </c>
      <c r="N92" s="8">
        <v>88.0</v>
      </c>
      <c r="O92" s="8">
        <v>92.0</v>
      </c>
      <c r="U92" s="50" t="str">
        <f t="shared" si="7"/>
        <v/>
      </c>
      <c r="V92" s="14"/>
      <c r="W92" s="8"/>
    </row>
    <row r="93">
      <c r="A93" s="62">
        <f>Scores!A103</f>
        <v>92</v>
      </c>
      <c r="B93" s="54" t="str">
        <f>Compilation!D100</f>
        <v>🥇 x2</v>
      </c>
      <c r="C93" s="54">
        <f t="shared" si="1"/>
        <v>-0.000000003</v>
      </c>
      <c r="D93" s="54">
        <f>Compilation!F100</f>
        <v>86</v>
      </c>
      <c r="E93" s="54" t="str">
        <f t="shared" si="2"/>
        <v/>
      </c>
      <c r="F93" s="54">
        <f>Compilation!E100</f>
        <v>-1</v>
      </c>
      <c r="G93" s="54">
        <f>countif(Scores!B103:AG103,D93)</f>
        <v>3</v>
      </c>
      <c r="H93" s="54">
        <f>Compilation!G100</f>
        <v>-1</v>
      </c>
      <c r="J93" s="50">
        <f t="shared" si="6"/>
        <v>87</v>
      </c>
      <c r="K93" s="21">
        <v>202.0</v>
      </c>
      <c r="L93" s="14" t="s">
        <v>95</v>
      </c>
      <c r="M93" s="8">
        <v>4.0</v>
      </c>
      <c r="N93" s="8">
        <v>98.0</v>
      </c>
      <c r="O93" s="8">
        <v>102.0</v>
      </c>
      <c r="U93" s="50" t="str">
        <f t="shared" si="7"/>
        <v/>
      </c>
      <c r="V93" s="14"/>
      <c r="W93" s="8"/>
    </row>
    <row r="94">
      <c r="A94" s="62">
        <f>Scores!A104</f>
        <v>93</v>
      </c>
      <c r="B94" s="54" t="str">
        <f>Compilation!D101</f>
        <v>🥇 x3</v>
      </c>
      <c r="C94" s="54">
        <f t="shared" si="1"/>
        <v>-0.000000004</v>
      </c>
      <c r="D94" s="54">
        <f>Compilation!F101</f>
        <v>98</v>
      </c>
      <c r="E94" s="54" t="str">
        <f t="shared" si="2"/>
        <v/>
      </c>
      <c r="F94" s="54">
        <f>Compilation!E101</f>
        <v>-1</v>
      </c>
      <c r="G94" s="54">
        <f>countif(Scores!B104:AG104,D94)</f>
        <v>4</v>
      </c>
      <c r="H94" s="54">
        <f>Compilation!G101</f>
        <v>-1</v>
      </c>
      <c r="J94" s="50">
        <f t="shared" si="6"/>
        <v>87</v>
      </c>
      <c r="K94" s="21">
        <v>68.0</v>
      </c>
      <c r="L94" s="14" t="s">
        <v>94</v>
      </c>
      <c r="M94" s="8">
        <v>4.0</v>
      </c>
      <c r="N94" s="8">
        <v>99.0</v>
      </c>
      <c r="O94" s="8">
        <v>103.0</v>
      </c>
      <c r="U94" s="50" t="str">
        <f t="shared" si="7"/>
        <v/>
      </c>
      <c r="V94" s="14"/>
      <c r="W94" s="8"/>
    </row>
    <row r="95">
      <c r="A95" s="62">
        <f>Scores!A105</f>
        <v>94</v>
      </c>
      <c r="B95" s="54" t="str">
        <f>Compilation!D102</f>
        <v>💎jailctf merger</v>
      </c>
      <c r="C95" s="54">
        <f t="shared" si="1"/>
        <v>1</v>
      </c>
      <c r="D95" s="54">
        <f>Compilation!F102</f>
        <v>96</v>
      </c>
      <c r="E95" s="54">
        <f t="shared" si="2"/>
        <v>97</v>
      </c>
      <c r="F95" s="54">
        <f>Compilation!E102</f>
        <v>96</v>
      </c>
      <c r="G95" s="54">
        <f>countif(Scores!B105:AG105,D95)</f>
        <v>2</v>
      </c>
      <c r="H95" s="54">
        <f>Compilation!G102</f>
        <v>97</v>
      </c>
      <c r="J95" s="50">
        <f t="shared" si="6"/>
        <v>87</v>
      </c>
      <c r="K95" s="21">
        <v>71.0</v>
      </c>
      <c r="L95" s="14" t="s">
        <v>96</v>
      </c>
      <c r="M95" s="8">
        <v>4.0</v>
      </c>
      <c r="N95" s="8">
        <v>100.0</v>
      </c>
      <c r="O95" s="8">
        <v>104.0</v>
      </c>
      <c r="U95" s="50" t="str">
        <f t="shared" si="7"/>
        <v/>
      </c>
      <c r="V95" s="14"/>
      <c r="W95" s="8"/>
    </row>
    <row r="96">
      <c r="A96" s="62">
        <f>Scores!A106</f>
        <v>95</v>
      </c>
      <c r="B96" s="54" t="str">
        <f>Compilation!D103</f>
        <v>🥇 x2</v>
      </c>
      <c r="C96" s="54">
        <f t="shared" si="1"/>
        <v>-0.000000003</v>
      </c>
      <c r="D96" s="54">
        <f>Compilation!F103</f>
        <v>70</v>
      </c>
      <c r="E96" s="54" t="str">
        <f t="shared" si="2"/>
        <v/>
      </c>
      <c r="F96" s="54">
        <f>Compilation!E103</f>
        <v>-1</v>
      </c>
      <c r="G96" s="54">
        <f>countif(Scores!B106:AG106,D96)</f>
        <v>3</v>
      </c>
      <c r="H96" s="54">
        <f>Compilation!G103</f>
        <v>-1</v>
      </c>
      <c r="J96" s="50">
        <f t="shared" si="6"/>
        <v>87</v>
      </c>
      <c r="K96" s="21">
        <v>160.0</v>
      </c>
      <c r="L96" s="14" t="s">
        <v>93</v>
      </c>
      <c r="M96" s="8">
        <v>4.0</v>
      </c>
      <c r="N96" s="8">
        <v>100.0</v>
      </c>
      <c r="O96" s="8">
        <v>104.0</v>
      </c>
      <c r="U96" s="50" t="str">
        <f t="shared" si="7"/>
        <v/>
      </c>
      <c r="V96" s="14"/>
      <c r="W96" s="8"/>
    </row>
    <row r="97">
      <c r="A97" s="62">
        <f>Scores!A107</f>
        <v>96</v>
      </c>
      <c r="B97" s="54" t="str">
        <f>Compilation!D104</f>
        <v>🥇 x2</v>
      </c>
      <c r="C97" s="54">
        <f t="shared" si="1"/>
        <v>-0.000000002</v>
      </c>
      <c r="D97" s="54">
        <f>Compilation!F104</f>
        <v>282</v>
      </c>
      <c r="E97" s="54" t="str">
        <f t="shared" si="2"/>
        <v/>
      </c>
      <c r="F97" s="54">
        <f>Compilation!E104</f>
        <v>-1</v>
      </c>
      <c r="G97" s="54">
        <f>countif(Scores!B107:AG107,D97)</f>
        <v>2</v>
      </c>
      <c r="H97" s="54">
        <f>Compilation!G104</f>
        <v>-1</v>
      </c>
      <c r="J97" s="50">
        <f t="shared" si="6"/>
        <v>87</v>
      </c>
      <c r="K97" s="21">
        <v>323.0</v>
      </c>
      <c r="L97" s="14" t="s">
        <v>95</v>
      </c>
      <c r="M97" s="8">
        <v>4.0</v>
      </c>
      <c r="N97" s="8">
        <v>100.0</v>
      </c>
      <c r="O97" s="8">
        <v>104.0</v>
      </c>
      <c r="U97" s="50" t="str">
        <f t="shared" si="7"/>
        <v/>
      </c>
      <c r="V97" s="14"/>
      <c r="W97" s="8"/>
    </row>
    <row r="98">
      <c r="A98" s="62">
        <f>Scores!A108</f>
        <v>97</v>
      </c>
      <c r="B98" s="54" t="str">
        <f>Compilation!D105</f>
        <v>💎ox jam</v>
      </c>
      <c r="C98" s="54">
        <f t="shared" si="1"/>
        <v>3</v>
      </c>
      <c r="D98" s="54">
        <f>Compilation!F105</f>
        <v>93</v>
      </c>
      <c r="E98" s="54">
        <f t="shared" si="2"/>
        <v>96</v>
      </c>
      <c r="F98" s="54">
        <f>Compilation!E105</f>
        <v>93</v>
      </c>
      <c r="G98" s="54">
        <f>countif(Scores!B108:AG108,D98)</f>
        <v>2</v>
      </c>
      <c r="H98" s="54">
        <f>Compilation!G105</f>
        <v>96</v>
      </c>
      <c r="J98" s="50">
        <f t="shared" si="6"/>
        <v>87</v>
      </c>
      <c r="K98" s="21">
        <v>330.0</v>
      </c>
      <c r="L98" s="14" t="s">
        <v>93</v>
      </c>
      <c r="M98" s="8">
        <v>4.0</v>
      </c>
      <c r="N98" s="8">
        <v>110.0</v>
      </c>
      <c r="O98" s="8">
        <v>114.0</v>
      </c>
      <c r="U98" s="50" t="str">
        <f t="shared" si="7"/>
        <v/>
      </c>
      <c r="V98" s="14"/>
      <c r="W98" s="8"/>
    </row>
    <row r="99">
      <c r="A99" s="62">
        <f>Scores!A109</f>
        <v>98</v>
      </c>
      <c r="B99" s="54" t="str">
        <f>Compilation!D106</f>
        <v>💎ox jam</v>
      </c>
      <c r="C99" s="54">
        <f t="shared" si="1"/>
        <v>8</v>
      </c>
      <c r="D99" s="54">
        <f>Compilation!F106</f>
        <v>64</v>
      </c>
      <c r="E99" s="54">
        <f t="shared" si="2"/>
        <v>72</v>
      </c>
      <c r="F99" s="54">
        <f>Compilation!E106</f>
        <v>64</v>
      </c>
      <c r="G99" s="54">
        <f>countif(Scores!B109:AG109,D99)</f>
        <v>2</v>
      </c>
      <c r="H99" s="54">
        <f>Compilation!G106</f>
        <v>72</v>
      </c>
      <c r="J99" s="50">
        <f t="shared" si="6"/>
        <v>87</v>
      </c>
      <c r="K99" s="21">
        <v>12.0</v>
      </c>
      <c r="L99" s="14" t="s">
        <v>94</v>
      </c>
      <c r="M99" s="8">
        <v>4.0</v>
      </c>
      <c r="N99" s="8">
        <v>122.0</v>
      </c>
      <c r="O99" s="8">
        <v>126.0</v>
      </c>
      <c r="U99" s="50" t="str">
        <f t="shared" si="7"/>
        <v/>
      </c>
      <c r="V99" s="14"/>
      <c r="W99" s="8"/>
    </row>
    <row r="100">
      <c r="A100" s="62">
        <f>Scores!A110</f>
        <v>99</v>
      </c>
      <c r="B100" s="54" t="str">
        <f>Compilation!D107</f>
        <v>💎Code Golf International</v>
      </c>
      <c r="C100" s="54">
        <f t="shared" si="1"/>
        <v>10</v>
      </c>
      <c r="D100" s="54">
        <f>Compilation!F107</f>
        <v>93</v>
      </c>
      <c r="E100" s="54">
        <f t="shared" si="2"/>
        <v>103</v>
      </c>
      <c r="F100" s="54">
        <f>Compilation!E107</f>
        <v>93</v>
      </c>
      <c r="G100" s="54">
        <f>countif(Scores!B110:AG110,D100)</f>
        <v>2</v>
      </c>
      <c r="H100" s="54">
        <f>Compilation!G107</f>
        <v>103</v>
      </c>
      <c r="J100" s="50">
        <f t="shared" si="6"/>
        <v>87</v>
      </c>
      <c r="K100" s="21">
        <v>275.0</v>
      </c>
      <c r="L100" s="14" t="s">
        <v>99</v>
      </c>
      <c r="M100" s="8">
        <v>4.0</v>
      </c>
      <c r="N100" s="8">
        <v>126.0</v>
      </c>
      <c r="O100" s="8">
        <v>130.0</v>
      </c>
      <c r="U100" s="50" t="str">
        <f t="shared" si="7"/>
        <v/>
      </c>
      <c r="V100" s="14"/>
      <c r="W100" s="8"/>
    </row>
    <row r="101">
      <c r="A101" s="62">
        <f>Scores!A111</f>
        <v>100</v>
      </c>
      <c r="B101" s="54" t="str">
        <f>Compilation!D108</f>
        <v>💎Code Golf International</v>
      </c>
      <c r="C101" s="54">
        <f t="shared" si="1"/>
        <v>1</v>
      </c>
      <c r="D101" s="54">
        <f>Compilation!F108</f>
        <v>85</v>
      </c>
      <c r="E101" s="54">
        <f t="shared" si="2"/>
        <v>86</v>
      </c>
      <c r="F101" s="54">
        <f>Compilation!E108</f>
        <v>85</v>
      </c>
      <c r="G101" s="54">
        <f>countif(Scores!B111:AG111,D101)</f>
        <v>2</v>
      </c>
      <c r="H101" s="54">
        <f>Compilation!G108</f>
        <v>86</v>
      </c>
      <c r="J101" s="50">
        <f t="shared" si="6"/>
        <v>87</v>
      </c>
      <c r="K101" s="21">
        <v>264.0</v>
      </c>
      <c r="L101" s="14" t="s">
        <v>94</v>
      </c>
      <c r="M101" s="8">
        <v>4.0</v>
      </c>
      <c r="N101" s="8">
        <v>178.0</v>
      </c>
      <c r="O101" s="8">
        <v>182.0</v>
      </c>
      <c r="U101" s="50" t="str">
        <f t="shared" si="7"/>
        <v/>
      </c>
      <c r="V101" s="14"/>
      <c r="W101" s="8"/>
    </row>
    <row r="102">
      <c r="A102" s="62">
        <f>Scores!A112</f>
        <v>101</v>
      </c>
      <c r="B102" s="54" t="str">
        <f>Compilation!D109</f>
        <v>💎ox jam</v>
      </c>
      <c r="C102" s="54">
        <f t="shared" si="1"/>
        <v>7</v>
      </c>
      <c r="D102" s="54">
        <f>Compilation!F109</f>
        <v>258</v>
      </c>
      <c r="E102" s="54">
        <f t="shared" si="2"/>
        <v>265</v>
      </c>
      <c r="F102" s="54">
        <f>Compilation!E109</f>
        <v>258</v>
      </c>
      <c r="G102" s="54">
        <f>countif(Scores!B112:AG112,D102)</f>
        <v>1</v>
      </c>
      <c r="H102" s="54">
        <f>Compilation!G109</f>
        <v>265</v>
      </c>
      <c r="J102" s="50">
        <f t="shared" si="6"/>
        <v>87</v>
      </c>
      <c r="K102" s="21">
        <v>324.0</v>
      </c>
      <c r="L102" s="14" t="s">
        <v>100</v>
      </c>
      <c r="M102" s="8">
        <v>4.0</v>
      </c>
      <c r="N102" s="8">
        <v>216.0</v>
      </c>
      <c r="O102" s="8">
        <v>220.0</v>
      </c>
      <c r="U102" s="50" t="str">
        <f t="shared" si="7"/>
        <v/>
      </c>
      <c r="V102" s="14"/>
      <c r="W102" s="8"/>
    </row>
    <row r="103">
      <c r="A103" s="62">
        <f>Scores!A113</f>
        <v>102</v>
      </c>
      <c r="B103" s="54" t="str">
        <f>Compilation!D110</f>
        <v>💎jailctf merger</v>
      </c>
      <c r="C103" s="54">
        <f t="shared" si="1"/>
        <v>2</v>
      </c>
      <c r="D103" s="54">
        <f>Compilation!F110</f>
        <v>124</v>
      </c>
      <c r="E103" s="54">
        <f t="shared" si="2"/>
        <v>126</v>
      </c>
      <c r="F103" s="54">
        <f>Compilation!E110</f>
        <v>124</v>
      </c>
      <c r="G103" s="54">
        <f>countif(Scores!B113:AG113,D103)</f>
        <v>2</v>
      </c>
      <c r="H103" s="54">
        <f>Compilation!G110</f>
        <v>126</v>
      </c>
      <c r="J103" s="50">
        <f t="shared" si="6"/>
        <v>87</v>
      </c>
      <c r="K103" s="21">
        <v>54.0</v>
      </c>
      <c r="L103" s="14" t="s">
        <v>94</v>
      </c>
      <c r="M103" s="8">
        <v>4.0</v>
      </c>
      <c r="N103" s="8">
        <v>266.0</v>
      </c>
      <c r="O103" s="8">
        <v>270.0</v>
      </c>
      <c r="U103" s="50" t="str">
        <f t="shared" si="7"/>
        <v/>
      </c>
      <c r="V103" s="14"/>
      <c r="W103" s="8"/>
    </row>
    <row r="104">
      <c r="A104" s="62">
        <f>Scores!A114</f>
        <v>103</v>
      </c>
      <c r="B104" s="54" t="str">
        <f>Compilation!D111</f>
        <v>🥇 x24</v>
      </c>
      <c r="C104" s="54">
        <f t="shared" si="1"/>
        <v>-0.000000025</v>
      </c>
      <c r="D104" s="54">
        <f>Compilation!F111</f>
        <v>29</v>
      </c>
      <c r="E104" s="54" t="str">
        <f t="shared" si="2"/>
        <v/>
      </c>
      <c r="F104" s="54">
        <f>Compilation!E111</f>
        <v>-1</v>
      </c>
      <c r="G104" s="54">
        <f>countif(Scores!B114:AG114,D104)</f>
        <v>25</v>
      </c>
      <c r="H104" s="54">
        <f>Compilation!G111</f>
        <v>-1</v>
      </c>
      <c r="J104" s="50">
        <f t="shared" si="6"/>
        <v>103</v>
      </c>
      <c r="K104" s="21">
        <v>346.0</v>
      </c>
      <c r="L104" s="14" t="s">
        <v>93</v>
      </c>
      <c r="M104" s="8">
        <v>3.0</v>
      </c>
      <c r="N104" s="8">
        <v>52.0</v>
      </c>
      <c r="O104" s="8">
        <v>55.0</v>
      </c>
      <c r="U104" s="50" t="str">
        <f t="shared" si="7"/>
        <v/>
      </c>
      <c r="V104" s="14"/>
      <c r="W104" s="8"/>
    </row>
    <row r="105">
      <c r="A105" s="62">
        <f>Scores!A115</f>
        <v>104</v>
      </c>
      <c r="B105" s="54" t="str">
        <f>Compilation!D112</f>
        <v>🥇 x3</v>
      </c>
      <c r="C105" s="54">
        <f t="shared" si="1"/>
        <v>-0.000000004</v>
      </c>
      <c r="D105" s="54">
        <f>Compilation!F112</f>
        <v>84</v>
      </c>
      <c r="E105" s="54" t="str">
        <f t="shared" si="2"/>
        <v/>
      </c>
      <c r="F105" s="54">
        <f>Compilation!E112</f>
        <v>-1</v>
      </c>
      <c r="G105" s="54">
        <f>countif(Scores!B115:AG115,D105)</f>
        <v>4</v>
      </c>
      <c r="H105" s="54">
        <f>Compilation!G112</f>
        <v>-1</v>
      </c>
      <c r="J105" s="50">
        <f t="shared" si="6"/>
        <v>103</v>
      </c>
      <c r="K105" s="21">
        <v>176.0</v>
      </c>
      <c r="L105" s="14" t="s">
        <v>93</v>
      </c>
      <c r="M105" s="8">
        <v>3.0</v>
      </c>
      <c r="N105" s="8">
        <v>61.0</v>
      </c>
      <c r="O105" s="8">
        <v>64.0</v>
      </c>
      <c r="U105" s="50" t="str">
        <f t="shared" si="7"/>
        <v/>
      </c>
      <c r="V105" s="14"/>
      <c r="W105" s="8"/>
    </row>
    <row r="106">
      <c r="A106" s="62">
        <f>Scores!A116</f>
        <v>105</v>
      </c>
      <c r="B106" s="54" t="str">
        <f>Compilation!D113</f>
        <v>💎jailctf merger</v>
      </c>
      <c r="C106" s="54">
        <f t="shared" si="1"/>
        <v>2</v>
      </c>
      <c r="D106" s="54">
        <f>Compilation!F113</f>
        <v>124</v>
      </c>
      <c r="E106" s="54">
        <f t="shared" si="2"/>
        <v>126</v>
      </c>
      <c r="F106" s="54">
        <f>Compilation!E113</f>
        <v>124</v>
      </c>
      <c r="G106" s="54">
        <f>countif(Scores!B116:AG116,D106)</f>
        <v>2</v>
      </c>
      <c r="H106" s="54">
        <f>Compilation!G113</f>
        <v>126</v>
      </c>
      <c r="J106" s="50">
        <f t="shared" si="6"/>
        <v>103</v>
      </c>
      <c r="K106" s="21">
        <v>257.0</v>
      </c>
      <c r="L106" s="14" t="s">
        <v>93</v>
      </c>
      <c r="M106" s="8">
        <v>3.0</v>
      </c>
      <c r="N106" s="8">
        <v>68.0</v>
      </c>
      <c r="O106" s="8">
        <v>71.0</v>
      </c>
      <c r="U106" s="50" t="str">
        <f t="shared" si="7"/>
        <v/>
      </c>
      <c r="V106" s="14"/>
      <c r="W106" s="8"/>
    </row>
    <row r="107">
      <c r="A107" s="62">
        <f>Scores!A117</f>
        <v>106</v>
      </c>
      <c r="B107" s="54" t="str">
        <f>Compilation!D114</f>
        <v>💎ox jam</v>
      </c>
      <c r="C107" s="54">
        <f t="shared" si="1"/>
        <v>4</v>
      </c>
      <c r="D107" s="54">
        <f>Compilation!F114</f>
        <v>55</v>
      </c>
      <c r="E107" s="54">
        <f t="shared" si="2"/>
        <v>59</v>
      </c>
      <c r="F107" s="54">
        <f>Compilation!E114</f>
        <v>55</v>
      </c>
      <c r="G107" s="54">
        <f>countif(Scores!B117:AG117,D107)</f>
        <v>2</v>
      </c>
      <c r="H107" s="54">
        <f>Compilation!G114</f>
        <v>59</v>
      </c>
      <c r="J107" s="50">
        <f t="shared" si="6"/>
        <v>103</v>
      </c>
      <c r="K107" s="21">
        <v>344.0</v>
      </c>
      <c r="L107" s="14" t="s">
        <v>93</v>
      </c>
      <c r="M107" s="8">
        <v>3.0</v>
      </c>
      <c r="N107" s="8">
        <v>74.0</v>
      </c>
      <c r="O107" s="8">
        <v>77.0</v>
      </c>
      <c r="U107" s="50" t="str">
        <f t="shared" si="7"/>
        <v/>
      </c>
      <c r="V107" s="14"/>
      <c r="W107" s="8"/>
    </row>
    <row r="108">
      <c r="A108" s="62">
        <f>Scores!A118</f>
        <v>107</v>
      </c>
      <c r="B108" s="54" t="str">
        <f>Compilation!D115</f>
        <v>💎ox jam</v>
      </c>
      <c r="C108" s="54">
        <f t="shared" si="1"/>
        <v>5</v>
      </c>
      <c r="D108" s="54">
        <f>Compilation!F115</f>
        <v>132</v>
      </c>
      <c r="E108" s="54">
        <f t="shared" si="2"/>
        <v>137</v>
      </c>
      <c r="F108" s="54">
        <f>Compilation!E115</f>
        <v>132</v>
      </c>
      <c r="G108" s="54">
        <f>countif(Scores!B118:AG118,D108)</f>
        <v>2</v>
      </c>
      <c r="H108" s="54">
        <f>Compilation!G115</f>
        <v>137</v>
      </c>
      <c r="J108" s="50">
        <f t="shared" si="6"/>
        <v>103</v>
      </c>
      <c r="K108" s="21">
        <v>109.0</v>
      </c>
      <c r="L108" s="14" t="s">
        <v>93</v>
      </c>
      <c r="M108" s="8">
        <v>3.0</v>
      </c>
      <c r="N108" s="8">
        <v>77.0</v>
      </c>
      <c r="O108" s="8">
        <v>80.0</v>
      </c>
      <c r="U108" s="50" t="str">
        <f t="shared" si="7"/>
        <v/>
      </c>
      <c r="V108" s="14"/>
      <c r="W108" s="8"/>
    </row>
    <row r="109">
      <c r="A109" s="62">
        <f>Scores!A119</f>
        <v>108</v>
      </c>
      <c r="B109" s="54" t="str">
        <f>Compilation!D116</f>
        <v>🥇 x3</v>
      </c>
      <c r="C109" s="54">
        <f t="shared" si="1"/>
        <v>-0.000000003</v>
      </c>
      <c r="D109" s="54">
        <f>Compilation!F116</f>
        <v>46</v>
      </c>
      <c r="E109" s="54" t="str">
        <f t="shared" si="2"/>
        <v/>
      </c>
      <c r="F109" s="54">
        <f>Compilation!E116</f>
        <v>-1</v>
      </c>
      <c r="G109" s="54">
        <f>countif(Scores!B119:AG119,D109)</f>
        <v>3</v>
      </c>
      <c r="H109" s="54">
        <f>Compilation!G116</f>
        <v>-1</v>
      </c>
      <c r="J109" s="50">
        <f t="shared" si="6"/>
        <v>103</v>
      </c>
      <c r="K109" s="21">
        <v>254.0</v>
      </c>
      <c r="L109" s="14" t="s">
        <v>94</v>
      </c>
      <c r="M109" s="8">
        <v>3.0</v>
      </c>
      <c r="N109" s="8">
        <v>81.0</v>
      </c>
      <c r="O109" s="8">
        <v>84.0</v>
      </c>
      <c r="U109" s="50" t="str">
        <f t="shared" si="7"/>
        <v/>
      </c>
      <c r="V109" s="14"/>
      <c r="W109" s="8"/>
    </row>
    <row r="110">
      <c r="A110" s="62">
        <f>Scores!A120</f>
        <v>109</v>
      </c>
      <c r="B110" s="54" t="str">
        <f>Compilation!D117</f>
        <v>💎ox jam</v>
      </c>
      <c r="C110" s="54">
        <f t="shared" si="1"/>
        <v>3</v>
      </c>
      <c r="D110" s="54">
        <f>Compilation!F117</f>
        <v>77</v>
      </c>
      <c r="E110" s="54">
        <f t="shared" si="2"/>
        <v>80</v>
      </c>
      <c r="F110" s="54">
        <f>Compilation!E117</f>
        <v>77</v>
      </c>
      <c r="G110" s="54">
        <f>countif(Scores!B120:AG120,D110)</f>
        <v>2</v>
      </c>
      <c r="H110" s="54">
        <f>Compilation!G117</f>
        <v>80</v>
      </c>
      <c r="J110" s="50">
        <f t="shared" si="6"/>
        <v>103</v>
      </c>
      <c r="K110" s="21">
        <v>357.0</v>
      </c>
      <c r="L110" s="14" t="s">
        <v>96</v>
      </c>
      <c r="M110" s="8">
        <v>3.0</v>
      </c>
      <c r="N110" s="8">
        <v>81.0</v>
      </c>
      <c r="O110" s="8">
        <v>84.0</v>
      </c>
      <c r="U110" s="50" t="str">
        <f t="shared" si="7"/>
        <v/>
      </c>
      <c r="V110" s="14"/>
      <c r="W110" s="8"/>
    </row>
    <row r="111">
      <c r="A111" s="62">
        <f>Scores!A121</f>
        <v>110</v>
      </c>
      <c r="B111" s="54" t="str">
        <f>Compilation!D118</f>
        <v>💎LogicLynx</v>
      </c>
      <c r="C111" s="54">
        <f t="shared" si="1"/>
        <v>1</v>
      </c>
      <c r="D111" s="54">
        <f>Compilation!F118</f>
        <v>83</v>
      </c>
      <c r="E111" s="54">
        <f t="shared" si="2"/>
        <v>84</v>
      </c>
      <c r="F111" s="54">
        <f>Compilation!E118</f>
        <v>83</v>
      </c>
      <c r="G111" s="54">
        <f>countif(Scores!B121:AG121,D111)</f>
        <v>2</v>
      </c>
      <c r="H111" s="54">
        <f>Compilation!G118</f>
        <v>84</v>
      </c>
      <c r="J111" s="50">
        <f t="shared" si="6"/>
        <v>103</v>
      </c>
      <c r="K111" s="21">
        <v>48.0</v>
      </c>
      <c r="L111" s="14" t="s">
        <v>95</v>
      </c>
      <c r="M111" s="8">
        <v>3.0</v>
      </c>
      <c r="N111" s="8">
        <v>92.0</v>
      </c>
      <c r="O111" s="8">
        <v>95.0</v>
      </c>
      <c r="U111" s="50" t="str">
        <f t="shared" si="7"/>
        <v/>
      </c>
      <c r="V111" s="14"/>
      <c r="W111" s="8"/>
    </row>
    <row r="112">
      <c r="A112" s="62">
        <f>Scores!A122</f>
        <v>111</v>
      </c>
      <c r="B112" s="54" t="str">
        <f>Compilation!D119</f>
        <v>🥇 x5</v>
      </c>
      <c r="C112" s="54">
        <f t="shared" si="1"/>
        <v>-0.000000006</v>
      </c>
      <c r="D112" s="54">
        <f>Compilation!F119</f>
        <v>60</v>
      </c>
      <c r="E112" s="54" t="str">
        <f t="shared" si="2"/>
        <v/>
      </c>
      <c r="F112" s="54">
        <f>Compilation!E119</f>
        <v>-1</v>
      </c>
      <c r="G112" s="54">
        <f>countif(Scores!B122:AG122,D112)</f>
        <v>6</v>
      </c>
      <c r="H112" s="54">
        <f>Compilation!G119</f>
        <v>-1</v>
      </c>
      <c r="J112" s="50">
        <f t="shared" si="6"/>
        <v>103</v>
      </c>
      <c r="K112" s="21">
        <v>247.0</v>
      </c>
      <c r="L112" s="14" t="s">
        <v>93</v>
      </c>
      <c r="M112" s="8">
        <v>3.0</v>
      </c>
      <c r="N112" s="8">
        <v>92.0</v>
      </c>
      <c r="O112" s="8">
        <v>95.0</v>
      </c>
      <c r="U112" s="50" t="str">
        <f t="shared" si="7"/>
        <v/>
      </c>
      <c r="V112" s="14"/>
      <c r="W112" s="8"/>
    </row>
    <row r="113">
      <c r="A113" s="62">
        <f>Scores!A123</f>
        <v>112</v>
      </c>
      <c r="B113" s="54" t="str">
        <f>Compilation!D120</f>
        <v>🥇 x2</v>
      </c>
      <c r="C113" s="54">
        <f t="shared" si="1"/>
        <v>-0.000000003</v>
      </c>
      <c r="D113" s="54">
        <f>Compilation!F120</f>
        <v>91</v>
      </c>
      <c r="E113" s="54" t="str">
        <f t="shared" si="2"/>
        <v/>
      </c>
      <c r="F113" s="54">
        <f>Compilation!E120</f>
        <v>-1</v>
      </c>
      <c r="G113" s="54">
        <f>countif(Scores!B123:AG123,D113)</f>
        <v>3</v>
      </c>
      <c r="H113" s="54">
        <f>Compilation!G120</f>
        <v>-1</v>
      </c>
      <c r="J113" s="50">
        <f t="shared" si="6"/>
        <v>103</v>
      </c>
      <c r="K113" s="21">
        <v>97.0</v>
      </c>
      <c r="L113" s="14" t="s">
        <v>93</v>
      </c>
      <c r="M113" s="8">
        <v>3.0</v>
      </c>
      <c r="N113" s="8">
        <v>93.0</v>
      </c>
      <c r="O113" s="8">
        <v>96.0</v>
      </c>
      <c r="U113" s="50" t="str">
        <f t="shared" si="7"/>
        <v/>
      </c>
      <c r="V113" s="14"/>
      <c r="W113" s="8"/>
    </row>
    <row r="114">
      <c r="A114" s="62">
        <f>Scores!A124</f>
        <v>113</v>
      </c>
      <c r="B114" s="54" t="str">
        <f>Compilation!D121</f>
        <v>🥇 x31</v>
      </c>
      <c r="C114" s="54">
        <f t="shared" si="1"/>
        <v>-0.000000032</v>
      </c>
      <c r="D114" s="54">
        <f>Compilation!F121</f>
        <v>25</v>
      </c>
      <c r="E114" s="54" t="str">
        <f t="shared" si="2"/>
        <v/>
      </c>
      <c r="F114" s="54">
        <f>Compilation!E121</f>
        <v>-1</v>
      </c>
      <c r="G114" s="54">
        <f>countif(Scores!B124:AG124,D114)</f>
        <v>32</v>
      </c>
      <c r="H114" s="54">
        <f>Compilation!G121</f>
        <v>-1</v>
      </c>
      <c r="J114" s="50">
        <f t="shared" si="6"/>
        <v>103</v>
      </c>
      <c r="K114" s="21">
        <v>136.0</v>
      </c>
      <c r="L114" s="14" t="s">
        <v>94</v>
      </c>
      <c r="M114" s="8">
        <v>3.0</v>
      </c>
      <c r="N114" s="8">
        <v>94.0</v>
      </c>
      <c r="O114" s="8">
        <v>97.0</v>
      </c>
      <c r="U114" s="50" t="str">
        <f t="shared" si="7"/>
        <v/>
      </c>
      <c r="V114" s="14"/>
      <c r="W114" s="8"/>
    </row>
    <row r="115">
      <c r="A115" s="62">
        <f>Scores!A125</f>
        <v>114</v>
      </c>
      <c r="B115" s="54" t="str">
        <f>Compilation!D122</f>
        <v>🥇 x4</v>
      </c>
      <c r="C115" s="54">
        <f t="shared" si="1"/>
        <v>-0.000000005</v>
      </c>
      <c r="D115" s="54">
        <f>Compilation!F122</f>
        <v>64</v>
      </c>
      <c r="E115" s="54" t="str">
        <f t="shared" si="2"/>
        <v/>
      </c>
      <c r="F115" s="54">
        <f>Compilation!E122</f>
        <v>-1</v>
      </c>
      <c r="G115" s="54">
        <f>countif(Scores!B125:AG125,D115)</f>
        <v>5</v>
      </c>
      <c r="H115" s="54">
        <f>Compilation!G122</f>
        <v>-1</v>
      </c>
      <c r="J115" s="50">
        <f t="shared" si="6"/>
        <v>103</v>
      </c>
      <c r="K115" s="21">
        <v>88.0</v>
      </c>
      <c r="L115" s="14" t="s">
        <v>95</v>
      </c>
      <c r="M115" s="8">
        <v>3.0</v>
      </c>
      <c r="N115" s="8">
        <v>95.0</v>
      </c>
      <c r="O115" s="8">
        <v>98.0</v>
      </c>
      <c r="U115" s="50" t="str">
        <f t="shared" si="7"/>
        <v/>
      </c>
      <c r="V115" s="14"/>
      <c r="W115" s="8"/>
    </row>
    <row r="116">
      <c r="A116" s="62">
        <f>Scores!A126</f>
        <v>115</v>
      </c>
      <c r="B116" s="54" t="str">
        <f>Compilation!D123</f>
        <v>🥇 x2</v>
      </c>
      <c r="C116" s="54">
        <f t="shared" si="1"/>
        <v>-0.000000003</v>
      </c>
      <c r="D116" s="54">
        <f>Compilation!F123</f>
        <v>51</v>
      </c>
      <c r="E116" s="54" t="str">
        <f t="shared" si="2"/>
        <v/>
      </c>
      <c r="F116" s="54">
        <f>Compilation!E123</f>
        <v>-1</v>
      </c>
      <c r="G116" s="54">
        <f>countif(Scores!B126:AG126,D116)</f>
        <v>3</v>
      </c>
      <c r="H116" s="54">
        <f>Compilation!G123</f>
        <v>-1</v>
      </c>
      <c r="J116" s="50">
        <f t="shared" si="6"/>
        <v>103</v>
      </c>
      <c r="K116" s="21">
        <v>355.0</v>
      </c>
      <c r="L116" s="14" t="s">
        <v>95</v>
      </c>
      <c r="M116" s="8">
        <v>3.0</v>
      </c>
      <c r="N116" s="8">
        <v>95.0</v>
      </c>
      <c r="O116" s="8">
        <v>98.0</v>
      </c>
      <c r="U116" s="50" t="str">
        <f t="shared" si="7"/>
        <v/>
      </c>
      <c r="V116" s="14"/>
      <c r="W116" s="8"/>
    </row>
    <row r="117">
      <c r="A117" s="62">
        <f>Scores!A127</f>
        <v>116</v>
      </c>
      <c r="B117" s="54" t="str">
        <f>Compilation!D124</f>
        <v>🥇 x43</v>
      </c>
      <c r="C117" s="54">
        <f t="shared" si="1"/>
        <v>-0.000000044</v>
      </c>
      <c r="D117" s="54">
        <f>Compilation!F124</f>
        <v>20</v>
      </c>
      <c r="E117" s="54" t="str">
        <f t="shared" si="2"/>
        <v/>
      </c>
      <c r="F117" s="54">
        <f>Compilation!E124</f>
        <v>-1</v>
      </c>
      <c r="G117" s="54">
        <f>countif(Scores!B127:AG127,D117)</f>
        <v>44</v>
      </c>
      <c r="H117" s="54">
        <f>Compilation!G124</f>
        <v>-1</v>
      </c>
      <c r="J117" s="50">
        <f t="shared" si="6"/>
        <v>103</v>
      </c>
      <c r="K117" s="21">
        <v>37.0</v>
      </c>
      <c r="L117" s="14" t="s">
        <v>94</v>
      </c>
      <c r="M117" s="8">
        <v>3.0</v>
      </c>
      <c r="N117" s="8">
        <v>101.0</v>
      </c>
      <c r="O117" s="8">
        <v>104.0</v>
      </c>
      <c r="U117" s="50" t="str">
        <f t="shared" si="7"/>
        <v/>
      </c>
      <c r="V117" s="14"/>
      <c r="W117" s="8"/>
    </row>
    <row r="118">
      <c r="A118" s="62">
        <f>Scores!A128</f>
        <v>117</v>
      </c>
      <c r="B118" s="54" t="str">
        <f>Compilation!D125</f>
        <v>💎Code Golf International</v>
      </c>
      <c r="C118" s="54">
        <f t="shared" si="1"/>
        <v>15</v>
      </c>
      <c r="D118" s="54">
        <f>Compilation!F125</f>
        <v>115</v>
      </c>
      <c r="E118" s="54">
        <f t="shared" si="2"/>
        <v>130</v>
      </c>
      <c r="F118" s="54">
        <f>Compilation!E125</f>
        <v>115</v>
      </c>
      <c r="G118" s="54">
        <f>countif(Scores!B128:AG128,D118)</f>
        <v>2</v>
      </c>
      <c r="H118" s="54">
        <f>Compilation!G125</f>
        <v>130</v>
      </c>
      <c r="J118" s="50">
        <f t="shared" si="6"/>
        <v>103</v>
      </c>
      <c r="K118" s="21">
        <v>374.0</v>
      </c>
      <c r="L118" s="14" t="s">
        <v>94</v>
      </c>
      <c r="M118" s="8">
        <v>3.0</v>
      </c>
      <c r="N118" s="8">
        <v>103.0</v>
      </c>
      <c r="O118" s="8">
        <v>106.0</v>
      </c>
      <c r="U118" s="50" t="str">
        <f t="shared" si="7"/>
        <v/>
      </c>
      <c r="V118" s="14"/>
      <c r="W118" s="8"/>
    </row>
    <row r="119">
      <c r="A119" s="62">
        <f>Scores!A129</f>
        <v>118</v>
      </c>
      <c r="B119" s="54" t="str">
        <f>Compilation!D126</f>
        <v>💎ox jam</v>
      </c>
      <c r="C119" s="54">
        <f t="shared" si="1"/>
        <v>19</v>
      </c>
      <c r="D119" s="54">
        <f>Compilation!F126</f>
        <v>225</v>
      </c>
      <c r="E119" s="54">
        <f t="shared" si="2"/>
        <v>244</v>
      </c>
      <c r="F119" s="54">
        <f>Compilation!E126</f>
        <v>225</v>
      </c>
      <c r="G119" s="54">
        <f>countif(Scores!B129:AG129,D119)</f>
        <v>1</v>
      </c>
      <c r="H119" s="54">
        <f>Compilation!G126</f>
        <v>244</v>
      </c>
      <c r="J119" s="50">
        <f t="shared" si="6"/>
        <v>103</v>
      </c>
      <c r="K119" s="21">
        <v>265.0</v>
      </c>
      <c r="L119" s="14" t="s">
        <v>94</v>
      </c>
      <c r="M119" s="8">
        <v>3.0</v>
      </c>
      <c r="N119" s="8">
        <v>104.0</v>
      </c>
      <c r="O119" s="8">
        <v>107.0</v>
      </c>
      <c r="U119" s="50" t="str">
        <f t="shared" si="7"/>
        <v/>
      </c>
      <c r="V119" s="14"/>
      <c r="W119" s="8"/>
    </row>
    <row r="120">
      <c r="A120" s="62">
        <f>Scores!A130</f>
        <v>119</v>
      </c>
      <c r="B120" s="54" t="str">
        <f>Compilation!D127</f>
        <v>🥇 x4</v>
      </c>
      <c r="C120" s="54">
        <f t="shared" si="1"/>
        <v>-0.000000005</v>
      </c>
      <c r="D120" s="54">
        <f>Compilation!F127</f>
        <v>102</v>
      </c>
      <c r="E120" s="54" t="str">
        <f t="shared" si="2"/>
        <v/>
      </c>
      <c r="F120" s="54">
        <f>Compilation!E127</f>
        <v>-1</v>
      </c>
      <c r="G120" s="54">
        <f>countif(Scores!B130:AG130,D120)</f>
        <v>5</v>
      </c>
      <c r="H120" s="54">
        <f>Compilation!G127</f>
        <v>-1</v>
      </c>
      <c r="J120" s="50">
        <f t="shared" si="6"/>
        <v>103</v>
      </c>
      <c r="K120" s="21">
        <v>185.0</v>
      </c>
      <c r="L120" s="14" t="s">
        <v>94</v>
      </c>
      <c r="M120" s="8">
        <v>3.0</v>
      </c>
      <c r="N120" s="8">
        <v>107.0</v>
      </c>
      <c r="O120" s="8">
        <v>110.0</v>
      </c>
      <c r="U120" s="50" t="str">
        <f t="shared" si="7"/>
        <v/>
      </c>
      <c r="V120" s="14"/>
      <c r="W120" s="8"/>
    </row>
    <row r="121">
      <c r="A121" s="62">
        <f>Scores!A131</f>
        <v>120</v>
      </c>
      <c r="B121" s="54" t="str">
        <f>Compilation!D128</f>
        <v>💎ox jam</v>
      </c>
      <c r="C121" s="54">
        <f t="shared" si="1"/>
        <v>7</v>
      </c>
      <c r="D121" s="54">
        <f>Compilation!F128</f>
        <v>78</v>
      </c>
      <c r="E121" s="54">
        <f t="shared" si="2"/>
        <v>85</v>
      </c>
      <c r="F121" s="54">
        <f>Compilation!E128</f>
        <v>78</v>
      </c>
      <c r="G121" s="54">
        <f>countif(Scores!B131:AG131,D121)</f>
        <v>1</v>
      </c>
      <c r="H121" s="54">
        <f>Compilation!G128</f>
        <v>85</v>
      </c>
      <c r="J121" s="50">
        <f t="shared" si="6"/>
        <v>103</v>
      </c>
      <c r="K121" s="21">
        <v>198.0</v>
      </c>
      <c r="L121" s="14" t="s">
        <v>94</v>
      </c>
      <c r="M121" s="8">
        <v>3.0</v>
      </c>
      <c r="N121" s="8">
        <v>107.0</v>
      </c>
      <c r="O121" s="8">
        <v>110.0</v>
      </c>
      <c r="U121" s="50" t="str">
        <f t="shared" si="7"/>
        <v/>
      </c>
      <c r="V121" s="14"/>
      <c r="W121" s="8"/>
    </row>
    <row r="122">
      <c r="A122" s="62">
        <f>Scores!A132</f>
        <v>121</v>
      </c>
      <c r="B122" s="54" t="str">
        <f>Compilation!D129</f>
        <v>🥇 x2</v>
      </c>
      <c r="C122" s="54">
        <f t="shared" si="1"/>
        <v>-0.000000002</v>
      </c>
      <c r="D122" s="54">
        <f>Compilation!F129</f>
        <v>85</v>
      </c>
      <c r="E122" s="54" t="str">
        <f t="shared" si="2"/>
        <v/>
      </c>
      <c r="F122" s="54">
        <f>Compilation!E129</f>
        <v>-1</v>
      </c>
      <c r="G122" s="54">
        <f>countif(Scores!B132:AG132,D122)</f>
        <v>2</v>
      </c>
      <c r="H122" s="54">
        <f>Compilation!G129</f>
        <v>-1</v>
      </c>
      <c r="J122" s="50">
        <f t="shared" si="6"/>
        <v>103</v>
      </c>
      <c r="K122" s="21">
        <v>397.0</v>
      </c>
      <c r="L122" s="14" t="s">
        <v>95</v>
      </c>
      <c r="M122" s="8">
        <v>3.0</v>
      </c>
      <c r="N122" s="8">
        <v>110.0</v>
      </c>
      <c r="O122" s="8">
        <v>113.0</v>
      </c>
      <c r="U122" s="50" t="str">
        <f t="shared" si="7"/>
        <v/>
      </c>
      <c r="V122" s="14"/>
      <c r="W122" s="8"/>
    </row>
    <row r="123">
      <c r="A123" s="62">
        <f>Scores!A133</f>
        <v>122</v>
      </c>
      <c r="B123" s="54" t="str">
        <f>Compilation!D130</f>
        <v>💎Code Golf International</v>
      </c>
      <c r="C123" s="54">
        <f t="shared" si="1"/>
        <v>1</v>
      </c>
      <c r="D123" s="54">
        <f>Compilation!F130</f>
        <v>70</v>
      </c>
      <c r="E123" s="54">
        <f t="shared" si="2"/>
        <v>71</v>
      </c>
      <c r="F123" s="54">
        <f>Compilation!E130</f>
        <v>70</v>
      </c>
      <c r="G123" s="54">
        <f>countif(Scores!B133:AG133,D123)</f>
        <v>2</v>
      </c>
      <c r="H123" s="54">
        <f>Compilation!G130</f>
        <v>71</v>
      </c>
      <c r="J123" s="50">
        <f t="shared" si="6"/>
        <v>103</v>
      </c>
      <c r="K123" s="21">
        <v>143.0</v>
      </c>
      <c r="L123" s="14" t="s">
        <v>94</v>
      </c>
      <c r="M123" s="8">
        <v>3.0</v>
      </c>
      <c r="N123" s="8">
        <v>127.0</v>
      </c>
      <c r="O123" s="8">
        <v>130.0</v>
      </c>
      <c r="U123" s="50" t="str">
        <f t="shared" si="7"/>
        <v/>
      </c>
      <c r="V123" s="14"/>
      <c r="W123" s="8"/>
    </row>
    <row r="124">
      <c r="A124" s="62">
        <f>Scores!A134</f>
        <v>123</v>
      </c>
      <c r="B124" s="54" t="str">
        <f>Compilation!D131</f>
        <v>🥇 x3</v>
      </c>
      <c r="C124" s="54">
        <f t="shared" si="1"/>
        <v>-0.000000004</v>
      </c>
      <c r="D124" s="54">
        <f>Compilation!F131</f>
        <v>71</v>
      </c>
      <c r="E124" s="54" t="str">
        <f t="shared" si="2"/>
        <v/>
      </c>
      <c r="F124" s="54">
        <f>Compilation!E131</f>
        <v>-1</v>
      </c>
      <c r="G124" s="54">
        <f>countif(Scores!B134:AG134,D124)</f>
        <v>4</v>
      </c>
      <c r="H124" s="54">
        <f>Compilation!G131</f>
        <v>-1</v>
      </c>
      <c r="J124" s="50">
        <f t="shared" si="6"/>
        <v>103</v>
      </c>
      <c r="K124" s="21">
        <v>86.0</v>
      </c>
      <c r="L124" s="14" t="s">
        <v>93</v>
      </c>
      <c r="M124" s="8">
        <v>3.0</v>
      </c>
      <c r="N124" s="8">
        <v>151.0</v>
      </c>
      <c r="O124" s="8">
        <v>154.0</v>
      </c>
      <c r="U124" s="50" t="str">
        <f t="shared" si="7"/>
        <v/>
      </c>
      <c r="V124" s="14"/>
      <c r="W124" s="8"/>
    </row>
    <row r="125">
      <c r="A125" s="62">
        <f>Scores!A135</f>
        <v>124</v>
      </c>
      <c r="B125" s="54" t="str">
        <f>Compilation!D132</f>
        <v>💎ox jam</v>
      </c>
      <c r="C125" s="54">
        <f t="shared" si="1"/>
        <v>1</v>
      </c>
      <c r="D125" s="54">
        <f>Compilation!F132</f>
        <v>95</v>
      </c>
      <c r="E125" s="54">
        <f t="shared" si="2"/>
        <v>96</v>
      </c>
      <c r="F125" s="54">
        <f>Compilation!E132</f>
        <v>95</v>
      </c>
      <c r="G125" s="54">
        <f>countif(Scores!B135:AG135,D125)</f>
        <v>2</v>
      </c>
      <c r="H125" s="54">
        <f>Compilation!G132</f>
        <v>96</v>
      </c>
      <c r="J125" s="50">
        <f t="shared" si="6"/>
        <v>103</v>
      </c>
      <c r="K125" s="21">
        <v>170.0</v>
      </c>
      <c r="L125" s="14" t="s">
        <v>95</v>
      </c>
      <c r="M125" s="8">
        <v>3.0</v>
      </c>
      <c r="N125" s="8">
        <v>163.0</v>
      </c>
      <c r="O125" s="8">
        <v>166.0</v>
      </c>
      <c r="U125" s="50" t="str">
        <f t="shared" si="7"/>
        <v/>
      </c>
      <c r="V125" s="14"/>
      <c r="W125" s="8"/>
    </row>
    <row r="126">
      <c r="A126" s="62">
        <f>Scores!A136</f>
        <v>125</v>
      </c>
      <c r="B126" s="54" t="str">
        <f>Compilation!D133</f>
        <v>💎jailctf merger</v>
      </c>
      <c r="C126" s="54">
        <f t="shared" si="1"/>
        <v>6</v>
      </c>
      <c r="D126" s="54">
        <f>Compilation!F133</f>
        <v>110</v>
      </c>
      <c r="E126" s="54">
        <f t="shared" si="2"/>
        <v>116</v>
      </c>
      <c r="F126" s="54">
        <f>Compilation!E133</f>
        <v>110</v>
      </c>
      <c r="G126" s="54">
        <f>countif(Scores!B136:AG136,D126)</f>
        <v>2</v>
      </c>
      <c r="H126" s="54">
        <f>Compilation!G133</f>
        <v>116</v>
      </c>
      <c r="J126" s="50">
        <f t="shared" si="6"/>
        <v>103</v>
      </c>
      <c r="K126" s="21">
        <v>308.0</v>
      </c>
      <c r="L126" s="14" t="s">
        <v>99</v>
      </c>
      <c r="M126" s="8">
        <v>3.0</v>
      </c>
      <c r="N126" s="8">
        <v>192.0</v>
      </c>
      <c r="O126" s="8">
        <v>195.0</v>
      </c>
      <c r="U126" s="50" t="str">
        <f t="shared" si="7"/>
        <v/>
      </c>
      <c r="V126" s="14"/>
      <c r="W126" s="8"/>
    </row>
    <row r="127">
      <c r="A127" s="62">
        <f>Scores!A137</f>
        <v>126</v>
      </c>
      <c r="B127" s="54" t="str">
        <f>Compilation!D134</f>
        <v>🥇 x9</v>
      </c>
      <c r="C127" s="54">
        <f t="shared" si="1"/>
        <v>-0.00000001</v>
      </c>
      <c r="D127" s="54">
        <f>Compilation!F134</f>
        <v>54</v>
      </c>
      <c r="E127" s="54" t="str">
        <f t="shared" si="2"/>
        <v/>
      </c>
      <c r="F127" s="54">
        <f>Compilation!E134</f>
        <v>-1</v>
      </c>
      <c r="G127" s="54">
        <f>countif(Scores!B137:AG137,D127)</f>
        <v>10</v>
      </c>
      <c r="H127" s="54">
        <f>Compilation!G134</f>
        <v>-1</v>
      </c>
      <c r="J127" s="50">
        <f t="shared" si="6"/>
        <v>103</v>
      </c>
      <c r="K127" s="21">
        <v>173.0</v>
      </c>
      <c r="L127" s="14" t="s">
        <v>95</v>
      </c>
      <c r="M127" s="8">
        <v>3.0</v>
      </c>
      <c r="N127" s="8">
        <v>201.0</v>
      </c>
      <c r="O127" s="8">
        <v>204.0</v>
      </c>
      <c r="U127" s="50" t="str">
        <f t="shared" si="7"/>
        <v/>
      </c>
      <c r="V127" s="14"/>
      <c r="W127" s="8"/>
    </row>
    <row r="128">
      <c r="A128" s="62">
        <f>Scores!A138</f>
        <v>127</v>
      </c>
      <c r="B128" s="54" t="str">
        <f>Compilation!D135</f>
        <v>💎Code Golf International</v>
      </c>
      <c r="C128" s="54">
        <f t="shared" si="1"/>
        <v>2</v>
      </c>
      <c r="D128" s="54">
        <f>Compilation!F135</f>
        <v>57</v>
      </c>
      <c r="E128" s="54">
        <f t="shared" si="2"/>
        <v>59</v>
      </c>
      <c r="F128" s="54">
        <f>Compilation!E135</f>
        <v>57</v>
      </c>
      <c r="G128" s="54">
        <f>countif(Scores!B138:AG138,D128)</f>
        <v>2</v>
      </c>
      <c r="H128" s="54">
        <f>Compilation!G135</f>
        <v>59</v>
      </c>
      <c r="J128" s="50">
        <f t="shared" si="6"/>
        <v>103</v>
      </c>
      <c r="K128" s="21">
        <v>66.0</v>
      </c>
      <c r="L128" s="14" t="s">
        <v>95</v>
      </c>
      <c r="M128" s="8">
        <v>3.0</v>
      </c>
      <c r="N128" s="8">
        <v>237.0</v>
      </c>
      <c r="O128" s="8">
        <v>240.0</v>
      </c>
      <c r="U128" s="50" t="str">
        <f t="shared" si="7"/>
        <v/>
      </c>
      <c r="V128" s="14"/>
      <c r="W128" s="8"/>
    </row>
    <row r="129">
      <c r="A129" s="62">
        <f>Scores!A139</f>
        <v>128</v>
      </c>
      <c r="B129" s="54" t="str">
        <f>Compilation!D136</f>
        <v>💎Code Golf International</v>
      </c>
      <c r="C129" s="54">
        <f t="shared" si="1"/>
        <v>2</v>
      </c>
      <c r="D129" s="54">
        <f>Compilation!F136</f>
        <v>57</v>
      </c>
      <c r="E129" s="54">
        <f t="shared" si="2"/>
        <v>59</v>
      </c>
      <c r="F129" s="54">
        <f>Compilation!E136</f>
        <v>57</v>
      </c>
      <c r="G129" s="54">
        <f>countif(Scores!B139:AG139,D129)</f>
        <v>2</v>
      </c>
      <c r="H129" s="54">
        <f>Compilation!G136</f>
        <v>59</v>
      </c>
      <c r="J129" s="50">
        <f t="shared" si="6"/>
        <v>103</v>
      </c>
      <c r="K129" s="21">
        <v>209.0</v>
      </c>
      <c r="L129" s="14" t="s">
        <v>93</v>
      </c>
      <c r="M129" s="8">
        <v>3.0</v>
      </c>
      <c r="N129" s="8">
        <v>247.0</v>
      </c>
      <c r="O129" s="8">
        <v>250.0</v>
      </c>
      <c r="U129" s="50" t="str">
        <f t="shared" si="7"/>
        <v/>
      </c>
      <c r="V129" s="14"/>
      <c r="W129" s="8"/>
    </row>
    <row r="130">
      <c r="A130" s="62">
        <f>Scores!A140</f>
        <v>129</v>
      </c>
      <c r="B130" s="54" t="str">
        <f>Compilation!D137</f>
        <v>🥇 x12</v>
      </c>
      <c r="C130" s="54">
        <f t="shared" si="1"/>
        <v>-0.000000013</v>
      </c>
      <c r="D130" s="54">
        <f>Compilation!F137</f>
        <v>47</v>
      </c>
      <c r="E130" s="54" t="str">
        <f t="shared" si="2"/>
        <v/>
      </c>
      <c r="F130" s="54">
        <f>Compilation!E137</f>
        <v>-1</v>
      </c>
      <c r="G130" s="54">
        <f>countif(Scores!B140:AG140,D130)</f>
        <v>13</v>
      </c>
      <c r="H130" s="54">
        <f>Compilation!G137</f>
        <v>-1</v>
      </c>
      <c r="J130" s="50">
        <f t="shared" si="6"/>
        <v>129</v>
      </c>
      <c r="K130" s="21">
        <v>309.0</v>
      </c>
      <c r="L130" s="14" t="s">
        <v>94</v>
      </c>
      <c r="M130" s="8">
        <v>2.0</v>
      </c>
      <c r="N130" s="8">
        <v>36.0</v>
      </c>
      <c r="O130" s="8">
        <v>38.0</v>
      </c>
      <c r="U130" s="50" t="str">
        <f t="shared" si="7"/>
        <v/>
      </c>
      <c r="V130" s="14"/>
      <c r="W130" s="8"/>
    </row>
    <row r="131">
      <c r="A131" s="62">
        <f>Scores!A141</f>
        <v>130</v>
      </c>
      <c r="B131" s="54" t="str">
        <f>Compilation!D138</f>
        <v>💎Code Golf International</v>
      </c>
      <c r="C131" s="54">
        <f t="shared" si="1"/>
        <v>4</v>
      </c>
      <c r="D131" s="54">
        <f>Compilation!F138</f>
        <v>61</v>
      </c>
      <c r="E131" s="54">
        <f t="shared" si="2"/>
        <v>65</v>
      </c>
      <c r="F131" s="54">
        <f>Compilation!E138</f>
        <v>61</v>
      </c>
      <c r="G131" s="54">
        <f>countif(Scores!B141:AG141,D131)</f>
        <v>2</v>
      </c>
      <c r="H131" s="54">
        <f>Compilation!G138</f>
        <v>65</v>
      </c>
      <c r="J131" s="50">
        <f t="shared" si="6"/>
        <v>129</v>
      </c>
      <c r="K131" s="21">
        <v>252.0</v>
      </c>
      <c r="L131" s="14" t="s">
        <v>93</v>
      </c>
      <c r="M131" s="8">
        <v>2.0</v>
      </c>
      <c r="N131" s="8">
        <v>53.0</v>
      </c>
      <c r="O131" s="8">
        <v>55.0</v>
      </c>
      <c r="U131" s="50" t="str">
        <f t="shared" si="7"/>
        <v/>
      </c>
      <c r="V131" s="14"/>
      <c r="W131" s="8"/>
    </row>
    <row r="132">
      <c r="A132" s="62">
        <f>Scores!A142</f>
        <v>131</v>
      </c>
      <c r="B132" s="54" t="str">
        <f>Compilation!D139</f>
        <v>💎jailctf merger</v>
      </c>
      <c r="C132" s="54">
        <f t="shared" si="1"/>
        <v>8</v>
      </c>
      <c r="D132" s="54">
        <f>Compilation!F139</f>
        <v>117</v>
      </c>
      <c r="E132" s="54">
        <f t="shared" si="2"/>
        <v>125</v>
      </c>
      <c r="F132" s="54">
        <f>Compilation!E139</f>
        <v>117</v>
      </c>
      <c r="G132" s="54">
        <f>countif(Scores!B142:AG142,D132)</f>
        <v>2</v>
      </c>
      <c r="H132" s="54">
        <f>Compilation!G139</f>
        <v>125</v>
      </c>
      <c r="J132" s="50">
        <f t="shared" si="6"/>
        <v>129</v>
      </c>
      <c r="K132" s="21">
        <v>287.0</v>
      </c>
      <c r="L132" s="14" t="s">
        <v>94</v>
      </c>
      <c r="M132" s="8">
        <v>2.0</v>
      </c>
      <c r="N132" s="8">
        <v>53.0</v>
      </c>
      <c r="O132" s="8">
        <v>55.0</v>
      </c>
      <c r="U132" s="50" t="str">
        <f t="shared" si="7"/>
        <v/>
      </c>
      <c r="V132" s="14"/>
      <c r="W132" s="8"/>
    </row>
    <row r="133">
      <c r="A133" s="62">
        <f>Scores!A143</f>
        <v>132</v>
      </c>
      <c r="B133" s="54" t="str">
        <f>Compilation!D140</f>
        <v>🥇 x3</v>
      </c>
      <c r="C133" s="54">
        <f t="shared" si="1"/>
        <v>-0.000000004</v>
      </c>
      <c r="D133" s="54">
        <f>Compilation!F140</f>
        <v>86</v>
      </c>
      <c r="E133" s="54" t="str">
        <f t="shared" si="2"/>
        <v/>
      </c>
      <c r="F133" s="54">
        <f>Compilation!E140</f>
        <v>-1</v>
      </c>
      <c r="G133" s="54">
        <f>countif(Scores!B143:AG143,D133)</f>
        <v>4</v>
      </c>
      <c r="H133" s="54">
        <f>Compilation!G140</f>
        <v>-1</v>
      </c>
      <c r="J133" s="50">
        <f t="shared" si="6"/>
        <v>129</v>
      </c>
      <c r="K133" s="21">
        <v>127.0</v>
      </c>
      <c r="L133" s="14" t="s">
        <v>94</v>
      </c>
      <c r="M133" s="8">
        <v>2.0</v>
      </c>
      <c r="N133" s="8">
        <v>57.0</v>
      </c>
      <c r="O133" s="8">
        <v>59.0</v>
      </c>
      <c r="U133" s="50" t="str">
        <f t="shared" si="7"/>
        <v/>
      </c>
      <c r="V133" s="14"/>
      <c r="W133" s="8"/>
    </row>
    <row r="134">
      <c r="A134" s="62">
        <f>Scores!A144</f>
        <v>133</v>
      </c>
      <c r="B134" s="54" t="str">
        <f>Compilation!D141</f>
        <v>💎ox jam</v>
      </c>
      <c r="C134" s="54">
        <f t="shared" si="1"/>
        <v>2</v>
      </c>
      <c r="D134" s="54">
        <f>Compilation!F141</f>
        <v>273</v>
      </c>
      <c r="E134" s="54">
        <f t="shared" si="2"/>
        <v>275</v>
      </c>
      <c r="F134" s="54">
        <f>Compilation!E141</f>
        <v>273</v>
      </c>
      <c r="G134" s="54">
        <f>countif(Scores!B144:AG144,D134)</f>
        <v>1</v>
      </c>
      <c r="H134" s="54">
        <f>Compilation!G141</f>
        <v>275</v>
      </c>
      <c r="J134" s="50">
        <f t="shared" si="6"/>
        <v>129</v>
      </c>
      <c r="K134" s="21">
        <v>128.0</v>
      </c>
      <c r="L134" s="14" t="s">
        <v>94</v>
      </c>
      <c r="M134" s="8">
        <v>2.0</v>
      </c>
      <c r="N134" s="8">
        <v>57.0</v>
      </c>
      <c r="O134" s="8">
        <v>59.0</v>
      </c>
      <c r="U134" s="50" t="str">
        <f t="shared" si="7"/>
        <v/>
      </c>
      <c r="V134" s="14"/>
      <c r="W134" s="8"/>
    </row>
    <row r="135">
      <c r="A135" s="62">
        <f>Scores!A145</f>
        <v>134</v>
      </c>
      <c r="B135" s="54" t="str">
        <f>Compilation!D142</f>
        <v>💎ox jam</v>
      </c>
      <c r="C135" s="54">
        <f t="shared" si="1"/>
        <v>19</v>
      </c>
      <c r="D135" s="54">
        <f>Compilation!F142</f>
        <v>123</v>
      </c>
      <c r="E135" s="54">
        <f t="shared" si="2"/>
        <v>142</v>
      </c>
      <c r="F135" s="54">
        <f>Compilation!E142</f>
        <v>123</v>
      </c>
      <c r="G135" s="54">
        <f>countif(Scores!B145:AG145,D135)</f>
        <v>2</v>
      </c>
      <c r="H135" s="54">
        <f>Compilation!G142</f>
        <v>142</v>
      </c>
      <c r="J135" s="50">
        <f t="shared" si="6"/>
        <v>129</v>
      </c>
      <c r="K135" s="21">
        <v>291.0</v>
      </c>
      <c r="L135" s="14" t="s">
        <v>93</v>
      </c>
      <c r="M135" s="8">
        <v>2.0</v>
      </c>
      <c r="N135" s="8">
        <v>59.0</v>
      </c>
      <c r="O135" s="8">
        <v>61.0</v>
      </c>
      <c r="U135" s="50" t="str">
        <f t="shared" si="7"/>
        <v/>
      </c>
      <c r="V135" s="14"/>
      <c r="W135" s="8"/>
    </row>
    <row r="136">
      <c r="A136" s="62">
        <f>Scores!A146</f>
        <v>135</v>
      </c>
      <c r="B136" s="54" t="str">
        <f>Compilation!D143</f>
        <v>🥇 x33</v>
      </c>
      <c r="C136" s="54">
        <f t="shared" si="1"/>
        <v>-0.000000034</v>
      </c>
      <c r="D136" s="54">
        <f>Compilation!F143</f>
        <v>32</v>
      </c>
      <c r="E136" s="54" t="str">
        <f t="shared" si="2"/>
        <v/>
      </c>
      <c r="F136" s="54">
        <f>Compilation!E143</f>
        <v>-1</v>
      </c>
      <c r="G136" s="54">
        <f>countif(Scores!B146:AG146,D136)</f>
        <v>34</v>
      </c>
      <c r="H136" s="54">
        <f>Compilation!G143</f>
        <v>-1</v>
      </c>
      <c r="J136" s="50">
        <f t="shared" si="6"/>
        <v>129</v>
      </c>
      <c r="K136" s="21">
        <v>244.0</v>
      </c>
      <c r="L136" s="14" t="s">
        <v>94</v>
      </c>
      <c r="M136" s="8">
        <v>2.0</v>
      </c>
      <c r="N136" s="8">
        <v>61.0</v>
      </c>
      <c r="O136" s="8">
        <v>63.0</v>
      </c>
      <c r="U136" s="50" t="str">
        <f t="shared" si="7"/>
        <v/>
      </c>
      <c r="V136" s="14"/>
      <c r="W136" s="8"/>
    </row>
    <row r="137">
      <c r="A137" s="62">
        <f>Scores!A147</f>
        <v>136</v>
      </c>
      <c r="B137" s="54" t="str">
        <f>Compilation!D144</f>
        <v>💎Code Golf International</v>
      </c>
      <c r="C137" s="54">
        <f t="shared" si="1"/>
        <v>3</v>
      </c>
      <c r="D137" s="54">
        <f>Compilation!F144</f>
        <v>94</v>
      </c>
      <c r="E137" s="54">
        <f t="shared" si="2"/>
        <v>97</v>
      </c>
      <c r="F137" s="54">
        <f>Compilation!E144</f>
        <v>94</v>
      </c>
      <c r="G137" s="54">
        <f>countif(Scores!B147:AG147,D137)</f>
        <v>2</v>
      </c>
      <c r="H137" s="54">
        <f>Compilation!G144</f>
        <v>97</v>
      </c>
      <c r="J137" s="50">
        <f t="shared" si="6"/>
        <v>129</v>
      </c>
      <c r="K137" s="21">
        <v>338.0</v>
      </c>
      <c r="L137" s="14" t="s">
        <v>95</v>
      </c>
      <c r="M137" s="8">
        <v>2.0</v>
      </c>
      <c r="N137" s="8">
        <v>62.0</v>
      </c>
      <c r="O137" s="8">
        <v>64.0</v>
      </c>
      <c r="U137" s="50" t="str">
        <f t="shared" si="7"/>
        <v/>
      </c>
      <c r="V137" s="14"/>
      <c r="W137" s="8"/>
    </row>
    <row r="138">
      <c r="A138" s="62">
        <f>Scores!A148</f>
        <v>137</v>
      </c>
      <c r="B138" s="54" t="str">
        <f>Compilation!D145</f>
        <v>💎jailctf merger</v>
      </c>
      <c r="C138" s="54">
        <f t="shared" si="1"/>
        <v>2</v>
      </c>
      <c r="D138" s="54">
        <f>Compilation!F145</f>
        <v>137</v>
      </c>
      <c r="E138" s="54">
        <f t="shared" si="2"/>
        <v>139</v>
      </c>
      <c r="F138" s="54">
        <f>Compilation!E145</f>
        <v>137</v>
      </c>
      <c r="G138" s="54">
        <f>countif(Scores!B148:AG148,D138)</f>
        <v>2</v>
      </c>
      <c r="H138" s="54">
        <f>Compilation!G145</f>
        <v>139</v>
      </c>
      <c r="J138" s="50">
        <f t="shared" si="6"/>
        <v>129</v>
      </c>
      <c r="K138" s="21">
        <v>274.0</v>
      </c>
      <c r="L138" s="14" t="s">
        <v>99</v>
      </c>
      <c r="M138" s="8">
        <v>2.0</v>
      </c>
      <c r="N138" s="8">
        <v>65.0</v>
      </c>
      <c r="O138" s="8">
        <v>67.0</v>
      </c>
      <c r="U138" s="50" t="str">
        <f t="shared" si="7"/>
        <v/>
      </c>
      <c r="V138" s="14"/>
      <c r="W138" s="8"/>
    </row>
    <row r="139">
      <c r="A139" s="62">
        <f>Scores!A149</f>
        <v>138</v>
      </c>
      <c r="B139" s="54" t="str">
        <f>Compilation!D146</f>
        <v>🥇 x3</v>
      </c>
      <c r="C139" s="54">
        <f t="shared" si="1"/>
        <v>-0.000000003</v>
      </c>
      <c r="D139" s="54">
        <f>Compilation!F146</f>
        <v>103</v>
      </c>
      <c r="E139" s="54" t="str">
        <f t="shared" si="2"/>
        <v/>
      </c>
      <c r="F139" s="54">
        <f>Compilation!E146</f>
        <v>-1</v>
      </c>
      <c r="G139" s="54">
        <f>countif(Scores!B149:AG149,D139)</f>
        <v>3</v>
      </c>
      <c r="H139" s="54">
        <f>Compilation!G146</f>
        <v>-1</v>
      </c>
      <c r="J139" s="50">
        <f t="shared" si="6"/>
        <v>129</v>
      </c>
      <c r="K139" s="21">
        <v>290.0</v>
      </c>
      <c r="L139" s="14" t="s">
        <v>94</v>
      </c>
      <c r="M139" s="8">
        <v>2.0</v>
      </c>
      <c r="N139" s="8">
        <v>65.0</v>
      </c>
      <c r="O139" s="8">
        <v>67.0</v>
      </c>
      <c r="U139" s="50" t="str">
        <f t="shared" si="7"/>
        <v/>
      </c>
      <c r="V139" s="14"/>
      <c r="W139" s="8"/>
    </row>
    <row r="140">
      <c r="A140" s="62">
        <f>Scores!A150</f>
        <v>139</v>
      </c>
      <c r="B140" s="54" t="str">
        <f>Compilation!D147</f>
        <v>💎biz</v>
      </c>
      <c r="C140" s="54">
        <f t="shared" si="1"/>
        <v>5</v>
      </c>
      <c r="D140" s="54">
        <f>Compilation!F147</f>
        <v>81</v>
      </c>
      <c r="E140" s="54">
        <f t="shared" si="2"/>
        <v>86</v>
      </c>
      <c r="F140" s="54">
        <f>Compilation!E147</f>
        <v>81</v>
      </c>
      <c r="G140" s="54">
        <f>countif(Scores!B150:AG150,D140)</f>
        <v>2</v>
      </c>
      <c r="H140" s="54">
        <f>Compilation!G147</f>
        <v>86</v>
      </c>
      <c r="J140" s="50">
        <f t="shared" si="6"/>
        <v>129</v>
      </c>
      <c r="K140" s="21">
        <v>33.0</v>
      </c>
      <c r="L140" s="14" t="s">
        <v>94</v>
      </c>
      <c r="M140" s="8">
        <v>2.0</v>
      </c>
      <c r="N140" s="8">
        <v>71.0</v>
      </c>
      <c r="O140" s="8">
        <v>73.0</v>
      </c>
      <c r="U140" s="50" t="str">
        <f t="shared" si="7"/>
        <v/>
      </c>
      <c r="V140" s="14"/>
      <c r="W140" s="8"/>
    </row>
    <row r="141">
      <c r="A141" s="62">
        <f>Scores!A151</f>
        <v>140</v>
      </c>
      <c r="B141" s="54" t="str">
        <f>Compilation!D148</f>
        <v>🥇 x43</v>
      </c>
      <c r="C141" s="54">
        <f t="shared" si="1"/>
        <v>-0.000000044</v>
      </c>
      <c r="D141" s="54">
        <f>Compilation!F148</f>
        <v>36</v>
      </c>
      <c r="E141" s="54" t="str">
        <f t="shared" si="2"/>
        <v/>
      </c>
      <c r="F141" s="54">
        <f>Compilation!E148</f>
        <v>-1</v>
      </c>
      <c r="G141" s="54">
        <f>countif(Scores!B151:AG151,D141)</f>
        <v>44</v>
      </c>
      <c r="H141" s="54">
        <f>Compilation!G148</f>
        <v>-1</v>
      </c>
      <c r="J141" s="50">
        <f t="shared" si="6"/>
        <v>129</v>
      </c>
      <c r="K141" s="21">
        <v>282.0</v>
      </c>
      <c r="L141" s="14" t="s">
        <v>94</v>
      </c>
      <c r="M141" s="8">
        <v>2.0</v>
      </c>
      <c r="N141" s="8">
        <v>74.0</v>
      </c>
      <c r="O141" s="8">
        <v>76.0</v>
      </c>
      <c r="U141" s="50" t="str">
        <f t="shared" si="7"/>
        <v/>
      </c>
      <c r="V141" s="14"/>
      <c r="W141" s="8"/>
    </row>
    <row r="142">
      <c r="A142" s="62">
        <f>Scores!A152</f>
        <v>141</v>
      </c>
      <c r="B142" s="54" t="str">
        <f>Compilation!D149</f>
        <v>🥇 x2</v>
      </c>
      <c r="C142" s="54">
        <f t="shared" si="1"/>
        <v>-0.000000003</v>
      </c>
      <c r="D142" s="54">
        <f>Compilation!F149</f>
        <v>92</v>
      </c>
      <c r="E142" s="54" t="str">
        <f t="shared" si="2"/>
        <v/>
      </c>
      <c r="F142" s="54">
        <f>Compilation!E149</f>
        <v>-1</v>
      </c>
      <c r="G142" s="54">
        <f>countif(Scores!B152:AG152,D142)</f>
        <v>3</v>
      </c>
      <c r="H142" s="54">
        <f>Compilation!G149</f>
        <v>-1</v>
      </c>
      <c r="J142" s="50">
        <f t="shared" si="6"/>
        <v>129</v>
      </c>
      <c r="K142" s="21">
        <v>55.0</v>
      </c>
      <c r="L142" s="14" t="s">
        <v>93</v>
      </c>
      <c r="M142" s="8">
        <v>2.0</v>
      </c>
      <c r="N142" s="8">
        <v>77.0</v>
      </c>
      <c r="O142" s="8">
        <v>79.0</v>
      </c>
      <c r="U142" s="50" t="str">
        <f t="shared" si="7"/>
        <v/>
      </c>
      <c r="V142" s="14"/>
      <c r="W142" s="8"/>
    </row>
    <row r="143">
      <c r="A143" s="62">
        <f>Scores!A153</f>
        <v>142</v>
      </c>
      <c r="B143" s="54" t="str">
        <f>Compilation!D150</f>
        <v>🥇 x29</v>
      </c>
      <c r="C143" s="54">
        <f t="shared" si="1"/>
        <v>-0.00000003</v>
      </c>
      <c r="D143" s="54">
        <f>Compilation!F150</f>
        <v>40</v>
      </c>
      <c r="E143" s="54" t="str">
        <f t="shared" si="2"/>
        <v/>
      </c>
      <c r="F143" s="54">
        <f>Compilation!E150</f>
        <v>-1</v>
      </c>
      <c r="G143" s="54">
        <f>countif(Scores!B153:AG153,D143)</f>
        <v>30</v>
      </c>
      <c r="H143" s="54">
        <f>Compilation!G150</f>
        <v>-1</v>
      </c>
      <c r="J143" s="50">
        <f t="shared" si="6"/>
        <v>129</v>
      </c>
      <c r="K143" s="21">
        <v>70.0</v>
      </c>
      <c r="L143" s="14" t="s">
        <v>95</v>
      </c>
      <c r="M143" s="8">
        <v>2.0</v>
      </c>
      <c r="N143" s="8">
        <v>78.0</v>
      </c>
      <c r="O143" s="8">
        <v>80.0</v>
      </c>
      <c r="U143" s="50" t="str">
        <f t="shared" si="7"/>
        <v/>
      </c>
      <c r="V143" s="14"/>
      <c r="W143" s="8"/>
    </row>
    <row r="144">
      <c r="A144" s="62">
        <f>Scores!A154</f>
        <v>143</v>
      </c>
      <c r="B144" s="54" t="str">
        <f>Compilation!D151</f>
        <v>💎Code Golf International</v>
      </c>
      <c r="C144" s="54">
        <f t="shared" si="1"/>
        <v>3</v>
      </c>
      <c r="D144" s="54">
        <f>Compilation!F151</f>
        <v>127</v>
      </c>
      <c r="E144" s="54">
        <f t="shared" si="2"/>
        <v>130</v>
      </c>
      <c r="F144" s="54">
        <f>Compilation!E151</f>
        <v>127</v>
      </c>
      <c r="G144" s="54">
        <f>countif(Scores!B154:AG154,D144)</f>
        <v>2</v>
      </c>
      <c r="H144" s="54">
        <f>Compilation!G151</f>
        <v>130</v>
      </c>
      <c r="J144" s="50">
        <f t="shared" si="6"/>
        <v>129</v>
      </c>
      <c r="K144" s="21">
        <v>81.0</v>
      </c>
      <c r="L144" s="14" t="s">
        <v>95</v>
      </c>
      <c r="M144" s="8">
        <v>2.0</v>
      </c>
      <c r="N144" s="8">
        <v>81.0</v>
      </c>
      <c r="O144" s="8">
        <v>83.0</v>
      </c>
      <c r="U144" s="50" t="str">
        <f t="shared" si="7"/>
        <v/>
      </c>
      <c r="V144" s="14"/>
      <c r="W144" s="8"/>
    </row>
    <row r="145">
      <c r="A145" s="62">
        <f>Scores!A155</f>
        <v>144</v>
      </c>
      <c r="B145" s="54" t="str">
        <f>Compilation!D152</f>
        <v>🥇 x4</v>
      </c>
      <c r="C145" s="54">
        <f t="shared" si="1"/>
        <v>-0.000000005</v>
      </c>
      <c r="D145" s="54">
        <f>Compilation!F152</f>
        <v>53</v>
      </c>
      <c r="E145" s="54" t="str">
        <f t="shared" si="2"/>
        <v/>
      </c>
      <c r="F145" s="54">
        <f>Compilation!E152</f>
        <v>-1</v>
      </c>
      <c r="G145" s="54">
        <f>countif(Scores!B155:AG155,D145)</f>
        <v>5</v>
      </c>
      <c r="H145" s="54">
        <f>Compilation!G152</f>
        <v>-1</v>
      </c>
      <c r="J145" s="50">
        <f t="shared" si="6"/>
        <v>129</v>
      </c>
      <c r="K145" s="21">
        <v>65.0</v>
      </c>
      <c r="L145" s="14" t="s">
        <v>94</v>
      </c>
      <c r="M145" s="8">
        <v>2.0</v>
      </c>
      <c r="N145" s="8">
        <v>82.0</v>
      </c>
      <c r="O145" s="8">
        <v>84.0</v>
      </c>
      <c r="U145" s="50" t="str">
        <f t="shared" si="7"/>
        <v/>
      </c>
      <c r="V145" s="14"/>
      <c r="W145" s="8"/>
    </row>
    <row r="146">
      <c r="A146" s="62">
        <f>Scores!A156</f>
        <v>145</v>
      </c>
      <c r="B146" s="54" t="str">
        <f>Compilation!D153</f>
        <v>💎ox jam</v>
      </c>
      <c r="C146" s="54">
        <f t="shared" si="1"/>
        <v>10</v>
      </c>
      <c r="D146" s="54">
        <f>Compilation!F153</f>
        <v>157</v>
      </c>
      <c r="E146" s="54">
        <f t="shared" si="2"/>
        <v>167</v>
      </c>
      <c r="F146" s="54">
        <f>Compilation!E153</f>
        <v>157</v>
      </c>
      <c r="G146" s="54">
        <f>countif(Scores!B156:AG156,D146)</f>
        <v>1</v>
      </c>
      <c r="H146" s="54">
        <f>Compilation!G153</f>
        <v>167</v>
      </c>
      <c r="J146" s="50">
        <f t="shared" si="6"/>
        <v>129</v>
      </c>
      <c r="K146" s="21">
        <v>314.0</v>
      </c>
      <c r="L146" s="14" t="s">
        <v>93</v>
      </c>
      <c r="M146" s="8">
        <v>2.0</v>
      </c>
      <c r="N146" s="8">
        <v>82.0</v>
      </c>
      <c r="O146" s="8">
        <v>84.0</v>
      </c>
      <c r="U146" s="50" t="str">
        <f t="shared" si="7"/>
        <v/>
      </c>
      <c r="V146" s="14"/>
      <c r="W146" s="8"/>
    </row>
    <row r="147">
      <c r="A147" s="62">
        <f>Scores!A157</f>
        <v>146</v>
      </c>
      <c r="B147" s="54" t="str">
        <f>Compilation!D154</f>
        <v>🥇 x13</v>
      </c>
      <c r="C147" s="54">
        <f t="shared" si="1"/>
        <v>-0.000000014</v>
      </c>
      <c r="D147" s="54">
        <f>Compilation!F154</f>
        <v>58</v>
      </c>
      <c r="E147" s="54" t="str">
        <f t="shared" si="2"/>
        <v/>
      </c>
      <c r="F147" s="54">
        <f>Compilation!E154</f>
        <v>-1</v>
      </c>
      <c r="G147" s="54">
        <f>countif(Scores!B157:AG157,D147)</f>
        <v>14</v>
      </c>
      <c r="H147" s="54">
        <f>Compilation!G154</f>
        <v>-1</v>
      </c>
      <c r="J147" s="50">
        <f t="shared" si="6"/>
        <v>129</v>
      </c>
      <c r="K147" s="21">
        <v>2.0</v>
      </c>
      <c r="L147" s="14" t="s">
        <v>95</v>
      </c>
      <c r="M147" s="8">
        <v>2.0</v>
      </c>
      <c r="N147" s="8">
        <v>86.0</v>
      </c>
      <c r="O147" s="8">
        <v>88.0</v>
      </c>
      <c r="U147" s="50" t="str">
        <f t="shared" si="7"/>
        <v/>
      </c>
      <c r="V147" s="14"/>
      <c r="W147" s="8"/>
    </row>
    <row r="148">
      <c r="A148" s="62">
        <f>Scores!A158</f>
        <v>147</v>
      </c>
      <c r="B148" s="54" t="str">
        <f>Compilation!D155</f>
        <v>💎ox jam</v>
      </c>
      <c r="C148" s="54">
        <f t="shared" si="1"/>
        <v>9</v>
      </c>
      <c r="D148" s="54">
        <f>Compilation!F155</f>
        <v>72</v>
      </c>
      <c r="E148" s="54">
        <f t="shared" si="2"/>
        <v>81</v>
      </c>
      <c r="F148" s="54">
        <f>Compilation!E155</f>
        <v>72</v>
      </c>
      <c r="G148" s="54">
        <f>countif(Scores!B158:AG158,D148)</f>
        <v>2</v>
      </c>
      <c r="H148" s="54">
        <f>Compilation!G155</f>
        <v>81</v>
      </c>
      <c r="J148" s="50">
        <f t="shared" si="6"/>
        <v>129</v>
      </c>
      <c r="K148" s="21">
        <v>336.0</v>
      </c>
      <c r="L148" s="14" t="s">
        <v>95</v>
      </c>
      <c r="M148" s="8">
        <v>2.0</v>
      </c>
      <c r="N148" s="8">
        <v>86.0</v>
      </c>
      <c r="O148" s="8">
        <v>88.0</v>
      </c>
      <c r="U148" s="50" t="str">
        <f t="shared" si="7"/>
        <v/>
      </c>
      <c r="V148" s="14"/>
      <c r="W148" s="8"/>
    </row>
    <row r="149">
      <c r="A149" s="62">
        <f>Scores!A159</f>
        <v>148</v>
      </c>
      <c r="B149" s="54" t="str">
        <f>Compilation!D156</f>
        <v>💎Code Golf International</v>
      </c>
      <c r="C149" s="54">
        <f t="shared" si="1"/>
        <v>6</v>
      </c>
      <c r="D149" s="54">
        <f>Compilation!F156</f>
        <v>118</v>
      </c>
      <c r="E149" s="54">
        <f t="shared" si="2"/>
        <v>124</v>
      </c>
      <c r="F149" s="54">
        <f>Compilation!E156</f>
        <v>118</v>
      </c>
      <c r="G149" s="54">
        <f>countif(Scores!B159:AG159,D149)</f>
        <v>2</v>
      </c>
      <c r="H149" s="54">
        <f>Compilation!G156</f>
        <v>124</v>
      </c>
      <c r="J149" s="50">
        <f t="shared" si="6"/>
        <v>129</v>
      </c>
      <c r="K149" s="21">
        <v>174.0</v>
      </c>
      <c r="L149" s="14" t="s">
        <v>95</v>
      </c>
      <c r="M149" s="8">
        <v>2.0</v>
      </c>
      <c r="N149" s="8">
        <v>89.0</v>
      </c>
      <c r="O149" s="8">
        <v>91.0</v>
      </c>
      <c r="U149" s="50" t="str">
        <f t="shared" si="7"/>
        <v/>
      </c>
      <c r="V149" s="14"/>
      <c r="W149" s="8"/>
    </row>
    <row r="150">
      <c r="A150" s="62">
        <f>Scores!A160</f>
        <v>149</v>
      </c>
      <c r="B150" s="54" t="str">
        <f>Compilation!D157</f>
        <v>💎jailctf merger</v>
      </c>
      <c r="C150" s="54">
        <f t="shared" si="1"/>
        <v>1</v>
      </c>
      <c r="D150" s="54">
        <f>Compilation!F157</f>
        <v>74</v>
      </c>
      <c r="E150" s="54">
        <f t="shared" si="2"/>
        <v>75</v>
      </c>
      <c r="F150" s="54">
        <f>Compilation!E157</f>
        <v>74</v>
      </c>
      <c r="G150" s="54">
        <f>countif(Scores!B160:AG160,D150)</f>
        <v>2</v>
      </c>
      <c r="H150" s="54">
        <f>Compilation!G157</f>
        <v>75</v>
      </c>
      <c r="J150" s="50">
        <f t="shared" si="6"/>
        <v>129</v>
      </c>
      <c r="K150" s="21">
        <v>350.0</v>
      </c>
      <c r="L150" s="14" t="s">
        <v>93</v>
      </c>
      <c r="M150" s="8">
        <v>2.0</v>
      </c>
      <c r="N150" s="8">
        <v>89.0</v>
      </c>
      <c r="O150" s="8">
        <v>91.0</v>
      </c>
      <c r="U150" s="50" t="str">
        <f t="shared" si="7"/>
        <v/>
      </c>
      <c r="V150" s="14"/>
      <c r="W150" s="8"/>
    </row>
    <row r="151">
      <c r="A151" s="62">
        <f>Scores!A161</f>
        <v>150</v>
      </c>
      <c r="B151" s="54" t="str">
        <f>Compilation!D158</f>
        <v>🥇 x44</v>
      </c>
      <c r="C151" s="54">
        <f t="shared" si="1"/>
        <v>-0.000000045</v>
      </c>
      <c r="D151" s="54">
        <f>Compilation!F158</f>
        <v>30</v>
      </c>
      <c r="E151" s="54" t="str">
        <f t="shared" si="2"/>
        <v/>
      </c>
      <c r="F151" s="54">
        <f>Compilation!E158</f>
        <v>-1</v>
      </c>
      <c r="G151" s="54">
        <f>countif(Scores!B161:AG161,D151)</f>
        <v>45</v>
      </c>
      <c r="H151" s="54">
        <f>Compilation!G158</f>
        <v>-1</v>
      </c>
      <c r="J151" s="50">
        <f t="shared" si="6"/>
        <v>129</v>
      </c>
      <c r="K151" s="21">
        <v>256.0</v>
      </c>
      <c r="L151" s="14" t="s">
        <v>96</v>
      </c>
      <c r="M151" s="8">
        <v>2.0</v>
      </c>
      <c r="N151" s="8">
        <v>93.0</v>
      </c>
      <c r="O151" s="8">
        <v>95.0</v>
      </c>
      <c r="U151" s="50" t="str">
        <f t="shared" si="7"/>
        <v/>
      </c>
      <c r="V151" s="14"/>
      <c r="W151" s="8"/>
    </row>
    <row r="152">
      <c r="A152" s="62">
        <f>Scores!A162</f>
        <v>151</v>
      </c>
      <c r="B152" s="54" t="str">
        <f>Compilation!D159</f>
        <v>💎LogicLynx</v>
      </c>
      <c r="C152" s="54">
        <f t="shared" si="1"/>
        <v>2</v>
      </c>
      <c r="D152" s="54">
        <f>Compilation!F159</f>
        <v>100</v>
      </c>
      <c r="E152" s="54">
        <f t="shared" si="2"/>
        <v>102</v>
      </c>
      <c r="F152" s="54">
        <f>Compilation!E159</f>
        <v>100</v>
      </c>
      <c r="G152" s="54">
        <f>countif(Scores!B162:AG162,D152)</f>
        <v>2</v>
      </c>
      <c r="H152" s="54">
        <f>Compilation!G159</f>
        <v>102</v>
      </c>
      <c r="J152" s="50">
        <f t="shared" si="6"/>
        <v>129</v>
      </c>
      <c r="K152" s="21">
        <v>250.0</v>
      </c>
      <c r="L152" s="14" t="s">
        <v>93</v>
      </c>
      <c r="M152" s="8">
        <v>2.0</v>
      </c>
      <c r="N152" s="8">
        <v>95.0</v>
      </c>
      <c r="O152" s="8">
        <v>97.0</v>
      </c>
      <c r="U152" s="50" t="str">
        <f t="shared" si="7"/>
        <v/>
      </c>
      <c r="V152" s="14"/>
      <c r="W152" s="8"/>
    </row>
    <row r="153">
      <c r="A153" s="62">
        <f>Scores!A163</f>
        <v>152</v>
      </c>
      <c r="B153" s="54" t="str">
        <f>Compilation!D160</f>
        <v>💎jailctf merger</v>
      </c>
      <c r="C153" s="54">
        <f t="shared" si="1"/>
        <v>1</v>
      </c>
      <c r="D153" s="54">
        <f>Compilation!F160</f>
        <v>39</v>
      </c>
      <c r="E153" s="54">
        <f t="shared" si="2"/>
        <v>40</v>
      </c>
      <c r="F153" s="54">
        <f>Compilation!E160</f>
        <v>39</v>
      </c>
      <c r="G153" s="54">
        <f>countif(Scores!B163:AG163,D153)</f>
        <v>2</v>
      </c>
      <c r="H153" s="54">
        <f>Compilation!G160</f>
        <v>40</v>
      </c>
      <c r="J153" s="50">
        <f t="shared" si="6"/>
        <v>129</v>
      </c>
      <c r="K153" s="21">
        <v>154.0</v>
      </c>
      <c r="L153" s="14" t="s">
        <v>101</v>
      </c>
      <c r="M153" s="8">
        <v>2.0</v>
      </c>
      <c r="N153" s="8">
        <v>96.0</v>
      </c>
      <c r="O153" s="8">
        <v>98.0</v>
      </c>
      <c r="U153" s="50" t="str">
        <f t="shared" si="7"/>
        <v/>
      </c>
      <c r="V153" s="14"/>
      <c r="W153" s="8"/>
    </row>
    <row r="154">
      <c r="A154" s="62">
        <f>Scores!A164</f>
        <v>153</v>
      </c>
      <c r="B154" s="54" t="str">
        <f>Compilation!D161</f>
        <v>💎Code Golf International</v>
      </c>
      <c r="C154" s="54">
        <f t="shared" si="1"/>
        <v>1</v>
      </c>
      <c r="D154" s="54">
        <f>Compilation!F161</f>
        <v>118</v>
      </c>
      <c r="E154" s="54">
        <f t="shared" si="2"/>
        <v>119</v>
      </c>
      <c r="F154" s="54">
        <f>Compilation!E161</f>
        <v>118</v>
      </c>
      <c r="G154" s="54">
        <f>countif(Scores!B164:AG164,D154)</f>
        <v>2</v>
      </c>
      <c r="H154" s="54">
        <f>Compilation!G161</f>
        <v>119</v>
      </c>
      <c r="J154" s="50">
        <f t="shared" si="6"/>
        <v>129</v>
      </c>
      <c r="K154" s="21">
        <v>151.0</v>
      </c>
      <c r="L154" s="14" t="s">
        <v>96</v>
      </c>
      <c r="M154" s="8">
        <v>2.0</v>
      </c>
      <c r="N154" s="8">
        <v>100.0</v>
      </c>
      <c r="O154" s="8">
        <v>102.0</v>
      </c>
      <c r="U154" s="50" t="str">
        <f t="shared" si="7"/>
        <v/>
      </c>
      <c r="V154" s="14"/>
      <c r="W154" s="8"/>
    </row>
    <row r="155">
      <c r="A155" s="62">
        <f>Scores!A165</f>
        <v>154</v>
      </c>
      <c r="B155" s="54" t="str">
        <f>Compilation!D162</f>
        <v>💎Ravi Annaswamy</v>
      </c>
      <c r="C155" s="54">
        <f t="shared" si="1"/>
        <v>2</v>
      </c>
      <c r="D155" s="54">
        <f>Compilation!F162</f>
        <v>96</v>
      </c>
      <c r="E155" s="54">
        <f t="shared" si="2"/>
        <v>98</v>
      </c>
      <c r="F155" s="54">
        <f>Compilation!E162</f>
        <v>96</v>
      </c>
      <c r="G155" s="54">
        <f>countif(Scores!B165:AG165,D155)</f>
        <v>1</v>
      </c>
      <c r="H155" s="54">
        <f>Compilation!G162</f>
        <v>98</v>
      </c>
      <c r="J155" s="50">
        <f t="shared" si="6"/>
        <v>129</v>
      </c>
      <c r="K155" s="21">
        <v>159.0</v>
      </c>
      <c r="L155" s="14" t="s">
        <v>94</v>
      </c>
      <c r="M155" s="8">
        <v>2.0</v>
      </c>
      <c r="N155" s="8">
        <v>103.0</v>
      </c>
      <c r="O155" s="8">
        <v>105.0</v>
      </c>
      <c r="U155" s="50" t="str">
        <f t="shared" si="7"/>
        <v/>
      </c>
      <c r="V155" s="14"/>
      <c r="W155" s="8"/>
    </row>
    <row r="156">
      <c r="A156" s="62">
        <f>Scores!A166</f>
        <v>155</v>
      </c>
      <c r="B156" s="54" t="str">
        <f>Compilation!D163</f>
        <v>🥇 x44</v>
      </c>
      <c r="C156" s="54">
        <f t="shared" si="1"/>
        <v>-0.000000045</v>
      </c>
      <c r="D156" s="54">
        <f>Compilation!F163</f>
        <v>18</v>
      </c>
      <c r="E156" s="54" t="str">
        <f t="shared" si="2"/>
        <v/>
      </c>
      <c r="F156" s="54">
        <f>Compilation!E163</f>
        <v>-1</v>
      </c>
      <c r="G156" s="54">
        <f>countif(Scores!B166:AG166,D156)</f>
        <v>45</v>
      </c>
      <c r="H156" s="54">
        <f>Compilation!G163</f>
        <v>-1</v>
      </c>
      <c r="J156" s="50">
        <f t="shared" si="6"/>
        <v>129</v>
      </c>
      <c r="K156" s="21">
        <v>79.0</v>
      </c>
      <c r="L156" s="14" t="s">
        <v>93</v>
      </c>
      <c r="M156" s="8">
        <v>2.0</v>
      </c>
      <c r="N156" s="8">
        <v>105.0</v>
      </c>
      <c r="O156" s="8">
        <v>107.0</v>
      </c>
      <c r="U156" s="50" t="str">
        <f t="shared" si="7"/>
        <v/>
      </c>
      <c r="V156" s="14"/>
      <c r="W156" s="8"/>
    </row>
    <row r="157">
      <c r="A157" s="62">
        <f>Scores!A167</f>
        <v>156</v>
      </c>
      <c r="B157" s="54" t="str">
        <f>Compilation!D164</f>
        <v>💎Code Golf International</v>
      </c>
      <c r="C157" s="54">
        <f t="shared" si="1"/>
        <v>10</v>
      </c>
      <c r="D157" s="54">
        <f>Compilation!F164</f>
        <v>118</v>
      </c>
      <c r="E157" s="54">
        <f t="shared" si="2"/>
        <v>128</v>
      </c>
      <c r="F157" s="54">
        <f>Compilation!E164</f>
        <v>118</v>
      </c>
      <c r="G157" s="54">
        <f>countif(Scores!B167:AG167,D157)</f>
        <v>2</v>
      </c>
      <c r="H157" s="54">
        <f>Compilation!G164</f>
        <v>128</v>
      </c>
      <c r="J157" s="50">
        <f t="shared" si="6"/>
        <v>129</v>
      </c>
      <c r="K157" s="21">
        <v>169.0</v>
      </c>
      <c r="L157" s="14" t="s">
        <v>94</v>
      </c>
      <c r="M157" s="8">
        <v>2.0</v>
      </c>
      <c r="N157" s="8">
        <v>108.0</v>
      </c>
      <c r="O157" s="8">
        <v>110.0</v>
      </c>
      <c r="U157" s="50" t="str">
        <f t="shared" si="7"/>
        <v/>
      </c>
      <c r="V157" s="14"/>
      <c r="W157" s="8"/>
    </row>
    <row r="158">
      <c r="A158" s="62">
        <f>Scores!A168</f>
        <v>157</v>
      </c>
      <c r="B158" s="54" t="str">
        <f>Compilation!D165</f>
        <v>💎garrymoss</v>
      </c>
      <c r="C158" s="54">
        <f t="shared" si="1"/>
        <v>1</v>
      </c>
      <c r="D158" s="54">
        <f>Compilation!F165</f>
        <v>237</v>
      </c>
      <c r="E158" s="54">
        <f t="shared" si="2"/>
        <v>238</v>
      </c>
      <c r="F158" s="54">
        <f>Compilation!E165</f>
        <v>237</v>
      </c>
      <c r="G158" s="54">
        <f>countif(Scores!B168:AG168,D158)</f>
        <v>1</v>
      </c>
      <c r="H158" s="54">
        <f>Compilation!G165</f>
        <v>238</v>
      </c>
      <c r="J158" s="50">
        <f t="shared" si="6"/>
        <v>129</v>
      </c>
      <c r="K158" s="21">
        <v>51.0</v>
      </c>
      <c r="L158" s="14" t="s">
        <v>93</v>
      </c>
      <c r="M158" s="8">
        <v>2.0</v>
      </c>
      <c r="N158" s="8">
        <v>111.0</v>
      </c>
      <c r="O158" s="8">
        <v>113.0</v>
      </c>
      <c r="U158" s="50" t="str">
        <f t="shared" si="7"/>
        <v/>
      </c>
      <c r="V158" s="14"/>
      <c r="W158" s="8"/>
    </row>
    <row r="159">
      <c r="A159" s="62">
        <f>Scores!A169</f>
        <v>158</v>
      </c>
      <c r="B159" s="54" t="str">
        <f>Compilation!D166</f>
        <v>💎ox jam</v>
      </c>
      <c r="C159" s="54">
        <f t="shared" si="1"/>
        <v>1</v>
      </c>
      <c r="D159" s="54">
        <f>Compilation!F166</f>
        <v>260</v>
      </c>
      <c r="E159" s="54">
        <f t="shared" si="2"/>
        <v>261</v>
      </c>
      <c r="F159" s="54">
        <f>Compilation!E166</f>
        <v>260</v>
      </c>
      <c r="G159" s="54">
        <f>countif(Scores!B169:AG169,D159)</f>
        <v>1</v>
      </c>
      <c r="H159" s="54">
        <f>Compilation!G166</f>
        <v>261</v>
      </c>
      <c r="J159" s="50">
        <f t="shared" si="6"/>
        <v>129</v>
      </c>
      <c r="K159" s="21">
        <v>216.0</v>
      </c>
      <c r="L159" s="14" t="s">
        <v>95</v>
      </c>
      <c r="M159" s="8">
        <v>2.0</v>
      </c>
      <c r="N159" s="8">
        <v>111.0</v>
      </c>
      <c r="O159" s="8">
        <v>113.0</v>
      </c>
      <c r="U159" s="50" t="str">
        <f t="shared" si="7"/>
        <v/>
      </c>
      <c r="V159" s="14"/>
      <c r="W159" s="8"/>
    </row>
    <row r="160">
      <c r="A160" s="62">
        <f>Scores!A170</f>
        <v>159</v>
      </c>
      <c r="B160" s="54" t="str">
        <f>Compilation!D167</f>
        <v>💎Code Golf International</v>
      </c>
      <c r="C160" s="54">
        <f t="shared" si="1"/>
        <v>2</v>
      </c>
      <c r="D160" s="54">
        <f>Compilation!F167</f>
        <v>103</v>
      </c>
      <c r="E160" s="54">
        <f t="shared" si="2"/>
        <v>105</v>
      </c>
      <c r="F160" s="54">
        <f>Compilation!E167</f>
        <v>103</v>
      </c>
      <c r="G160" s="54">
        <f>countif(Scores!B170:AG170,D160)</f>
        <v>2</v>
      </c>
      <c r="H160" s="54">
        <f>Compilation!G167</f>
        <v>105</v>
      </c>
      <c r="J160" s="50">
        <f t="shared" si="6"/>
        <v>129</v>
      </c>
      <c r="K160" s="21">
        <v>226.0</v>
      </c>
      <c r="L160" s="14" t="s">
        <v>95</v>
      </c>
      <c r="M160" s="8">
        <v>2.0</v>
      </c>
      <c r="N160" s="8">
        <v>117.0</v>
      </c>
      <c r="O160" s="8">
        <v>119.0</v>
      </c>
      <c r="U160" s="50" t="str">
        <f t="shared" si="7"/>
        <v/>
      </c>
      <c r="V160" s="14"/>
      <c r="W160" s="8"/>
    </row>
    <row r="161">
      <c r="A161" s="62">
        <f>Scores!A171</f>
        <v>160</v>
      </c>
      <c r="B161" s="54" t="str">
        <f>Compilation!D168</f>
        <v>💎ox jam</v>
      </c>
      <c r="C161" s="54">
        <f t="shared" si="1"/>
        <v>4</v>
      </c>
      <c r="D161" s="54">
        <f>Compilation!F168</f>
        <v>100</v>
      </c>
      <c r="E161" s="54">
        <f t="shared" si="2"/>
        <v>104</v>
      </c>
      <c r="F161" s="54">
        <f>Compilation!E168</f>
        <v>100</v>
      </c>
      <c r="G161" s="54">
        <f>countif(Scores!B171:AG171,D161)</f>
        <v>2</v>
      </c>
      <c r="H161" s="54">
        <f>Compilation!G168</f>
        <v>104</v>
      </c>
      <c r="J161" s="50">
        <f t="shared" si="6"/>
        <v>129</v>
      </c>
      <c r="K161" s="21">
        <v>62.0</v>
      </c>
      <c r="L161" s="14" t="s">
        <v>93</v>
      </c>
      <c r="M161" s="8">
        <v>2.0</v>
      </c>
      <c r="N161" s="8">
        <v>121.0</v>
      </c>
      <c r="O161" s="8">
        <v>123.0</v>
      </c>
      <c r="U161" s="50" t="str">
        <f t="shared" si="7"/>
        <v/>
      </c>
      <c r="V161" s="14"/>
      <c r="W161" s="8"/>
    </row>
    <row r="162">
      <c r="A162" s="62">
        <f>Scores!A172</f>
        <v>161</v>
      </c>
      <c r="B162" s="54" t="str">
        <f>Compilation!D169</f>
        <v>💎ox jam</v>
      </c>
      <c r="C162" s="54">
        <f t="shared" si="1"/>
        <v>1</v>
      </c>
      <c r="D162" s="54">
        <f>Compilation!F169</f>
        <v>79</v>
      </c>
      <c r="E162" s="54">
        <f t="shared" si="2"/>
        <v>80</v>
      </c>
      <c r="F162" s="54">
        <f>Compilation!E169</f>
        <v>79</v>
      </c>
      <c r="G162" s="54">
        <f>countif(Scores!B172:AG172,D162)</f>
        <v>2</v>
      </c>
      <c r="H162" s="54">
        <f>Compilation!G169</f>
        <v>80</v>
      </c>
      <c r="J162" s="50">
        <f t="shared" si="6"/>
        <v>129</v>
      </c>
      <c r="K162" s="21">
        <v>102.0</v>
      </c>
      <c r="L162" s="14" t="s">
        <v>95</v>
      </c>
      <c r="M162" s="8">
        <v>2.0</v>
      </c>
      <c r="N162" s="8">
        <v>124.0</v>
      </c>
      <c r="O162" s="8">
        <v>126.0</v>
      </c>
      <c r="U162" s="50" t="str">
        <f t="shared" si="7"/>
        <v/>
      </c>
      <c r="V162" s="14"/>
      <c r="W162" s="8"/>
    </row>
    <row r="163">
      <c r="A163" s="62">
        <f>Scores!A173</f>
        <v>162</v>
      </c>
      <c r="B163" s="54" t="str">
        <f>Compilation!D170</f>
        <v>💎Code Golf International</v>
      </c>
      <c r="C163" s="54">
        <f t="shared" si="1"/>
        <v>1</v>
      </c>
      <c r="D163" s="54">
        <f>Compilation!F170</f>
        <v>96</v>
      </c>
      <c r="E163" s="54">
        <f t="shared" si="2"/>
        <v>97</v>
      </c>
      <c r="F163" s="54">
        <f>Compilation!E170</f>
        <v>96</v>
      </c>
      <c r="G163" s="54">
        <f>countif(Scores!B173:AG173,D163)</f>
        <v>2</v>
      </c>
      <c r="H163" s="54">
        <f>Compilation!G170</f>
        <v>97</v>
      </c>
      <c r="J163" s="50">
        <f t="shared" si="6"/>
        <v>129</v>
      </c>
      <c r="K163" s="21">
        <v>105.0</v>
      </c>
      <c r="L163" s="14" t="s">
        <v>95</v>
      </c>
      <c r="M163" s="8">
        <v>2.0</v>
      </c>
      <c r="N163" s="8">
        <v>124.0</v>
      </c>
      <c r="O163" s="8">
        <v>126.0</v>
      </c>
      <c r="U163" s="50" t="str">
        <f t="shared" si="7"/>
        <v/>
      </c>
      <c r="V163" s="14"/>
      <c r="W163" s="8"/>
    </row>
    <row r="164">
      <c r="A164" s="62">
        <f>Scores!A174</f>
        <v>163</v>
      </c>
      <c r="B164" s="54" t="str">
        <f>Compilation!D171</f>
        <v>🥇 x2</v>
      </c>
      <c r="C164" s="54">
        <f t="shared" si="1"/>
        <v>-0.000000003</v>
      </c>
      <c r="D164" s="54">
        <f>Compilation!F171</f>
        <v>130</v>
      </c>
      <c r="E164" s="54" t="str">
        <f t="shared" si="2"/>
        <v/>
      </c>
      <c r="F164" s="54">
        <f>Compilation!E171</f>
        <v>-1</v>
      </c>
      <c r="G164" s="54">
        <f>countif(Scores!B174:AG174,D164)</f>
        <v>3</v>
      </c>
      <c r="H164" s="54">
        <f>Compilation!G171</f>
        <v>-1</v>
      </c>
      <c r="J164" s="50">
        <f t="shared" si="6"/>
        <v>129</v>
      </c>
      <c r="K164" s="21">
        <v>260.0</v>
      </c>
      <c r="L164" s="14" t="s">
        <v>93</v>
      </c>
      <c r="M164" s="8">
        <v>2.0</v>
      </c>
      <c r="N164" s="8">
        <v>130.0</v>
      </c>
      <c r="O164" s="8">
        <v>132.0</v>
      </c>
      <c r="U164" s="50" t="str">
        <f t="shared" si="7"/>
        <v/>
      </c>
      <c r="V164" s="14"/>
      <c r="W164" s="8"/>
    </row>
    <row r="165">
      <c r="A165" s="62">
        <f>Scores!A175</f>
        <v>164</v>
      </c>
      <c r="B165" s="54" t="str">
        <f>Compilation!D172</f>
        <v>🥇 x44</v>
      </c>
      <c r="C165" s="54">
        <f t="shared" si="1"/>
        <v>-0.000000045</v>
      </c>
      <c r="D165" s="54">
        <f>Compilation!F172</f>
        <v>32</v>
      </c>
      <c r="E165" s="54" t="str">
        <f t="shared" si="2"/>
        <v/>
      </c>
      <c r="F165" s="54">
        <f>Compilation!E172</f>
        <v>-1</v>
      </c>
      <c r="G165" s="54">
        <f>countif(Scores!B175:AG175,D165)</f>
        <v>45</v>
      </c>
      <c r="H165" s="54">
        <f>Compilation!G172</f>
        <v>-1</v>
      </c>
      <c r="J165" s="50">
        <f t="shared" si="6"/>
        <v>129</v>
      </c>
      <c r="K165" s="21">
        <v>42.0</v>
      </c>
      <c r="L165" s="14" t="s">
        <v>95</v>
      </c>
      <c r="M165" s="8">
        <v>2.0</v>
      </c>
      <c r="N165" s="8">
        <v>132.0</v>
      </c>
      <c r="O165" s="8">
        <v>134.0</v>
      </c>
      <c r="U165" s="50" t="str">
        <f t="shared" si="7"/>
        <v/>
      </c>
      <c r="V165" s="14"/>
      <c r="W165" s="8"/>
    </row>
    <row r="166" ht="18.0" customHeight="1">
      <c r="A166" s="62">
        <f>Scores!A176</f>
        <v>165</v>
      </c>
      <c r="B166" s="54" t="str">
        <f>Compilation!D173</f>
        <v>💎Code Golf International</v>
      </c>
      <c r="C166" s="54">
        <f t="shared" si="1"/>
        <v>10</v>
      </c>
      <c r="D166" s="54">
        <f>Compilation!F173</f>
        <v>112</v>
      </c>
      <c r="E166" s="54">
        <f t="shared" si="2"/>
        <v>122</v>
      </c>
      <c r="F166" s="54">
        <f>Compilation!E173</f>
        <v>112</v>
      </c>
      <c r="G166" s="54">
        <f>countif(Scores!B176:AG176,D166)</f>
        <v>2</v>
      </c>
      <c r="H166" s="54">
        <f>Compilation!G173</f>
        <v>122</v>
      </c>
      <c r="J166" s="50">
        <f t="shared" si="6"/>
        <v>129</v>
      </c>
      <c r="K166" s="21">
        <v>205.0</v>
      </c>
      <c r="L166" s="14" t="s">
        <v>95</v>
      </c>
      <c r="M166" s="8">
        <v>2.0</v>
      </c>
      <c r="N166" s="8">
        <v>134.0</v>
      </c>
      <c r="O166" s="8">
        <v>136.0</v>
      </c>
      <c r="U166" s="50" t="str">
        <f t="shared" si="7"/>
        <v/>
      </c>
      <c r="V166" s="14"/>
      <c r="W166" s="8"/>
    </row>
    <row r="167">
      <c r="A167" s="62">
        <f>Scores!A177</f>
        <v>166</v>
      </c>
      <c r="B167" s="54" t="str">
        <f>Compilation!D174</f>
        <v>🥇 x2</v>
      </c>
      <c r="C167" s="54">
        <f t="shared" si="1"/>
        <v>-0.000000003</v>
      </c>
      <c r="D167" s="54">
        <f>Compilation!F174</f>
        <v>61</v>
      </c>
      <c r="E167" s="54" t="str">
        <f t="shared" si="2"/>
        <v/>
      </c>
      <c r="F167" s="54">
        <f>Compilation!E174</f>
        <v>-1</v>
      </c>
      <c r="G167" s="54">
        <f>countif(Scores!B177:AG177,D167)</f>
        <v>3</v>
      </c>
      <c r="H167" s="54">
        <f>Compilation!G174</f>
        <v>-1</v>
      </c>
      <c r="J167" s="50">
        <f t="shared" si="6"/>
        <v>129</v>
      </c>
      <c r="K167" s="21">
        <v>379.0</v>
      </c>
      <c r="L167" s="14" t="s">
        <v>95</v>
      </c>
      <c r="M167" s="8">
        <v>2.0</v>
      </c>
      <c r="N167" s="8">
        <v>135.0</v>
      </c>
      <c r="O167" s="8">
        <v>137.0</v>
      </c>
      <c r="U167" s="50" t="str">
        <f t="shared" si="7"/>
        <v/>
      </c>
      <c r="V167" s="14"/>
      <c r="W167" s="8"/>
    </row>
    <row r="168">
      <c r="A168" s="62">
        <f>Scores!A178</f>
        <v>167</v>
      </c>
      <c r="B168" s="54" t="str">
        <f>Compilation!D175</f>
        <v>💎ox jam</v>
      </c>
      <c r="C168" s="54">
        <f t="shared" si="1"/>
        <v>1</v>
      </c>
      <c r="D168" s="54">
        <f>Compilation!F175</f>
        <v>70</v>
      </c>
      <c r="E168" s="54">
        <f t="shared" si="2"/>
        <v>71</v>
      </c>
      <c r="F168" s="54">
        <f>Compilation!E175</f>
        <v>70</v>
      </c>
      <c r="G168" s="54">
        <f>countif(Scores!B178:AG178,D168)</f>
        <v>2</v>
      </c>
      <c r="H168" s="54">
        <f>Compilation!G175</f>
        <v>71</v>
      </c>
      <c r="J168" s="50">
        <f t="shared" si="6"/>
        <v>129</v>
      </c>
      <c r="K168" s="21">
        <v>137.0</v>
      </c>
      <c r="L168" s="14" t="s">
        <v>95</v>
      </c>
      <c r="M168" s="8">
        <v>2.0</v>
      </c>
      <c r="N168" s="8">
        <v>137.0</v>
      </c>
      <c r="O168" s="8">
        <v>139.0</v>
      </c>
      <c r="U168" s="50" t="str">
        <f t="shared" si="7"/>
        <v/>
      </c>
      <c r="V168" s="14"/>
      <c r="W168" s="8"/>
    </row>
    <row r="169">
      <c r="A169" s="62">
        <f>Scores!A179</f>
        <v>168</v>
      </c>
      <c r="B169" s="54" t="str">
        <f>Compilation!D176</f>
        <v>🥇 x2</v>
      </c>
      <c r="C169" s="54">
        <f t="shared" si="1"/>
        <v>-0.000000003</v>
      </c>
      <c r="D169" s="54">
        <f>Compilation!F176</f>
        <v>110</v>
      </c>
      <c r="E169" s="54" t="str">
        <f t="shared" si="2"/>
        <v/>
      </c>
      <c r="F169" s="54">
        <f>Compilation!E176</f>
        <v>-1</v>
      </c>
      <c r="G169" s="54">
        <f>countif(Scores!B179:AG179,D169)</f>
        <v>3</v>
      </c>
      <c r="H169" s="54">
        <f>Compilation!G176</f>
        <v>-1</v>
      </c>
      <c r="J169" s="50">
        <f t="shared" si="6"/>
        <v>129</v>
      </c>
      <c r="K169" s="21">
        <v>59.0</v>
      </c>
      <c r="L169" s="14" t="s">
        <v>94</v>
      </c>
      <c r="M169" s="8">
        <v>2.0</v>
      </c>
      <c r="N169" s="8">
        <v>151.0</v>
      </c>
      <c r="O169" s="8">
        <v>153.0</v>
      </c>
      <c r="U169" s="50" t="str">
        <f t="shared" si="7"/>
        <v/>
      </c>
      <c r="V169" s="14"/>
      <c r="W169" s="8"/>
    </row>
    <row r="170">
      <c r="A170" s="62">
        <f>Scores!A180</f>
        <v>169</v>
      </c>
      <c r="B170" s="54" t="str">
        <f>Compilation!D177</f>
        <v>💎Code Golf International</v>
      </c>
      <c r="C170" s="54">
        <f t="shared" si="1"/>
        <v>2</v>
      </c>
      <c r="D170" s="54">
        <f>Compilation!F177</f>
        <v>108</v>
      </c>
      <c r="E170" s="54">
        <f t="shared" si="2"/>
        <v>110</v>
      </c>
      <c r="F170" s="54">
        <f>Compilation!E177</f>
        <v>108</v>
      </c>
      <c r="G170" s="54">
        <f>countif(Scores!B180:AG180,D170)</f>
        <v>2</v>
      </c>
      <c r="H170" s="54">
        <f>Compilation!G177</f>
        <v>110</v>
      </c>
      <c r="J170" s="50">
        <f t="shared" si="6"/>
        <v>129</v>
      </c>
      <c r="K170" s="21">
        <v>277.0</v>
      </c>
      <c r="L170" s="14" t="s">
        <v>93</v>
      </c>
      <c r="M170" s="8">
        <v>2.0</v>
      </c>
      <c r="N170" s="8">
        <v>155.0</v>
      </c>
      <c r="O170" s="8">
        <v>157.0</v>
      </c>
      <c r="U170" s="50" t="str">
        <f t="shared" si="7"/>
        <v/>
      </c>
      <c r="V170" s="14"/>
      <c r="W170" s="8"/>
    </row>
    <row r="171">
      <c r="A171" s="62">
        <f>Scores!A181</f>
        <v>170</v>
      </c>
      <c r="B171" s="54" t="str">
        <f>Compilation!D178</f>
        <v>💎jailctf merger</v>
      </c>
      <c r="C171" s="54">
        <f t="shared" si="1"/>
        <v>3</v>
      </c>
      <c r="D171" s="54">
        <f>Compilation!F178</f>
        <v>163</v>
      </c>
      <c r="E171" s="54">
        <f t="shared" si="2"/>
        <v>166</v>
      </c>
      <c r="F171" s="54">
        <f>Compilation!E178</f>
        <v>163</v>
      </c>
      <c r="G171" s="54">
        <f>countif(Scores!B181:AG181,D171)</f>
        <v>2</v>
      </c>
      <c r="H171" s="54">
        <f>Compilation!G178</f>
        <v>166</v>
      </c>
      <c r="J171" s="50">
        <f t="shared" si="6"/>
        <v>129</v>
      </c>
      <c r="K171" s="21">
        <v>328.0</v>
      </c>
      <c r="L171" s="14" t="s">
        <v>93</v>
      </c>
      <c r="M171" s="8">
        <v>2.0</v>
      </c>
      <c r="N171" s="8">
        <v>158.0</v>
      </c>
      <c r="O171" s="8">
        <v>160.0</v>
      </c>
      <c r="U171" s="50" t="str">
        <f t="shared" si="7"/>
        <v/>
      </c>
      <c r="V171" s="14"/>
      <c r="W171" s="8"/>
    </row>
    <row r="172">
      <c r="A172" s="62">
        <f>Scores!A182</f>
        <v>171</v>
      </c>
      <c r="B172" s="54" t="str">
        <f>Compilation!D179</f>
        <v>🥇 x9</v>
      </c>
      <c r="C172" s="54">
        <f t="shared" si="1"/>
        <v>-0.00000001</v>
      </c>
      <c r="D172" s="54">
        <f>Compilation!F179</f>
        <v>51</v>
      </c>
      <c r="E172" s="54" t="str">
        <f t="shared" si="2"/>
        <v/>
      </c>
      <c r="F172" s="54">
        <f>Compilation!E179</f>
        <v>-1</v>
      </c>
      <c r="G172" s="54">
        <f>countif(Scores!B182:AG182,D172)</f>
        <v>10</v>
      </c>
      <c r="H172" s="54">
        <f>Compilation!G179</f>
        <v>-1</v>
      </c>
      <c r="J172" s="50">
        <f t="shared" si="6"/>
        <v>129</v>
      </c>
      <c r="K172" s="21">
        <v>46.0</v>
      </c>
      <c r="L172" s="14" t="s">
        <v>94</v>
      </c>
      <c r="M172" s="8">
        <v>2.0</v>
      </c>
      <c r="N172" s="8">
        <v>166.0</v>
      </c>
      <c r="O172" s="8">
        <v>168.0</v>
      </c>
      <c r="U172" s="50" t="str">
        <f t="shared" si="7"/>
        <v/>
      </c>
      <c r="V172" s="14"/>
      <c r="W172" s="8"/>
    </row>
    <row r="173">
      <c r="A173" s="62">
        <f>Scores!A183</f>
        <v>172</v>
      </c>
      <c r="B173" s="54" t="str">
        <f>Compilation!D180</f>
        <v>🥇 x44</v>
      </c>
      <c r="C173" s="54">
        <f t="shared" si="1"/>
        <v>-0.000000045</v>
      </c>
      <c r="D173" s="54">
        <f>Compilation!F180</f>
        <v>20</v>
      </c>
      <c r="E173" s="54" t="str">
        <f t="shared" si="2"/>
        <v/>
      </c>
      <c r="F173" s="54">
        <f>Compilation!E180</f>
        <v>-1</v>
      </c>
      <c r="G173" s="54">
        <f>countif(Scores!B183:AG183,D173)</f>
        <v>45</v>
      </c>
      <c r="H173" s="54">
        <f>Compilation!G180</f>
        <v>-1</v>
      </c>
      <c r="J173" s="50">
        <f t="shared" si="6"/>
        <v>129</v>
      </c>
      <c r="K173" s="21">
        <v>133.0</v>
      </c>
      <c r="L173" s="14" t="s">
        <v>93</v>
      </c>
      <c r="M173" s="8">
        <v>2.0</v>
      </c>
      <c r="N173" s="8">
        <v>273.0</v>
      </c>
      <c r="O173" s="8">
        <v>275.0</v>
      </c>
      <c r="U173" s="50" t="str">
        <f t="shared" si="7"/>
        <v/>
      </c>
      <c r="V173" s="14"/>
      <c r="W173" s="8"/>
    </row>
    <row r="174">
      <c r="A174" s="62">
        <f>Scores!A184</f>
        <v>173</v>
      </c>
      <c r="B174" s="54" t="str">
        <f>Compilation!D181</f>
        <v>💎jailctf merger</v>
      </c>
      <c r="C174" s="54">
        <f t="shared" si="1"/>
        <v>3</v>
      </c>
      <c r="D174" s="54">
        <f>Compilation!F181</f>
        <v>201</v>
      </c>
      <c r="E174" s="54">
        <f t="shared" si="2"/>
        <v>204</v>
      </c>
      <c r="F174" s="54">
        <f>Compilation!E181</f>
        <v>201</v>
      </c>
      <c r="G174" s="54">
        <f>countif(Scores!B184:AG184,D174)</f>
        <v>1</v>
      </c>
      <c r="H174" s="54">
        <f>Compilation!G181</f>
        <v>204</v>
      </c>
      <c r="J174" s="50">
        <f t="shared" si="6"/>
        <v>173</v>
      </c>
      <c r="K174" s="21">
        <v>276.0</v>
      </c>
      <c r="L174" s="14" t="s">
        <v>94</v>
      </c>
      <c r="M174" s="8">
        <v>1.0</v>
      </c>
      <c r="N174" s="8">
        <v>37.0</v>
      </c>
      <c r="O174" s="8">
        <v>38.0</v>
      </c>
      <c r="U174" s="50" t="str">
        <f t="shared" si="7"/>
        <v/>
      </c>
      <c r="V174" s="14"/>
      <c r="W174" s="8"/>
    </row>
    <row r="175">
      <c r="A175" s="62">
        <f>Scores!A185</f>
        <v>174</v>
      </c>
      <c r="B175" s="54" t="str">
        <f>Compilation!D182</f>
        <v>💎jailctf merger</v>
      </c>
      <c r="C175" s="54">
        <f t="shared" si="1"/>
        <v>2</v>
      </c>
      <c r="D175" s="54">
        <f>Compilation!F182</f>
        <v>89</v>
      </c>
      <c r="E175" s="54">
        <f t="shared" si="2"/>
        <v>91</v>
      </c>
      <c r="F175" s="54">
        <f>Compilation!E182</f>
        <v>89</v>
      </c>
      <c r="G175" s="54">
        <f>countif(Scores!B185:AG185,D175)</f>
        <v>2</v>
      </c>
      <c r="H175" s="54">
        <f>Compilation!G182</f>
        <v>91</v>
      </c>
      <c r="J175" s="50">
        <f t="shared" si="6"/>
        <v>173</v>
      </c>
      <c r="K175" s="21">
        <v>56.0</v>
      </c>
      <c r="L175" s="14" t="s">
        <v>96</v>
      </c>
      <c r="M175" s="8">
        <v>1.0</v>
      </c>
      <c r="N175" s="8">
        <v>39.0</v>
      </c>
      <c r="O175" s="8">
        <v>40.0</v>
      </c>
      <c r="U175" s="50" t="str">
        <f t="shared" si="7"/>
        <v/>
      </c>
      <c r="V175" s="14"/>
      <c r="W175" s="8"/>
    </row>
    <row r="176">
      <c r="A176" s="62">
        <f>Scores!A186</f>
        <v>175</v>
      </c>
      <c r="B176" s="54" t="str">
        <f>Compilation!D183</f>
        <v>💎Code Golf International</v>
      </c>
      <c r="C176" s="54">
        <f t="shared" si="1"/>
        <v>1</v>
      </c>
      <c r="D176" s="54">
        <f>Compilation!F183</f>
        <v>74</v>
      </c>
      <c r="E176" s="54">
        <f t="shared" si="2"/>
        <v>75</v>
      </c>
      <c r="F176" s="54">
        <f>Compilation!E183</f>
        <v>74</v>
      </c>
      <c r="G176" s="54">
        <f>countif(Scores!B186:AG186,D176)</f>
        <v>2</v>
      </c>
      <c r="H176" s="54">
        <f>Compilation!G183</f>
        <v>75</v>
      </c>
      <c r="J176" s="50">
        <f t="shared" si="6"/>
        <v>173</v>
      </c>
      <c r="K176" s="21">
        <v>152.0</v>
      </c>
      <c r="L176" s="14" t="s">
        <v>95</v>
      </c>
      <c r="M176" s="8">
        <v>1.0</v>
      </c>
      <c r="N176" s="8">
        <v>39.0</v>
      </c>
      <c r="O176" s="8">
        <v>40.0</v>
      </c>
      <c r="U176" s="50" t="str">
        <f t="shared" si="7"/>
        <v/>
      </c>
      <c r="V176" s="14"/>
      <c r="W176" s="8"/>
    </row>
    <row r="177">
      <c r="A177" s="62">
        <f>Scores!A187</f>
        <v>176</v>
      </c>
      <c r="B177" s="54" t="str">
        <f>Compilation!D184</f>
        <v>💎ox jam</v>
      </c>
      <c r="C177" s="54">
        <f t="shared" si="1"/>
        <v>3</v>
      </c>
      <c r="D177" s="54">
        <f>Compilation!F184</f>
        <v>61</v>
      </c>
      <c r="E177" s="54">
        <f t="shared" si="2"/>
        <v>64</v>
      </c>
      <c r="F177" s="54">
        <f>Compilation!E184</f>
        <v>61</v>
      </c>
      <c r="G177" s="54">
        <f>countif(Scores!B187:AG187,D177)</f>
        <v>2</v>
      </c>
      <c r="H177" s="54">
        <f>Compilation!G184</f>
        <v>64</v>
      </c>
      <c r="J177" s="50">
        <f t="shared" si="6"/>
        <v>173</v>
      </c>
      <c r="K177" s="21">
        <v>231.0</v>
      </c>
      <c r="L177" s="14" t="s">
        <v>96</v>
      </c>
      <c r="M177" s="8">
        <v>1.0</v>
      </c>
      <c r="N177" s="8">
        <v>42.0</v>
      </c>
      <c r="O177" s="8">
        <v>43.0</v>
      </c>
      <c r="U177" s="50" t="str">
        <f t="shared" si="7"/>
        <v/>
      </c>
      <c r="V177" s="14"/>
      <c r="W177" s="8"/>
    </row>
    <row r="178">
      <c r="A178" s="62">
        <f>Scores!A188</f>
        <v>177</v>
      </c>
      <c r="B178" s="54" t="str">
        <f>Compilation!D185</f>
        <v>🥇 x4</v>
      </c>
      <c r="C178" s="54">
        <f t="shared" si="1"/>
        <v>-0.000000005</v>
      </c>
      <c r="D178" s="54">
        <f>Compilation!F185</f>
        <v>51</v>
      </c>
      <c r="E178" s="54" t="str">
        <f t="shared" si="2"/>
        <v/>
      </c>
      <c r="F178" s="54">
        <f>Compilation!E185</f>
        <v>-1</v>
      </c>
      <c r="G178" s="54">
        <f>countif(Scores!B188:AG188,D178)</f>
        <v>5</v>
      </c>
      <c r="H178" s="54">
        <f>Compilation!G185</f>
        <v>-1</v>
      </c>
      <c r="J178" s="50">
        <f t="shared" si="6"/>
        <v>173</v>
      </c>
      <c r="K178" s="21">
        <v>292.0</v>
      </c>
      <c r="L178" s="14" t="s">
        <v>93</v>
      </c>
      <c r="M178" s="8">
        <v>1.0</v>
      </c>
      <c r="N178" s="8">
        <v>51.0</v>
      </c>
      <c r="O178" s="8">
        <v>52.0</v>
      </c>
      <c r="U178" s="50" t="str">
        <f t="shared" si="7"/>
        <v/>
      </c>
      <c r="V178" s="14"/>
      <c r="W178" s="8"/>
    </row>
    <row r="179">
      <c r="A179" s="62">
        <f>Scores!A189</f>
        <v>178</v>
      </c>
      <c r="B179" s="54" t="str">
        <f>Compilation!D186</f>
        <v>🥇 x6</v>
      </c>
      <c r="C179" s="54">
        <f t="shared" si="1"/>
        <v>-0.000000007</v>
      </c>
      <c r="D179" s="54">
        <f>Compilation!F186</f>
        <v>47</v>
      </c>
      <c r="E179" s="54" t="str">
        <f t="shared" si="2"/>
        <v/>
      </c>
      <c r="F179" s="54">
        <f>Compilation!E186</f>
        <v>-1</v>
      </c>
      <c r="G179" s="54">
        <f>countif(Scores!B189:AG189,D179)</f>
        <v>7</v>
      </c>
      <c r="H179" s="54">
        <f>Compilation!G186</f>
        <v>-1</v>
      </c>
      <c r="J179" s="50">
        <f t="shared" si="6"/>
        <v>173</v>
      </c>
      <c r="K179" s="21">
        <v>298.0</v>
      </c>
      <c r="L179" s="14" t="s">
        <v>96</v>
      </c>
      <c r="M179" s="8">
        <v>1.0</v>
      </c>
      <c r="N179" s="8">
        <v>54.0</v>
      </c>
      <c r="O179" s="8">
        <v>55.0</v>
      </c>
      <c r="U179" s="50" t="str">
        <f t="shared" si="7"/>
        <v/>
      </c>
      <c r="V179" s="14"/>
      <c r="W179" s="8"/>
    </row>
    <row r="180">
      <c r="A180" s="62">
        <f>Scores!A190</f>
        <v>179</v>
      </c>
      <c r="B180" s="54" t="str">
        <f>Compilation!D187</f>
        <v>🥇 x35</v>
      </c>
      <c r="C180" s="54">
        <f t="shared" si="1"/>
        <v>-0.000000036</v>
      </c>
      <c r="D180" s="54">
        <f>Compilation!F187</f>
        <v>21</v>
      </c>
      <c r="E180" s="54" t="str">
        <f t="shared" si="2"/>
        <v/>
      </c>
      <c r="F180" s="54">
        <f>Compilation!E187</f>
        <v>-1</v>
      </c>
      <c r="G180" s="54">
        <f>countif(Scores!B190:AG190,D180)</f>
        <v>36</v>
      </c>
      <c r="H180" s="54">
        <f>Compilation!G187</f>
        <v>-1</v>
      </c>
      <c r="J180" s="50">
        <f t="shared" si="6"/>
        <v>173</v>
      </c>
      <c r="K180" s="21">
        <v>305.0</v>
      </c>
      <c r="L180" s="14" t="s">
        <v>98</v>
      </c>
      <c r="M180" s="8">
        <v>1.0</v>
      </c>
      <c r="N180" s="8">
        <v>56.0</v>
      </c>
      <c r="O180" s="8">
        <v>57.0</v>
      </c>
      <c r="U180" s="50" t="str">
        <f t="shared" si="7"/>
        <v/>
      </c>
      <c r="V180" s="14"/>
      <c r="W180" s="8"/>
    </row>
    <row r="181">
      <c r="A181" s="62">
        <f>Scores!A191</f>
        <v>180</v>
      </c>
      <c r="B181" s="54" t="str">
        <f>Compilation!D188</f>
        <v>💎ox jam</v>
      </c>
      <c r="C181" s="54">
        <f t="shared" si="1"/>
        <v>5</v>
      </c>
      <c r="D181" s="54">
        <f>Compilation!F188</f>
        <v>74</v>
      </c>
      <c r="E181" s="54">
        <f t="shared" si="2"/>
        <v>79</v>
      </c>
      <c r="F181" s="54">
        <f>Compilation!E188</f>
        <v>74</v>
      </c>
      <c r="G181" s="54">
        <f>countif(Scores!B191:AG191,D181)</f>
        <v>2</v>
      </c>
      <c r="H181" s="54">
        <f>Compilation!G188</f>
        <v>79</v>
      </c>
      <c r="J181" s="50">
        <f t="shared" si="6"/>
        <v>173</v>
      </c>
      <c r="K181" s="21">
        <v>232.0</v>
      </c>
      <c r="L181" s="14" t="s">
        <v>93</v>
      </c>
      <c r="M181" s="8">
        <v>1.0</v>
      </c>
      <c r="N181" s="8">
        <v>57.0</v>
      </c>
      <c r="O181" s="8">
        <v>58.0</v>
      </c>
      <c r="U181" s="50" t="str">
        <f t="shared" si="7"/>
        <v/>
      </c>
      <c r="V181" s="14"/>
      <c r="W181" s="8"/>
    </row>
    <row r="182">
      <c r="A182" s="62">
        <f>Scores!A192</f>
        <v>181</v>
      </c>
      <c r="B182" s="54" t="str">
        <f>Compilation!D189</f>
        <v>🥇 x8</v>
      </c>
      <c r="C182" s="54">
        <f t="shared" si="1"/>
        <v>-0.000000009</v>
      </c>
      <c r="D182" s="54">
        <f>Compilation!F189</f>
        <v>67</v>
      </c>
      <c r="E182" s="54" t="str">
        <f t="shared" si="2"/>
        <v/>
      </c>
      <c r="F182" s="54">
        <f>Compilation!E189</f>
        <v>-1</v>
      </c>
      <c r="G182" s="54">
        <f>countif(Scores!B192:AG192,D182)</f>
        <v>9</v>
      </c>
      <c r="H182" s="54">
        <f>Compilation!G189</f>
        <v>-1</v>
      </c>
      <c r="J182" s="50">
        <f t="shared" si="6"/>
        <v>173</v>
      </c>
      <c r="K182" s="21">
        <v>78.0</v>
      </c>
      <c r="L182" s="14" t="s">
        <v>93</v>
      </c>
      <c r="M182" s="8">
        <v>1.0</v>
      </c>
      <c r="N182" s="8">
        <v>59.0</v>
      </c>
      <c r="O182" s="8">
        <v>60.0</v>
      </c>
      <c r="U182" s="50" t="str">
        <f t="shared" si="7"/>
        <v/>
      </c>
      <c r="V182" s="14"/>
      <c r="W182" s="8"/>
    </row>
    <row r="183">
      <c r="A183" s="62">
        <f>Scores!A193</f>
        <v>182</v>
      </c>
      <c r="B183" s="54" t="str">
        <f>Compilation!D190</f>
        <v>💎Code Golf International</v>
      </c>
      <c r="C183" s="54">
        <f t="shared" si="1"/>
        <v>7</v>
      </c>
      <c r="D183" s="54">
        <f>Compilation!F190</f>
        <v>160</v>
      </c>
      <c r="E183" s="54">
        <f t="shared" si="2"/>
        <v>167</v>
      </c>
      <c r="F183" s="54">
        <f>Compilation!E190</f>
        <v>160</v>
      </c>
      <c r="G183" s="54">
        <f>countif(Scores!B193:AG193,D183)</f>
        <v>2</v>
      </c>
      <c r="H183" s="54">
        <f>Compilation!G190</f>
        <v>167</v>
      </c>
      <c r="J183" s="50">
        <f t="shared" si="6"/>
        <v>173</v>
      </c>
      <c r="K183" s="21">
        <v>293.0</v>
      </c>
      <c r="L183" s="14" t="s">
        <v>95</v>
      </c>
      <c r="M183" s="8">
        <v>1.0</v>
      </c>
      <c r="N183" s="8">
        <v>59.0</v>
      </c>
      <c r="O183" s="8">
        <v>60.0</v>
      </c>
      <c r="U183" s="50" t="str">
        <f t="shared" si="7"/>
        <v/>
      </c>
      <c r="V183" s="14"/>
      <c r="W183" s="8"/>
    </row>
    <row r="184">
      <c r="A184" s="62">
        <f>Scores!A194</f>
        <v>183</v>
      </c>
      <c r="B184" s="54" t="str">
        <f>Compilation!D191</f>
        <v>💎Code Golf International</v>
      </c>
      <c r="C184" s="54">
        <f t="shared" si="1"/>
        <v>14</v>
      </c>
      <c r="D184" s="54">
        <f>Compilation!F191</f>
        <v>79</v>
      </c>
      <c r="E184" s="54">
        <f t="shared" si="2"/>
        <v>93</v>
      </c>
      <c r="F184" s="54">
        <f>Compilation!E191</f>
        <v>79</v>
      </c>
      <c r="G184" s="54">
        <f>countif(Scores!B194:AG194,D184)</f>
        <v>2</v>
      </c>
      <c r="H184" s="54">
        <f>Compilation!G191</f>
        <v>93</v>
      </c>
      <c r="J184" s="50">
        <f t="shared" si="6"/>
        <v>173</v>
      </c>
      <c r="K184" s="21">
        <v>214.0</v>
      </c>
      <c r="L184" s="14" t="s">
        <v>102</v>
      </c>
      <c r="M184" s="8">
        <v>1.0</v>
      </c>
      <c r="N184" s="8">
        <v>61.0</v>
      </c>
      <c r="O184" s="8">
        <v>62.0</v>
      </c>
      <c r="U184" s="50" t="str">
        <f t="shared" si="7"/>
        <v/>
      </c>
      <c r="V184" s="14"/>
      <c r="W184" s="8"/>
    </row>
    <row r="185">
      <c r="A185" s="62">
        <f>Scores!A195</f>
        <v>184</v>
      </c>
      <c r="B185" s="54" t="str">
        <f>Compilation!D192</f>
        <v>🥇 x2</v>
      </c>
      <c r="C185" s="54">
        <f t="shared" si="1"/>
        <v>-0.000000003</v>
      </c>
      <c r="D185" s="54">
        <f>Compilation!F192</f>
        <v>91</v>
      </c>
      <c r="E185" s="54" t="str">
        <f t="shared" si="2"/>
        <v/>
      </c>
      <c r="F185" s="54">
        <f>Compilation!E192</f>
        <v>-1</v>
      </c>
      <c r="G185" s="54">
        <f>countif(Scores!B195:AG195,D185)</f>
        <v>3</v>
      </c>
      <c r="H185" s="54">
        <f>Compilation!G192</f>
        <v>-1</v>
      </c>
      <c r="J185" s="50">
        <f t="shared" si="6"/>
        <v>173</v>
      </c>
      <c r="K185" s="21">
        <v>313.0</v>
      </c>
      <c r="L185" s="14" t="s">
        <v>94</v>
      </c>
      <c r="M185" s="8">
        <v>1.0</v>
      </c>
      <c r="N185" s="8">
        <v>61.0</v>
      </c>
      <c r="O185" s="8">
        <v>62.0</v>
      </c>
      <c r="U185" s="50" t="str">
        <f t="shared" si="7"/>
        <v/>
      </c>
      <c r="V185" s="14"/>
      <c r="W185" s="8"/>
    </row>
    <row r="186">
      <c r="A186" s="62">
        <f>Scores!A196</f>
        <v>185</v>
      </c>
      <c r="B186" s="54" t="str">
        <f>Compilation!D193</f>
        <v>💎Code Golf International</v>
      </c>
      <c r="C186" s="54">
        <f t="shared" si="1"/>
        <v>3</v>
      </c>
      <c r="D186" s="54">
        <f>Compilation!F193</f>
        <v>107</v>
      </c>
      <c r="E186" s="54">
        <f t="shared" si="2"/>
        <v>110</v>
      </c>
      <c r="F186" s="54">
        <f>Compilation!E193</f>
        <v>107</v>
      </c>
      <c r="G186" s="54">
        <f>countif(Scores!B196:AG196,D186)</f>
        <v>2</v>
      </c>
      <c r="H186" s="54">
        <f>Compilation!G193</f>
        <v>110</v>
      </c>
      <c r="J186" s="50">
        <f t="shared" si="6"/>
        <v>173</v>
      </c>
      <c r="K186" s="21">
        <v>384.0</v>
      </c>
      <c r="L186" s="14" t="s">
        <v>95</v>
      </c>
      <c r="M186" s="8">
        <v>1.0</v>
      </c>
      <c r="N186" s="8">
        <v>61.0</v>
      </c>
      <c r="O186" s="8">
        <v>62.0</v>
      </c>
      <c r="U186" s="50" t="str">
        <f t="shared" si="7"/>
        <v/>
      </c>
      <c r="V186" s="14"/>
      <c r="W186" s="8"/>
    </row>
    <row r="187">
      <c r="A187" s="62">
        <f>Scores!A197</f>
        <v>186</v>
      </c>
      <c r="B187" s="54" t="str">
        <f>Compilation!D194</f>
        <v>🥇 x5</v>
      </c>
      <c r="C187" s="54">
        <f t="shared" si="1"/>
        <v>-0.000000006</v>
      </c>
      <c r="D187" s="54">
        <f>Compilation!F194</f>
        <v>60</v>
      </c>
      <c r="E187" s="54" t="str">
        <f t="shared" si="2"/>
        <v/>
      </c>
      <c r="F187" s="54">
        <f>Compilation!E194</f>
        <v>-1</v>
      </c>
      <c r="G187" s="54">
        <f>countif(Scores!B197:AG197,D187)</f>
        <v>6</v>
      </c>
      <c r="H187" s="54">
        <f>Compilation!G194</f>
        <v>-1</v>
      </c>
      <c r="J187" s="50">
        <f t="shared" si="6"/>
        <v>173</v>
      </c>
      <c r="K187" s="21">
        <v>303.0</v>
      </c>
      <c r="L187" s="14" t="s">
        <v>94</v>
      </c>
      <c r="M187" s="8">
        <v>1.0</v>
      </c>
      <c r="N187" s="8">
        <v>62.0</v>
      </c>
      <c r="O187" s="8">
        <v>63.0</v>
      </c>
      <c r="U187" s="50" t="str">
        <f t="shared" si="7"/>
        <v/>
      </c>
      <c r="V187" s="14"/>
      <c r="W187" s="8"/>
    </row>
    <row r="188">
      <c r="A188" s="62">
        <f>Scores!A198</f>
        <v>187</v>
      </c>
      <c r="B188" s="54" t="str">
        <f>Compilation!D195</f>
        <v>💎jailctf merger</v>
      </c>
      <c r="C188" s="54">
        <f t="shared" si="1"/>
        <v>5</v>
      </c>
      <c r="D188" s="54">
        <f>Compilation!F195</f>
        <v>83</v>
      </c>
      <c r="E188" s="54">
        <f t="shared" si="2"/>
        <v>88</v>
      </c>
      <c r="F188" s="54">
        <f>Compilation!E195</f>
        <v>83</v>
      </c>
      <c r="G188" s="54">
        <f>countif(Scores!B198:AG198,D188)</f>
        <v>2</v>
      </c>
      <c r="H188" s="54">
        <f>Compilation!G195</f>
        <v>88</v>
      </c>
      <c r="J188" s="50">
        <f t="shared" si="6"/>
        <v>173</v>
      </c>
      <c r="K188" s="21">
        <v>399.0</v>
      </c>
      <c r="L188" s="14" t="s">
        <v>95</v>
      </c>
      <c r="M188" s="8">
        <v>1.0</v>
      </c>
      <c r="N188" s="8">
        <v>62.0</v>
      </c>
      <c r="O188" s="8">
        <v>63.0</v>
      </c>
      <c r="U188" s="50" t="str">
        <f t="shared" si="7"/>
        <v/>
      </c>
      <c r="V188" s="14"/>
      <c r="W188" s="8"/>
    </row>
    <row r="189">
      <c r="A189" s="62">
        <f>Scores!A199</f>
        <v>188</v>
      </c>
      <c r="B189" s="54" t="str">
        <f>Compilation!D196</f>
        <v>🥇 x2</v>
      </c>
      <c r="C189" s="54">
        <f t="shared" si="1"/>
        <v>-0.000000003</v>
      </c>
      <c r="D189" s="54">
        <f>Compilation!F196</f>
        <v>53</v>
      </c>
      <c r="E189" s="54" t="str">
        <f t="shared" si="2"/>
        <v/>
      </c>
      <c r="F189" s="54">
        <f>Compilation!E196</f>
        <v>-1</v>
      </c>
      <c r="G189" s="54">
        <f>countif(Scores!B199:AG199,D189)</f>
        <v>3</v>
      </c>
      <c r="H189" s="54">
        <f>Compilation!G196</f>
        <v>-1</v>
      </c>
      <c r="J189" s="50">
        <f t="shared" si="6"/>
        <v>173</v>
      </c>
      <c r="K189" s="21">
        <v>343.0</v>
      </c>
      <c r="L189" s="14" t="s">
        <v>95</v>
      </c>
      <c r="M189" s="8">
        <v>1.0</v>
      </c>
      <c r="N189" s="8">
        <v>63.0</v>
      </c>
      <c r="O189" s="8">
        <v>64.0</v>
      </c>
      <c r="U189" s="50" t="str">
        <f t="shared" si="7"/>
        <v/>
      </c>
      <c r="V189" s="14"/>
      <c r="W189" s="8"/>
    </row>
    <row r="190">
      <c r="A190" s="62">
        <f>Scores!A200</f>
        <v>189</v>
      </c>
      <c r="B190" s="54" t="str">
        <f>Compilation!D197</f>
        <v>💎Code Golf International</v>
      </c>
      <c r="C190" s="54">
        <f t="shared" si="1"/>
        <v>16</v>
      </c>
      <c r="D190" s="54">
        <f>Compilation!F197</f>
        <v>95</v>
      </c>
      <c r="E190" s="54">
        <f t="shared" si="2"/>
        <v>111</v>
      </c>
      <c r="F190" s="54">
        <f>Compilation!E197</f>
        <v>95</v>
      </c>
      <c r="G190" s="54">
        <f>countif(Scores!B200:AG200,D190)</f>
        <v>2</v>
      </c>
      <c r="H190" s="54">
        <f>Compilation!G197</f>
        <v>111</v>
      </c>
      <c r="J190" s="50">
        <f t="shared" si="6"/>
        <v>173</v>
      </c>
      <c r="K190" s="21">
        <v>320.0</v>
      </c>
      <c r="L190" s="14" t="s">
        <v>94</v>
      </c>
      <c r="M190" s="8">
        <v>1.0</v>
      </c>
      <c r="N190" s="8">
        <v>65.0</v>
      </c>
      <c r="O190" s="8">
        <v>66.0</v>
      </c>
      <c r="U190" s="50" t="str">
        <f t="shared" si="7"/>
        <v/>
      </c>
      <c r="V190" s="14"/>
      <c r="W190" s="8"/>
    </row>
    <row r="191">
      <c r="A191" s="62">
        <f>Scores!A201</f>
        <v>190</v>
      </c>
      <c r="B191" s="54" t="str">
        <f>Compilation!D198</f>
        <v>💎ox jam</v>
      </c>
      <c r="C191" s="54">
        <f t="shared" si="1"/>
        <v>1</v>
      </c>
      <c r="D191" s="54">
        <f>Compilation!F198</f>
        <v>103</v>
      </c>
      <c r="E191" s="54">
        <f t="shared" si="2"/>
        <v>104</v>
      </c>
      <c r="F191" s="54">
        <f>Compilation!E198</f>
        <v>103</v>
      </c>
      <c r="G191" s="54">
        <f>countif(Scores!B201:AG201,D191)</f>
        <v>2</v>
      </c>
      <c r="H191" s="54">
        <f>Compilation!G198</f>
        <v>104</v>
      </c>
      <c r="J191" s="50">
        <f t="shared" si="6"/>
        <v>173</v>
      </c>
      <c r="K191" s="21">
        <v>334.0</v>
      </c>
      <c r="L191" s="14" t="s">
        <v>94</v>
      </c>
      <c r="M191" s="8">
        <v>1.0</v>
      </c>
      <c r="N191" s="8">
        <v>65.0</v>
      </c>
      <c r="O191" s="8">
        <v>66.0</v>
      </c>
      <c r="U191" s="50" t="str">
        <f t="shared" si="7"/>
        <v/>
      </c>
      <c r="V191" s="14"/>
      <c r="W191" s="8"/>
    </row>
    <row r="192">
      <c r="A192" s="62">
        <f>Scores!A202</f>
        <v>191</v>
      </c>
      <c r="B192" s="54" t="str">
        <f>Compilation!D199</f>
        <v>💎Code Golf International</v>
      </c>
      <c r="C192" s="54">
        <f t="shared" si="1"/>
        <v>6</v>
      </c>
      <c r="D192" s="54">
        <f>Compilation!F199</f>
        <v>221</v>
      </c>
      <c r="E192" s="54">
        <f t="shared" si="2"/>
        <v>227</v>
      </c>
      <c r="F192" s="54">
        <f>Compilation!E199</f>
        <v>221</v>
      </c>
      <c r="G192" s="54">
        <f>countif(Scores!B202:AG202,D192)</f>
        <v>2</v>
      </c>
      <c r="H192" s="54">
        <f>Compilation!G199</f>
        <v>227</v>
      </c>
      <c r="J192" s="50">
        <f t="shared" si="6"/>
        <v>173</v>
      </c>
      <c r="K192" s="21">
        <v>10.0</v>
      </c>
      <c r="L192" s="14" t="s">
        <v>94</v>
      </c>
      <c r="M192" s="8">
        <v>1.0</v>
      </c>
      <c r="N192" s="8">
        <v>66.0</v>
      </c>
      <c r="O192" s="8">
        <v>67.0</v>
      </c>
      <c r="U192" s="50" t="str">
        <f t="shared" si="7"/>
        <v/>
      </c>
      <c r="V192" s="14"/>
      <c r="W192" s="8"/>
    </row>
    <row r="193">
      <c r="A193" s="62">
        <f>Scores!A203</f>
        <v>192</v>
      </c>
      <c r="B193" s="54" t="str">
        <f>Compilation!D200</f>
        <v>💎jailctf merger</v>
      </c>
      <c r="C193" s="54">
        <f t="shared" si="1"/>
        <v>10</v>
      </c>
      <c r="D193" s="54">
        <f>Compilation!F200</f>
        <v>99</v>
      </c>
      <c r="E193" s="54">
        <f t="shared" si="2"/>
        <v>109</v>
      </c>
      <c r="F193" s="54">
        <f>Compilation!E200</f>
        <v>99</v>
      </c>
      <c r="G193" s="54">
        <f>countif(Scores!B203:AG203,D193)</f>
        <v>2</v>
      </c>
      <c r="H193" s="54">
        <f>Compilation!G200</f>
        <v>109</v>
      </c>
      <c r="J193" s="50">
        <f t="shared" si="6"/>
        <v>173</v>
      </c>
      <c r="K193" s="21">
        <v>351.0</v>
      </c>
      <c r="L193" s="14" t="s">
        <v>93</v>
      </c>
      <c r="M193" s="8">
        <v>1.0</v>
      </c>
      <c r="N193" s="8">
        <v>66.0</v>
      </c>
      <c r="O193" s="8">
        <v>67.0</v>
      </c>
      <c r="U193" s="50" t="str">
        <f t="shared" si="7"/>
        <v/>
      </c>
      <c r="V193" s="14"/>
      <c r="W193" s="8"/>
    </row>
    <row r="194">
      <c r="A194" s="62">
        <f>Scores!A204</f>
        <v>193</v>
      </c>
      <c r="B194" s="54" t="str">
        <f>Compilation!D201</f>
        <v>💎ox jam</v>
      </c>
      <c r="C194" s="54">
        <f t="shared" si="1"/>
        <v>6</v>
      </c>
      <c r="D194" s="54">
        <f>Compilation!F201</f>
        <v>71</v>
      </c>
      <c r="E194" s="54">
        <f t="shared" si="2"/>
        <v>77</v>
      </c>
      <c r="F194" s="54">
        <f>Compilation!E201</f>
        <v>71</v>
      </c>
      <c r="G194" s="54">
        <f>countif(Scores!B204:AG204,D194)</f>
        <v>2</v>
      </c>
      <c r="H194" s="54">
        <f>Compilation!G201</f>
        <v>77</v>
      </c>
      <c r="J194" s="50">
        <f t="shared" si="6"/>
        <v>173</v>
      </c>
      <c r="K194" s="21">
        <v>400.0</v>
      </c>
      <c r="L194" s="14" t="s">
        <v>93</v>
      </c>
      <c r="M194" s="8">
        <v>1.0</v>
      </c>
      <c r="N194" s="8">
        <v>66.0</v>
      </c>
      <c r="O194" s="8">
        <v>67.0</v>
      </c>
      <c r="U194" s="50" t="str">
        <f t="shared" si="7"/>
        <v/>
      </c>
      <c r="V194" s="14"/>
      <c r="W194" s="8"/>
    </row>
    <row r="195">
      <c r="A195" s="62">
        <f>Scores!A205</f>
        <v>194</v>
      </c>
      <c r="B195" s="54" t="str">
        <f>Compilation!D202</f>
        <v>💎ox jam</v>
      </c>
      <c r="C195" s="54">
        <f t="shared" si="1"/>
        <v>4</v>
      </c>
      <c r="D195" s="54">
        <f>Compilation!F202</f>
        <v>55</v>
      </c>
      <c r="E195" s="54">
        <f t="shared" si="2"/>
        <v>59</v>
      </c>
      <c r="F195" s="54">
        <f>Compilation!E202</f>
        <v>55</v>
      </c>
      <c r="G195" s="54">
        <f>countif(Scores!B205:AG205,D195)</f>
        <v>2</v>
      </c>
      <c r="H195" s="54">
        <f>Compilation!G202</f>
        <v>59</v>
      </c>
      <c r="J195" s="50">
        <f t="shared" si="6"/>
        <v>173</v>
      </c>
      <c r="K195" s="21">
        <v>248.0</v>
      </c>
      <c r="L195" s="14" t="s">
        <v>100</v>
      </c>
      <c r="M195" s="8">
        <v>1.0</v>
      </c>
      <c r="N195" s="8">
        <v>67.0</v>
      </c>
      <c r="O195" s="8">
        <v>68.0</v>
      </c>
      <c r="U195" s="50" t="str">
        <f t="shared" si="7"/>
        <v/>
      </c>
      <c r="V195" s="14"/>
      <c r="W195" s="8"/>
    </row>
    <row r="196">
      <c r="A196" s="62">
        <f>Scores!A206</f>
        <v>195</v>
      </c>
      <c r="B196" s="54" t="str">
        <f>Compilation!D203</f>
        <v>💎ox jam</v>
      </c>
      <c r="C196" s="54">
        <f t="shared" si="1"/>
        <v>8</v>
      </c>
      <c r="D196" s="54">
        <f>Compilation!F203</f>
        <v>94</v>
      </c>
      <c r="E196" s="54">
        <f t="shared" si="2"/>
        <v>102</v>
      </c>
      <c r="F196" s="54">
        <f>Compilation!E203</f>
        <v>94</v>
      </c>
      <c r="G196" s="54">
        <f>countif(Scores!B206:AG206,D196)</f>
        <v>2</v>
      </c>
      <c r="H196" s="54">
        <f>Compilation!G203</f>
        <v>102</v>
      </c>
      <c r="J196" s="50">
        <f t="shared" si="6"/>
        <v>173</v>
      </c>
      <c r="K196" s="21">
        <v>122.0</v>
      </c>
      <c r="L196" s="14" t="s">
        <v>94</v>
      </c>
      <c r="M196" s="8">
        <v>1.0</v>
      </c>
      <c r="N196" s="8">
        <v>70.0</v>
      </c>
      <c r="O196" s="8">
        <v>71.0</v>
      </c>
      <c r="U196" s="50" t="str">
        <f t="shared" si="7"/>
        <v/>
      </c>
      <c r="V196" s="14"/>
      <c r="W196" s="8"/>
    </row>
    <row r="197">
      <c r="A197" s="62">
        <f>Scores!A207</f>
        <v>196</v>
      </c>
      <c r="B197" s="54" t="str">
        <f>Compilation!D204</f>
        <v>💎jailctf merger</v>
      </c>
      <c r="C197" s="54">
        <f t="shared" si="1"/>
        <v>1</v>
      </c>
      <c r="D197" s="54">
        <f>Compilation!F204</f>
        <v>105</v>
      </c>
      <c r="E197" s="54">
        <f t="shared" si="2"/>
        <v>106</v>
      </c>
      <c r="F197" s="54">
        <f>Compilation!E204</f>
        <v>105</v>
      </c>
      <c r="G197" s="54">
        <f>countif(Scores!B207:AG207,D197)</f>
        <v>1</v>
      </c>
      <c r="H197" s="54">
        <f>Compilation!G204</f>
        <v>106</v>
      </c>
      <c r="J197" s="50">
        <f t="shared" si="6"/>
        <v>173</v>
      </c>
      <c r="K197" s="21">
        <v>167.0</v>
      </c>
      <c r="L197" s="14" t="s">
        <v>93</v>
      </c>
      <c r="M197" s="8">
        <v>1.0</v>
      </c>
      <c r="N197" s="8">
        <v>70.0</v>
      </c>
      <c r="O197" s="8">
        <v>71.0</v>
      </c>
      <c r="U197" s="50" t="str">
        <f t="shared" si="7"/>
        <v/>
      </c>
      <c r="V197" s="14"/>
      <c r="W197" s="8"/>
    </row>
    <row r="198">
      <c r="A198" s="62">
        <f>Scores!A208</f>
        <v>197</v>
      </c>
      <c r="B198" s="54" t="str">
        <f>Compilation!D205</f>
        <v>🥇 x2</v>
      </c>
      <c r="C198" s="54">
        <f t="shared" si="1"/>
        <v>-0.000000003</v>
      </c>
      <c r="D198" s="54">
        <f>Compilation!F205</f>
        <v>51</v>
      </c>
      <c r="E198" s="54" t="str">
        <f t="shared" si="2"/>
        <v/>
      </c>
      <c r="F198" s="54">
        <f>Compilation!E205</f>
        <v>-1</v>
      </c>
      <c r="G198" s="54">
        <f>countif(Scores!B208:AG208,D198)</f>
        <v>3</v>
      </c>
      <c r="H198" s="54">
        <f>Compilation!G205</f>
        <v>-1</v>
      </c>
      <c r="J198" s="50">
        <f t="shared" si="6"/>
        <v>173</v>
      </c>
      <c r="K198" s="21">
        <v>4.0</v>
      </c>
      <c r="L198" s="14" t="s">
        <v>93</v>
      </c>
      <c r="M198" s="8">
        <v>1.0</v>
      </c>
      <c r="N198" s="8">
        <v>73.0</v>
      </c>
      <c r="O198" s="8">
        <v>74.0</v>
      </c>
      <c r="U198" s="50" t="str">
        <f t="shared" si="7"/>
        <v/>
      </c>
      <c r="V198" s="14"/>
      <c r="W198" s="8"/>
    </row>
    <row r="199">
      <c r="A199" s="62">
        <f>Scores!A209</f>
        <v>198</v>
      </c>
      <c r="B199" s="54" t="str">
        <f>Compilation!D206</f>
        <v>💎Code Golf International</v>
      </c>
      <c r="C199" s="54">
        <f t="shared" si="1"/>
        <v>3</v>
      </c>
      <c r="D199" s="54">
        <f>Compilation!F206</f>
        <v>107</v>
      </c>
      <c r="E199" s="54">
        <f t="shared" si="2"/>
        <v>110</v>
      </c>
      <c r="F199" s="54">
        <f>Compilation!E206</f>
        <v>107</v>
      </c>
      <c r="G199" s="54">
        <f>countif(Scores!B209:AG209,D199)</f>
        <v>1</v>
      </c>
      <c r="H199" s="54">
        <f>Compilation!G206</f>
        <v>110</v>
      </c>
      <c r="J199" s="50">
        <f t="shared" si="6"/>
        <v>173</v>
      </c>
      <c r="K199" s="21">
        <v>63.0</v>
      </c>
      <c r="L199" s="14" t="s">
        <v>94</v>
      </c>
      <c r="M199" s="8">
        <v>1.0</v>
      </c>
      <c r="N199" s="8">
        <v>74.0</v>
      </c>
      <c r="O199" s="8">
        <v>75.0</v>
      </c>
      <c r="U199" s="50" t="str">
        <f t="shared" si="7"/>
        <v/>
      </c>
      <c r="V199" s="14"/>
      <c r="W199" s="8"/>
    </row>
    <row r="200">
      <c r="A200" s="62">
        <f>Scores!A210</f>
        <v>199</v>
      </c>
      <c r="B200" s="54" t="str">
        <f>Compilation!D207</f>
        <v>🥇 x3</v>
      </c>
      <c r="C200" s="54">
        <f t="shared" si="1"/>
        <v>-0.000000004</v>
      </c>
      <c r="D200" s="54">
        <f>Compilation!F207</f>
        <v>77</v>
      </c>
      <c r="E200" s="54" t="str">
        <f t="shared" si="2"/>
        <v/>
      </c>
      <c r="F200" s="54">
        <f>Compilation!E207</f>
        <v>-1</v>
      </c>
      <c r="G200" s="54">
        <f>countif(Scores!B210:AG210,D200)</f>
        <v>4</v>
      </c>
      <c r="H200" s="54">
        <f>Compilation!G207</f>
        <v>-1</v>
      </c>
      <c r="J200" s="50">
        <f t="shared" si="6"/>
        <v>173</v>
      </c>
      <c r="K200" s="21">
        <v>149.0</v>
      </c>
      <c r="L200" s="14" t="s">
        <v>95</v>
      </c>
      <c r="M200" s="8">
        <v>1.0</v>
      </c>
      <c r="N200" s="8">
        <v>74.0</v>
      </c>
      <c r="O200" s="8">
        <v>75.0</v>
      </c>
      <c r="U200" s="50" t="str">
        <f t="shared" si="7"/>
        <v/>
      </c>
      <c r="V200" s="14"/>
      <c r="W200" s="8"/>
    </row>
    <row r="201">
      <c r="A201" s="62">
        <f>Scores!A211</f>
        <v>200</v>
      </c>
      <c r="B201" s="54" t="str">
        <f>Compilation!D208</f>
        <v>🥇 x3</v>
      </c>
      <c r="C201" s="54">
        <f t="shared" si="1"/>
        <v>-0.000000004</v>
      </c>
      <c r="D201" s="54">
        <f>Compilation!F208</f>
        <v>84</v>
      </c>
      <c r="E201" s="54" t="str">
        <f t="shared" si="2"/>
        <v/>
      </c>
      <c r="F201" s="54">
        <f>Compilation!E208</f>
        <v>-1</v>
      </c>
      <c r="G201" s="54">
        <f>countif(Scores!B211:AG211,D201)</f>
        <v>4</v>
      </c>
      <c r="H201" s="54">
        <f>Compilation!G208</f>
        <v>-1</v>
      </c>
      <c r="J201" s="50">
        <f t="shared" si="6"/>
        <v>173</v>
      </c>
      <c r="K201" s="21">
        <v>175.0</v>
      </c>
      <c r="L201" s="14" t="s">
        <v>94</v>
      </c>
      <c r="M201" s="8">
        <v>1.0</v>
      </c>
      <c r="N201" s="8">
        <v>74.0</v>
      </c>
      <c r="O201" s="8">
        <v>75.0</v>
      </c>
      <c r="U201" s="50" t="str">
        <f t="shared" si="7"/>
        <v/>
      </c>
      <c r="V201" s="14"/>
      <c r="W201" s="8"/>
    </row>
    <row r="202">
      <c r="A202" s="62">
        <f>Scores!A212</f>
        <v>201</v>
      </c>
      <c r="B202" s="54" t="str">
        <f>Compilation!D209</f>
        <v>💎Code Golf International</v>
      </c>
      <c r="C202" s="54">
        <f t="shared" si="1"/>
        <v>1</v>
      </c>
      <c r="D202" s="54">
        <f>Compilation!F209</f>
        <v>187</v>
      </c>
      <c r="E202" s="54">
        <f t="shared" si="2"/>
        <v>188</v>
      </c>
      <c r="F202" s="54">
        <f>Compilation!E209</f>
        <v>187</v>
      </c>
      <c r="G202" s="54">
        <f>countif(Scores!B212:AG212,D202)</f>
        <v>1</v>
      </c>
      <c r="H202" s="54">
        <f>Compilation!G209</f>
        <v>188</v>
      </c>
      <c r="J202" s="50">
        <f t="shared" si="6"/>
        <v>173</v>
      </c>
      <c r="K202" s="21">
        <v>161.0</v>
      </c>
      <c r="L202" s="14" t="s">
        <v>93</v>
      </c>
      <c r="M202" s="8">
        <v>1.0</v>
      </c>
      <c r="N202" s="8">
        <v>79.0</v>
      </c>
      <c r="O202" s="8">
        <v>80.0</v>
      </c>
      <c r="U202" s="50" t="str">
        <f t="shared" si="7"/>
        <v/>
      </c>
      <c r="V202" s="14"/>
      <c r="W202" s="8"/>
    </row>
    <row r="203">
      <c r="A203" s="62">
        <f>Scores!A213</f>
        <v>202</v>
      </c>
      <c r="B203" s="54" t="str">
        <f>Compilation!D210</f>
        <v>💎jailctf merger</v>
      </c>
      <c r="C203" s="54">
        <f t="shared" si="1"/>
        <v>4</v>
      </c>
      <c r="D203" s="54">
        <f>Compilation!F210</f>
        <v>98</v>
      </c>
      <c r="E203" s="54">
        <f t="shared" si="2"/>
        <v>102</v>
      </c>
      <c r="F203" s="54">
        <f>Compilation!E210</f>
        <v>98</v>
      </c>
      <c r="G203" s="54">
        <f>countif(Scores!B213:AG213,D203)</f>
        <v>2</v>
      </c>
      <c r="H203" s="54">
        <f>Compilation!G210</f>
        <v>102</v>
      </c>
      <c r="J203" s="50">
        <f t="shared" si="6"/>
        <v>173</v>
      </c>
      <c r="K203" s="21">
        <v>50.0</v>
      </c>
      <c r="L203" s="14" t="s">
        <v>95</v>
      </c>
      <c r="M203" s="8">
        <v>1.0</v>
      </c>
      <c r="N203" s="8">
        <v>83.0</v>
      </c>
      <c r="O203" s="8">
        <v>84.0</v>
      </c>
      <c r="U203" s="50" t="str">
        <f t="shared" si="7"/>
        <v/>
      </c>
      <c r="V203" s="14"/>
      <c r="W203" s="8"/>
    </row>
    <row r="204">
      <c r="A204" s="62">
        <f>Scores!A214</f>
        <v>203</v>
      </c>
      <c r="B204" s="54" t="str">
        <f>Compilation!D211</f>
        <v>🥇 x8</v>
      </c>
      <c r="C204" s="54">
        <f t="shared" si="1"/>
        <v>-0.000000009</v>
      </c>
      <c r="D204" s="54">
        <f>Compilation!F211</f>
        <v>64</v>
      </c>
      <c r="E204" s="54" t="str">
        <f t="shared" si="2"/>
        <v/>
      </c>
      <c r="F204" s="54">
        <f>Compilation!E211</f>
        <v>-1</v>
      </c>
      <c r="G204" s="54">
        <f>countif(Scores!B214:AG214,D204)</f>
        <v>9</v>
      </c>
      <c r="H204" s="54">
        <f>Compilation!G211</f>
        <v>-1</v>
      </c>
      <c r="J204" s="50">
        <f t="shared" si="6"/>
        <v>173</v>
      </c>
      <c r="K204" s="21">
        <v>110.0</v>
      </c>
      <c r="L204" s="14" t="s">
        <v>96</v>
      </c>
      <c r="M204" s="8">
        <v>1.0</v>
      </c>
      <c r="N204" s="8">
        <v>83.0</v>
      </c>
      <c r="O204" s="8">
        <v>84.0</v>
      </c>
      <c r="U204" s="50" t="str">
        <f t="shared" si="7"/>
        <v/>
      </c>
      <c r="V204" s="14"/>
      <c r="W204" s="8"/>
    </row>
    <row r="205">
      <c r="A205" s="62">
        <f>Scores!A215</f>
        <v>204</v>
      </c>
      <c r="B205" s="54" t="str">
        <f>Compilation!D212</f>
        <v>🥇 x3</v>
      </c>
      <c r="C205" s="54">
        <f t="shared" si="1"/>
        <v>-0.000000004</v>
      </c>
      <c r="D205" s="54">
        <f>Compilation!F212</f>
        <v>93</v>
      </c>
      <c r="E205" s="54" t="str">
        <f t="shared" si="2"/>
        <v/>
      </c>
      <c r="F205" s="54">
        <f>Compilation!E212</f>
        <v>-1</v>
      </c>
      <c r="G205" s="54">
        <f>countif(Scores!B215:AG215,D205)</f>
        <v>4</v>
      </c>
      <c r="H205" s="54">
        <f>Compilation!G212</f>
        <v>-1</v>
      </c>
      <c r="J205" s="50">
        <f t="shared" si="6"/>
        <v>173</v>
      </c>
      <c r="K205" s="21">
        <v>58.0</v>
      </c>
      <c r="L205" s="14" t="s">
        <v>93</v>
      </c>
      <c r="M205" s="8">
        <v>1.0</v>
      </c>
      <c r="N205" s="8">
        <v>85.0</v>
      </c>
      <c r="O205" s="8">
        <v>86.0</v>
      </c>
      <c r="U205" s="50" t="str">
        <f t="shared" si="7"/>
        <v/>
      </c>
      <c r="V205" s="14"/>
      <c r="W205" s="8"/>
    </row>
    <row r="206">
      <c r="A206" s="62">
        <f>Scores!A216</f>
        <v>205</v>
      </c>
      <c r="B206" s="54" t="str">
        <f>Compilation!D213</f>
        <v>💎jailctf merger</v>
      </c>
      <c r="C206" s="54">
        <f t="shared" si="1"/>
        <v>2</v>
      </c>
      <c r="D206" s="54">
        <f>Compilation!F213</f>
        <v>134</v>
      </c>
      <c r="E206" s="54">
        <f t="shared" si="2"/>
        <v>136</v>
      </c>
      <c r="F206" s="54">
        <f>Compilation!E213</f>
        <v>134</v>
      </c>
      <c r="G206" s="54">
        <f>countif(Scores!B216:AG216,D206)</f>
        <v>2</v>
      </c>
      <c r="H206" s="54">
        <f>Compilation!G213</f>
        <v>136</v>
      </c>
      <c r="J206" s="50">
        <f t="shared" si="6"/>
        <v>173</v>
      </c>
      <c r="K206" s="21">
        <v>100.0</v>
      </c>
      <c r="L206" s="14" t="s">
        <v>94</v>
      </c>
      <c r="M206" s="8">
        <v>1.0</v>
      </c>
      <c r="N206" s="8">
        <v>85.0</v>
      </c>
      <c r="O206" s="8">
        <v>86.0</v>
      </c>
      <c r="U206" s="50" t="str">
        <f t="shared" si="7"/>
        <v/>
      </c>
      <c r="V206" s="14"/>
      <c r="W206" s="8"/>
    </row>
    <row r="207">
      <c r="A207" s="62">
        <f>Scores!A217</f>
        <v>206</v>
      </c>
      <c r="B207" s="54" t="str">
        <f>Compilation!D214</f>
        <v>💎FuunAgent</v>
      </c>
      <c r="C207" s="54">
        <f t="shared" si="1"/>
        <v>1</v>
      </c>
      <c r="D207" s="54">
        <f>Compilation!F214</f>
        <v>139</v>
      </c>
      <c r="E207" s="54">
        <f t="shared" si="2"/>
        <v>140</v>
      </c>
      <c r="F207" s="54">
        <f>Compilation!E214</f>
        <v>139</v>
      </c>
      <c r="G207" s="54">
        <f>countif(Scores!B217:AG217,D207)</f>
        <v>2</v>
      </c>
      <c r="H207" s="54">
        <f>Compilation!G214</f>
        <v>140</v>
      </c>
      <c r="J207" s="50">
        <f t="shared" si="6"/>
        <v>173</v>
      </c>
      <c r="K207" s="21">
        <v>213.0</v>
      </c>
      <c r="L207" s="14" t="s">
        <v>94</v>
      </c>
      <c r="M207" s="8">
        <v>1.0</v>
      </c>
      <c r="N207" s="8">
        <v>86.0</v>
      </c>
      <c r="O207" s="8">
        <v>87.0</v>
      </c>
      <c r="U207" s="50" t="str">
        <f t="shared" si="7"/>
        <v/>
      </c>
      <c r="V207" s="14"/>
      <c r="W207" s="8"/>
    </row>
    <row r="208">
      <c r="A208" s="62">
        <f>Scores!A218</f>
        <v>207</v>
      </c>
      <c r="B208" s="54" t="str">
        <f>Compilation!D215</f>
        <v>🥇 x2</v>
      </c>
      <c r="C208" s="54">
        <f t="shared" si="1"/>
        <v>-0.000000002</v>
      </c>
      <c r="D208" s="54">
        <f>Compilation!F215</f>
        <v>74</v>
      </c>
      <c r="E208" s="54" t="str">
        <f t="shared" si="2"/>
        <v/>
      </c>
      <c r="F208" s="54">
        <f>Compilation!E215</f>
        <v>-1</v>
      </c>
      <c r="G208" s="54">
        <f>countif(Scores!B218:AG218,D208)</f>
        <v>2</v>
      </c>
      <c r="H208" s="54">
        <f>Compilation!G215</f>
        <v>-1</v>
      </c>
      <c r="J208" s="50">
        <f t="shared" si="6"/>
        <v>173</v>
      </c>
      <c r="K208" s="21">
        <v>345.0</v>
      </c>
      <c r="L208" s="14" t="s">
        <v>93</v>
      </c>
      <c r="M208" s="8">
        <v>1.0</v>
      </c>
      <c r="N208" s="8">
        <v>89.0</v>
      </c>
      <c r="O208" s="8">
        <v>90.0</v>
      </c>
      <c r="U208" s="50" t="str">
        <f t="shared" si="7"/>
        <v/>
      </c>
      <c r="V208" s="14"/>
      <c r="W208" s="8"/>
    </row>
    <row r="209">
      <c r="A209" s="62">
        <f>Scores!A219</f>
        <v>208</v>
      </c>
      <c r="B209" s="54" t="str">
        <f>Compilation!D216</f>
        <v>💎Code Golf International</v>
      </c>
      <c r="C209" s="54">
        <f t="shared" si="1"/>
        <v>26</v>
      </c>
      <c r="D209" s="54">
        <f>Compilation!F216</f>
        <v>163</v>
      </c>
      <c r="E209" s="54">
        <f t="shared" si="2"/>
        <v>189</v>
      </c>
      <c r="F209" s="54">
        <f>Compilation!E216</f>
        <v>163</v>
      </c>
      <c r="G209" s="54">
        <f>countif(Scores!B219:AG219,D209)</f>
        <v>2</v>
      </c>
      <c r="H209" s="54">
        <f>Compilation!G216</f>
        <v>189</v>
      </c>
      <c r="J209" s="50">
        <f t="shared" si="6"/>
        <v>173</v>
      </c>
      <c r="K209" s="21">
        <v>358.0</v>
      </c>
      <c r="L209" s="14" t="s">
        <v>94</v>
      </c>
      <c r="M209" s="8">
        <v>1.0</v>
      </c>
      <c r="N209" s="8">
        <v>90.0</v>
      </c>
      <c r="O209" s="8">
        <v>91.0</v>
      </c>
      <c r="U209" s="50" t="str">
        <f t="shared" si="7"/>
        <v/>
      </c>
      <c r="V209" s="14"/>
      <c r="W209" s="8"/>
    </row>
    <row r="210">
      <c r="A210" s="62">
        <f>Scores!A220</f>
        <v>209</v>
      </c>
      <c r="B210" s="54" t="str">
        <f>Compilation!D217</f>
        <v>💎ox jam</v>
      </c>
      <c r="C210" s="54">
        <f t="shared" si="1"/>
        <v>3</v>
      </c>
      <c r="D210" s="54">
        <f>Compilation!F217</f>
        <v>247</v>
      </c>
      <c r="E210" s="54">
        <f t="shared" si="2"/>
        <v>250</v>
      </c>
      <c r="F210" s="54">
        <f>Compilation!E217</f>
        <v>247</v>
      </c>
      <c r="G210" s="54">
        <f>countif(Scores!B220:AG220,D210)</f>
        <v>1</v>
      </c>
      <c r="H210" s="54">
        <f>Compilation!G217</f>
        <v>250</v>
      </c>
      <c r="J210" s="50">
        <f t="shared" si="6"/>
        <v>173</v>
      </c>
      <c r="K210" s="21">
        <v>22.0</v>
      </c>
      <c r="L210" s="14" t="s">
        <v>94</v>
      </c>
      <c r="M210" s="8">
        <v>1.0</v>
      </c>
      <c r="N210" s="8">
        <v>91.0</v>
      </c>
      <c r="O210" s="8">
        <v>92.0</v>
      </c>
      <c r="U210" s="50" t="str">
        <f t="shared" si="7"/>
        <v/>
      </c>
      <c r="V210" s="14"/>
      <c r="W210" s="8"/>
    </row>
    <row r="211">
      <c r="A211" s="62">
        <f>Scores!A221</f>
        <v>210</v>
      </c>
      <c r="B211" s="54" t="str">
        <f>Compilation!D218</f>
        <v>🥇 x44</v>
      </c>
      <c r="C211" s="54">
        <f t="shared" si="1"/>
        <v>-0.000000045</v>
      </c>
      <c r="D211" s="54">
        <f>Compilation!F218</f>
        <v>20</v>
      </c>
      <c r="E211" s="54" t="str">
        <f t="shared" si="2"/>
        <v/>
      </c>
      <c r="F211" s="54">
        <f>Compilation!E218</f>
        <v>-1</v>
      </c>
      <c r="G211" s="54">
        <f>countif(Scores!B221:AG221,D211)</f>
        <v>45</v>
      </c>
      <c r="H211" s="54">
        <f>Compilation!G218</f>
        <v>-1</v>
      </c>
      <c r="J211" s="50">
        <f t="shared" si="6"/>
        <v>173</v>
      </c>
      <c r="K211" s="21">
        <v>124.0</v>
      </c>
      <c r="L211" s="14" t="s">
        <v>93</v>
      </c>
      <c r="M211" s="8">
        <v>1.0</v>
      </c>
      <c r="N211" s="8">
        <v>95.0</v>
      </c>
      <c r="O211" s="8">
        <v>96.0</v>
      </c>
      <c r="U211" s="50" t="str">
        <f t="shared" si="7"/>
        <v/>
      </c>
      <c r="V211" s="14"/>
      <c r="W211" s="8"/>
    </row>
    <row r="212">
      <c r="A212" s="62">
        <f>Scores!A222</f>
        <v>211</v>
      </c>
      <c r="B212" s="54" t="str">
        <f>Compilation!D219</f>
        <v>🥇 x14</v>
      </c>
      <c r="C212" s="54">
        <f t="shared" si="1"/>
        <v>-0.000000015</v>
      </c>
      <c r="D212" s="54">
        <f>Compilation!F219</f>
        <v>48</v>
      </c>
      <c r="E212" s="54" t="str">
        <f t="shared" si="2"/>
        <v/>
      </c>
      <c r="F212" s="54">
        <f>Compilation!E219</f>
        <v>-1</v>
      </c>
      <c r="G212" s="54">
        <f>countif(Scores!B222:AG222,D212)</f>
        <v>15</v>
      </c>
      <c r="H212" s="54">
        <f>Compilation!G219</f>
        <v>-1</v>
      </c>
      <c r="J212" s="50">
        <f t="shared" si="6"/>
        <v>173</v>
      </c>
      <c r="K212" s="21">
        <v>94.0</v>
      </c>
      <c r="L212" s="14" t="s">
        <v>95</v>
      </c>
      <c r="M212" s="8">
        <v>1.0</v>
      </c>
      <c r="N212" s="8">
        <v>96.0</v>
      </c>
      <c r="O212" s="8">
        <v>97.0</v>
      </c>
      <c r="U212" s="50" t="str">
        <f t="shared" si="7"/>
        <v/>
      </c>
      <c r="V212" s="14"/>
      <c r="W212" s="8"/>
    </row>
    <row r="213">
      <c r="A213" s="62">
        <f>Scores!A223</f>
        <v>212</v>
      </c>
      <c r="B213" s="54" t="str">
        <f>Compilation!D220</f>
        <v>💎ox jam</v>
      </c>
      <c r="C213" s="54">
        <f t="shared" si="1"/>
        <v>6</v>
      </c>
      <c r="D213" s="54">
        <f>Compilation!F220</f>
        <v>93</v>
      </c>
      <c r="E213" s="54">
        <f t="shared" si="2"/>
        <v>99</v>
      </c>
      <c r="F213" s="54">
        <f>Compilation!E220</f>
        <v>93</v>
      </c>
      <c r="G213" s="54">
        <f>countif(Scores!B223:AG223,D213)</f>
        <v>1</v>
      </c>
      <c r="H213" s="54">
        <f>Compilation!G220</f>
        <v>99</v>
      </c>
      <c r="J213" s="50">
        <f t="shared" si="6"/>
        <v>173</v>
      </c>
      <c r="K213" s="21">
        <v>162.0</v>
      </c>
      <c r="L213" s="14" t="s">
        <v>94</v>
      </c>
      <c r="M213" s="8">
        <v>1.0</v>
      </c>
      <c r="N213" s="8">
        <v>96.0</v>
      </c>
      <c r="O213" s="8">
        <v>97.0</v>
      </c>
      <c r="U213" s="50" t="str">
        <f t="shared" si="7"/>
        <v/>
      </c>
      <c r="V213" s="14"/>
      <c r="W213" s="8"/>
    </row>
    <row r="214">
      <c r="A214" s="62">
        <f>Scores!A224</f>
        <v>213</v>
      </c>
      <c r="B214" s="54" t="str">
        <f>Compilation!D221</f>
        <v>💎Code Golf International</v>
      </c>
      <c r="C214" s="54">
        <f t="shared" si="1"/>
        <v>1</v>
      </c>
      <c r="D214" s="54">
        <f>Compilation!F221</f>
        <v>86</v>
      </c>
      <c r="E214" s="54">
        <f t="shared" si="2"/>
        <v>87</v>
      </c>
      <c r="F214" s="54">
        <f>Compilation!E221</f>
        <v>86</v>
      </c>
      <c r="G214" s="54">
        <f>countif(Scores!B224:AG224,D214)</f>
        <v>2</v>
      </c>
      <c r="H214" s="54">
        <f>Compilation!G221</f>
        <v>87</v>
      </c>
      <c r="J214" s="50">
        <f t="shared" si="6"/>
        <v>173</v>
      </c>
      <c r="K214" s="21">
        <v>19.0</v>
      </c>
      <c r="L214" s="14" t="s">
        <v>94</v>
      </c>
      <c r="M214" s="8">
        <v>1.0</v>
      </c>
      <c r="N214" s="8">
        <v>103.0</v>
      </c>
      <c r="O214" s="8">
        <v>104.0</v>
      </c>
      <c r="U214" s="50" t="str">
        <f t="shared" si="7"/>
        <v/>
      </c>
      <c r="V214" s="14"/>
      <c r="W214" s="8"/>
    </row>
    <row r="215">
      <c r="A215" s="62">
        <f>Scores!A225</f>
        <v>214</v>
      </c>
      <c r="B215" s="54" t="str">
        <f>Compilation!D222</f>
        <v>💎import itertools</v>
      </c>
      <c r="C215" s="54">
        <f t="shared" si="1"/>
        <v>1</v>
      </c>
      <c r="D215" s="54">
        <f>Compilation!F222</f>
        <v>61</v>
      </c>
      <c r="E215" s="54">
        <f t="shared" si="2"/>
        <v>62</v>
      </c>
      <c r="F215" s="54">
        <f>Compilation!E222</f>
        <v>61</v>
      </c>
      <c r="G215" s="54">
        <f>countif(Scores!B225:AG225,D215)</f>
        <v>2</v>
      </c>
      <c r="H215" s="54">
        <f>Compilation!G222</f>
        <v>62</v>
      </c>
      <c r="J215" s="50">
        <f t="shared" si="6"/>
        <v>173</v>
      </c>
      <c r="K215" s="21">
        <v>190.0</v>
      </c>
      <c r="L215" s="14" t="s">
        <v>93</v>
      </c>
      <c r="M215" s="8">
        <v>1.0</v>
      </c>
      <c r="N215" s="8">
        <v>103.0</v>
      </c>
      <c r="O215" s="8">
        <v>104.0</v>
      </c>
      <c r="U215" s="50" t="str">
        <f t="shared" si="7"/>
        <v/>
      </c>
      <c r="V215" s="14"/>
      <c r="W215" s="8"/>
    </row>
    <row r="216">
      <c r="A216" s="62">
        <f>Scores!A226</f>
        <v>215</v>
      </c>
      <c r="B216" s="54" t="str">
        <f>Compilation!D223</f>
        <v>🥇 x3</v>
      </c>
      <c r="C216" s="54">
        <f t="shared" si="1"/>
        <v>-0.000000004</v>
      </c>
      <c r="D216" s="54">
        <f>Compilation!F223</f>
        <v>42</v>
      </c>
      <c r="E216" s="54" t="str">
        <f t="shared" si="2"/>
        <v/>
      </c>
      <c r="F216" s="54">
        <f>Compilation!E223</f>
        <v>-1</v>
      </c>
      <c r="G216" s="54">
        <f>countif(Scores!B226:AG226,D216)</f>
        <v>4</v>
      </c>
      <c r="H216" s="54">
        <f>Compilation!G223</f>
        <v>-1</v>
      </c>
      <c r="J216" s="50">
        <f t="shared" si="6"/>
        <v>173</v>
      </c>
      <c r="K216" s="21">
        <v>246.0</v>
      </c>
      <c r="L216" s="14" t="s">
        <v>94</v>
      </c>
      <c r="M216" s="8">
        <v>1.0</v>
      </c>
      <c r="N216" s="8">
        <v>104.0</v>
      </c>
      <c r="O216" s="8">
        <v>105.0</v>
      </c>
      <c r="U216" s="50" t="str">
        <f t="shared" si="7"/>
        <v/>
      </c>
      <c r="V216" s="14"/>
      <c r="W216" s="8"/>
    </row>
    <row r="217">
      <c r="A217" s="62">
        <f>Scores!A227</f>
        <v>216</v>
      </c>
      <c r="B217" s="54" t="str">
        <f>Compilation!D224</f>
        <v>💎jailctf merger</v>
      </c>
      <c r="C217" s="54">
        <f t="shared" si="1"/>
        <v>2</v>
      </c>
      <c r="D217" s="54">
        <f>Compilation!F224</f>
        <v>111</v>
      </c>
      <c r="E217" s="54">
        <f t="shared" si="2"/>
        <v>113</v>
      </c>
      <c r="F217" s="54">
        <f>Compilation!E224</f>
        <v>111</v>
      </c>
      <c r="G217" s="54">
        <f>countif(Scores!B227:AG227,D217)</f>
        <v>2</v>
      </c>
      <c r="H217" s="54">
        <f>Compilation!G224</f>
        <v>113</v>
      </c>
      <c r="J217" s="50">
        <f t="shared" si="6"/>
        <v>173</v>
      </c>
      <c r="K217" s="21">
        <v>286.0</v>
      </c>
      <c r="L217" s="14" t="s">
        <v>93</v>
      </c>
      <c r="M217" s="8">
        <v>1.0</v>
      </c>
      <c r="N217" s="8">
        <v>104.0</v>
      </c>
      <c r="O217" s="8">
        <v>105.0</v>
      </c>
      <c r="U217" s="50" t="str">
        <f t="shared" si="7"/>
        <v/>
      </c>
      <c r="V217" s="14"/>
      <c r="W217" s="8"/>
    </row>
    <row r="218">
      <c r="A218" s="62">
        <f>Scores!A228</f>
        <v>217</v>
      </c>
      <c r="B218" s="54" t="str">
        <f>Compilation!D225</f>
        <v>🥇 x3</v>
      </c>
      <c r="C218" s="54">
        <f t="shared" si="1"/>
        <v>-0.000000004</v>
      </c>
      <c r="D218" s="54">
        <f>Compilation!F225</f>
        <v>95</v>
      </c>
      <c r="E218" s="54" t="str">
        <f t="shared" si="2"/>
        <v/>
      </c>
      <c r="F218" s="54">
        <f>Compilation!E225</f>
        <v>-1</v>
      </c>
      <c r="G218" s="54">
        <f>countif(Scores!B228:AG228,D218)</f>
        <v>4</v>
      </c>
      <c r="H218" s="54">
        <f>Compilation!G225</f>
        <v>-1</v>
      </c>
      <c r="J218" s="50">
        <f t="shared" si="6"/>
        <v>173</v>
      </c>
      <c r="K218" s="21">
        <v>196.0</v>
      </c>
      <c r="L218" s="14" t="s">
        <v>95</v>
      </c>
      <c r="M218" s="8">
        <v>1.0</v>
      </c>
      <c r="N218" s="8">
        <v>105.0</v>
      </c>
      <c r="O218" s="8">
        <v>106.0</v>
      </c>
      <c r="U218" s="50" t="str">
        <f t="shared" si="7"/>
        <v/>
      </c>
      <c r="V218" s="14"/>
      <c r="W218" s="8"/>
    </row>
    <row r="219">
      <c r="A219" s="62">
        <f>Scores!A229</f>
        <v>218</v>
      </c>
      <c r="B219" s="54" t="str">
        <f>Compilation!D226</f>
        <v>🥇 x3</v>
      </c>
      <c r="C219" s="54">
        <f t="shared" si="1"/>
        <v>-0.000000004</v>
      </c>
      <c r="D219" s="54">
        <f>Compilation!F226</f>
        <v>56</v>
      </c>
      <c r="E219" s="54" t="str">
        <f t="shared" si="2"/>
        <v/>
      </c>
      <c r="F219" s="54">
        <f>Compilation!E226</f>
        <v>-1</v>
      </c>
      <c r="G219" s="54">
        <f>countif(Scores!B229:AG229,D219)</f>
        <v>4</v>
      </c>
      <c r="H219" s="54">
        <f>Compilation!G226</f>
        <v>-1</v>
      </c>
      <c r="J219" s="50">
        <f t="shared" si="6"/>
        <v>173</v>
      </c>
      <c r="K219" s="21">
        <v>335.0</v>
      </c>
      <c r="L219" s="14" t="s">
        <v>95</v>
      </c>
      <c r="M219" s="8">
        <v>1.0</v>
      </c>
      <c r="N219" s="8">
        <v>105.0</v>
      </c>
      <c r="O219" s="8">
        <v>106.0</v>
      </c>
      <c r="U219" s="50" t="str">
        <f t="shared" si="7"/>
        <v/>
      </c>
      <c r="V219" s="14"/>
      <c r="W219" s="8"/>
    </row>
    <row r="220">
      <c r="A220" s="62">
        <f>Scores!A230</f>
        <v>219</v>
      </c>
      <c r="B220" s="54" t="str">
        <f>Compilation!D227</f>
        <v>🥇 x2</v>
      </c>
      <c r="C220" s="54">
        <f t="shared" si="1"/>
        <v>-0.000000002</v>
      </c>
      <c r="D220" s="54">
        <f>Compilation!F227</f>
        <v>241</v>
      </c>
      <c r="E220" s="54" t="str">
        <f t="shared" si="2"/>
        <v/>
      </c>
      <c r="F220" s="54">
        <f>Compilation!E227</f>
        <v>-1</v>
      </c>
      <c r="G220" s="54">
        <f>countif(Scores!B230:AG230,D220)</f>
        <v>2</v>
      </c>
      <c r="H220" s="54">
        <f>Compilation!G227</f>
        <v>-1</v>
      </c>
      <c r="J220" s="50">
        <f t="shared" si="6"/>
        <v>173</v>
      </c>
      <c r="K220" s="21">
        <v>234.0</v>
      </c>
      <c r="L220" s="14" t="s">
        <v>95</v>
      </c>
      <c r="M220" s="8">
        <v>1.0</v>
      </c>
      <c r="N220" s="8">
        <v>106.0</v>
      </c>
      <c r="O220" s="8">
        <v>107.0</v>
      </c>
      <c r="U220" s="50" t="str">
        <f t="shared" si="7"/>
        <v/>
      </c>
      <c r="V220" s="14"/>
      <c r="W220" s="8"/>
    </row>
    <row r="221">
      <c r="A221" s="62">
        <f>Scores!A231</f>
        <v>220</v>
      </c>
      <c r="B221" s="54" t="str">
        <f>Compilation!D228</f>
        <v>💎jailctf merger</v>
      </c>
      <c r="C221" s="54">
        <f t="shared" si="1"/>
        <v>5</v>
      </c>
      <c r="D221" s="54">
        <f>Compilation!F228</f>
        <v>82</v>
      </c>
      <c r="E221" s="54">
        <f t="shared" si="2"/>
        <v>87</v>
      </c>
      <c r="F221" s="54">
        <f>Compilation!E228</f>
        <v>82</v>
      </c>
      <c r="G221" s="54">
        <f>countif(Scores!B231:AG231,D221)</f>
        <v>2</v>
      </c>
      <c r="H221" s="54">
        <f>Compilation!G228</f>
        <v>87</v>
      </c>
      <c r="J221" s="50">
        <f t="shared" si="6"/>
        <v>173</v>
      </c>
      <c r="K221" s="21">
        <v>342.0</v>
      </c>
      <c r="L221" s="14" t="s">
        <v>95</v>
      </c>
      <c r="M221" s="8">
        <v>1.0</v>
      </c>
      <c r="N221" s="8">
        <v>106.0</v>
      </c>
      <c r="O221" s="8">
        <v>107.0</v>
      </c>
      <c r="U221" s="50" t="str">
        <f t="shared" si="7"/>
        <v/>
      </c>
      <c r="V221" s="14"/>
      <c r="W221" s="8"/>
    </row>
    <row r="222">
      <c r="A222" s="62">
        <f>Scores!A232</f>
        <v>221</v>
      </c>
      <c r="B222" s="54" t="str">
        <f>Compilation!D229</f>
        <v>🥇 x2</v>
      </c>
      <c r="C222" s="54">
        <f t="shared" si="1"/>
        <v>-0.000000003</v>
      </c>
      <c r="D222" s="54">
        <f>Compilation!F229</f>
        <v>86</v>
      </c>
      <c r="E222" s="54" t="str">
        <f t="shared" si="2"/>
        <v/>
      </c>
      <c r="F222" s="54">
        <f>Compilation!E229</f>
        <v>-1</v>
      </c>
      <c r="G222" s="54">
        <f>countif(Scores!B232:AG232,D222)</f>
        <v>3</v>
      </c>
      <c r="H222" s="54">
        <f>Compilation!G229</f>
        <v>-1</v>
      </c>
      <c r="J222" s="50">
        <f t="shared" si="6"/>
        <v>173</v>
      </c>
      <c r="K222" s="21">
        <v>340.0</v>
      </c>
      <c r="L222" s="14" t="s">
        <v>95</v>
      </c>
      <c r="M222" s="8">
        <v>1.0</v>
      </c>
      <c r="N222" s="8">
        <v>111.0</v>
      </c>
      <c r="O222" s="8">
        <v>112.0</v>
      </c>
      <c r="U222" s="50" t="str">
        <f t="shared" si="7"/>
        <v/>
      </c>
      <c r="V222" s="14"/>
      <c r="W222" s="8"/>
    </row>
    <row r="223">
      <c r="A223" s="62">
        <f>Scores!A233</f>
        <v>222</v>
      </c>
      <c r="B223" s="54" t="str">
        <f>Compilation!D230</f>
        <v>💎ox jam</v>
      </c>
      <c r="C223" s="54">
        <f t="shared" si="1"/>
        <v>9</v>
      </c>
      <c r="D223" s="54">
        <f>Compilation!F230</f>
        <v>93</v>
      </c>
      <c r="E223" s="54">
        <f t="shared" si="2"/>
        <v>102</v>
      </c>
      <c r="F223" s="54">
        <f>Compilation!E230</f>
        <v>93</v>
      </c>
      <c r="G223" s="54">
        <f>countif(Scores!B233:AG233,D223)</f>
        <v>2</v>
      </c>
      <c r="H223" s="54">
        <f>Compilation!G230</f>
        <v>102</v>
      </c>
      <c r="J223" s="50">
        <f t="shared" si="6"/>
        <v>173</v>
      </c>
      <c r="K223" s="21">
        <v>153.0</v>
      </c>
      <c r="L223" s="14" t="s">
        <v>94</v>
      </c>
      <c r="M223" s="8">
        <v>1.0</v>
      </c>
      <c r="N223" s="8">
        <v>118.0</v>
      </c>
      <c r="O223" s="8">
        <v>119.0</v>
      </c>
      <c r="U223" s="50" t="str">
        <f t="shared" si="7"/>
        <v/>
      </c>
      <c r="V223" s="14"/>
      <c r="W223" s="8"/>
    </row>
    <row r="224">
      <c r="A224" s="62">
        <f>Scores!A234</f>
        <v>223</v>
      </c>
      <c r="B224" s="54" t="str">
        <f>Compilation!D231</f>
        <v>🥇 x3</v>
      </c>
      <c r="C224" s="54">
        <f t="shared" si="1"/>
        <v>-0.000000004</v>
      </c>
      <c r="D224" s="54">
        <f>Compilation!F231</f>
        <v>46</v>
      </c>
      <c r="E224" s="54" t="str">
        <f t="shared" si="2"/>
        <v/>
      </c>
      <c r="F224" s="54">
        <f>Compilation!E231</f>
        <v>-1</v>
      </c>
      <c r="G224" s="54">
        <f>countif(Scores!B234:AG234,D224)</f>
        <v>4</v>
      </c>
      <c r="H224" s="54">
        <f>Compilation!G231</f>
        <v>-1</v>
      </c>
      <c r="J224" s="50">
        <f t="shared" si="6"/>
        <v>173</v>
      </c>
      <c r="K224" s="21">
        <v>383.0</v>
      </c>
      <c r="L224" s="14" t="s">
        <v>95</v>
      </c>
      <c r="M224" s="8">
        <v>1.0</v>
      </c>
      <c r="N224" s="8">
        <v>120.0</v>
      </c>
      <c r="O224" s="8">
        <v>121.0</v>
      </c>
      <c r="U224" s="50" t="str">
        <f t="shared" si="7"/>
        <v/>
      </c>
      <c r="V224" s="14"/>
      <c r="W224" s="8"/>
    </row>
    <row r="225">
      <c r="A225" s="62">
        <f>Scores!A235</f>
        <v>224</v>
      </c>
      <c r="B225" s="54" t="str">
        <f>Compilation!D232</f>
        <v>💎jailctf merger</v>
      </c>
      <c r="C225" s="54">
        <f t="shared" si="1"/>
        <v>17</v>
      </c>
      <c r="D225" s="54">
        <f>Compilation!F232</f>
        <v>114</v>
      </c>
      <c r="E225" s="54">
        <f t="shared" si="2"/>
        <v>131</v>
      </c>
      <c r="F225" s="54">
        <f>Compilation!E232</f>
        <v>114</v>
      </c>
      <c r="G225" s="54">
        <f>countif(Scores!B235:AG235,D225)</f>
        <v>2</v>
      </c>
      <c r="H225" s="54">
        <f>Compilation!G232</f>
        <v>131</v>
      </c>
      <c r="J225" s="50">
        <f t="shared" si="6"/>
        <v>173</v>
      </c>
      <c r="K225" s="21">
        <v>364.0</v>
      </c>
      <c r="L225" s="14" t="s">
        <v>94</v>
      </c>
      <c r="M225" s="8">
        <v>1.0</v>
      </c>
      <c r="N225" s="8">
        <v>133.0</v>
      </c>
      <c r="O225" s="8">
        <v>134.0</v>
      </c>
      <c r="U225" s="50" t="str">
        <f t="shared" si="7"/>
        <v/>
      </c>
      <c r="V225" s="14"/>
      <c r="W225" s="8"/>
    </row>
    <row r="226">
      <c r="A226" s="62">
        <f>Scores!A236</f>
        <v>225</v>
      </c>
      <c r="B226" s="54" t="str">
        <f>Compilation!D233</f>
        <v>🥇 x3</v>
      </c>
      <c r="C226" s="54">
        <f t="shared" si="1"/>
        <v>-0.000000003</v>
      </c>
      <c r="D226" s="54">
        <f>Compilation!F233</f>
        <v>123</v>
      </c>
      <c r="E226" s="54" t="str">
        <f t="shared" si="2"/>
        <v/>
      </c>
      <c r="F226" s="54">
        <f>Compilation!E233</f>
        <v>-1</v>
      </c>
      <c r="G226" s="54">
        <f>countif(Scores!B236:AG236,D226)</f>
        <v>3</v>
      </c>
      <c r="H226" s="54">
        <f>Compilation!G233</f>
        <v>-1</v>
      </c>
      <c r="J226" s="50">
        <f t="shared" si="6"/>
        <v>173</v>
      </c>
      <c r="K226" s="21">
        <v>206.0</v>
      </c>
      <c r="L226" s="14" t="s">
        <v>100</v>
      </c>
      <c r="M226" s="8">
        <v>1.0</v>
      </c>
      <c r="N226" s="8">
        <v>139.0</v>
      </c>
      <c r="O226" s="8">
        <v>140.0</v>
      </c>
      <c r="U226" s="50" t="str">
        <f t="shared" si="7"/>
        <v/>
      </c>
      <c r="V226" s="14"/>
      <c r="W226" s="8"/>
    </row>
    <row r="227">
      <c r="A227" s="62">
        <f>Scores!A237</f>
        <v>226</v>
      </c>
      <c r="B227" s="54" t="str">
        <f>Compilation!D234</f>
        <v>💎jailctf merger</v>
      </c>
      <c r="C227" s="54">
        <f t="shared" si="1"/>
        <v>2</v>
      </c>
      <c r="D227" s="54">
        <f>Compilation!F234</f>
        <v>117</v>
      </c>
      <c r="E227" s="54">
        <f t="shared" si="2"/>
        <v>119</v>
      </c>
      <c r="F227" s="54">
        <f>Compilation!E234</f>
        <v>117</v>
      </c>
      <c r="G227" s="54">
        <f>countif(Scores!B237:AG237,D227)</f>
        <v>2</v>
      </c>
      <c r="H227" s="54">
        <f>Compilation!G234</f>
        <v>119</v>
      </c>
      <c r="J227" s="50">
        <f t="shared" si="6"/>
        <v>173</v>
      </c>
      <c r="K227" s="21">
        <v>361.0</v>
      </c>
      <c r="L227" s="14" t="s">
        <v>93</v>
      </c>
      <c r="M227" s="8">
        <v>1.0</v>
      </c>
      <c r="N227" s="8">
        <v>185.0</v>
      </c>
      <c r="O227" s="8">
        <v>186.0</v>
      </c>
      <c r="U227" s="50" t="str">
        <f t="shared" si="7"/>
        <v/>
      </c>
      <c r="V227" s="14"/>
      <c r="W227" s="8"/>
    </row>
    <row r="228">
      <c r="A228" s="62">
        <f>Scores!A238</f>
        <v>227</v>
      </c>
      <c r="B228" s="54" t="str">
        <f>Compilation!D235</f>
        <v>🥇 x4</v>
      </c>
      <c r="C228" s="54">
        <f t="shared" si="1"/>
        <v>-0.000000005</v>
      </c>
      <c r="D228" s="54">
        <f>Compilation!F235</f>
        <v>52</v>
      </c>
      <c r="E228" s="54" t="str">
        <f t="shared" si="2"/>
        <v/>
      </c>
      <c r="F228" s="54">
        <f>Compilation!E235</f>
        <v>-1</v>
      </c>
      <c r="G228" s="54">
        <f>countif(Scores!B238:AG238,D228)</f>
        <v>5</v>
      </c>
      <c r="H228" s="54">
        <f>Compilation!G235</f>
        <v>-1</v>
      </c>
      <c r="J228" s="50">
        <f t="shared" si="6"/>
        <v>173</v>
      </c>
      <c r="K228" s="21">
        <v>201.0</v>
      </c>
      <c r="L228" s="14" t="s">
        <v>94</v>
      </c>
      <c r="M228" s="8">
        <v>1.0</v>
      </c>
      <c r="N228" s="8">
        <v>187.0</v>
      </c>
      <c r="O228" s="8">
        <v>188.0</v>
      </c>
      <c r="U228" s="50" t="str">
        <f t="shared" si="7"/>
        <v/>
      </c>
      <c r="V228" s="14"/>
      <c r="W228" s="8"/>
    </row>
    <row r="229">
      <c r="A229" s="62">
        <f>Scores!A239</f>
        <v>228</v>
      </c>
      <c r="B229" s="54" t="str">
        <f>Compilation!D236</f>
        <v>🥇 x3</v>
      </c>
      <c r="C229" s="54">
        <f t="shared" si="1"/>
        <v>-0.000000003</v>
      </c>
      <c r="D229" s="54">
        <f>Compilation!F236</f>
        <v>116</v>
      </c>
      <c r="E229" s="54" t="str">
        <f t="shared" si="2"/>
        <v/>
      </c>
      <c r="F229" s="54">
        <f>Compilation!E236</f>
        <v>-1</v>
      </c>
      <c r="G229" s="54">
        <f>countif(Scores!B239:AG239,D229)</f>
        <v>3</v>
      </c>
      <c r="H229" s="54">
        <f>Compilation!G236</f>
        <v>-1</v>
      </c>
      <c r="J229" s="50">
        <f t="shared" si="6"/>
        <v>173</v>
      </c>
      <c r="K229" s="21">
        <v>80.0</v>
      </c>
      <c r="L229" s="14" t="s">
        <v>93</v>
      </c>
      <c r="M229" s="8">
        <v>1.0</v>
      </c>
      <c r="N229" s="8">
        <v>231.0</v>
      </c>
      <c r="O229" s="8">
        <v>232.0</v>
      </c>
      <c r="U229" s="50" t="str">
        <f t="shared" si="7"/>
        <v/>
      </c>
      <c r="V229" s="14"/>
      <c r="W229" s="8"/>
    </row>
    <row r="230">
      <c r="A230" s="62">
        <f>Scores!A240</f>
        <v>229</v>
      </c>
      <c r="B230" s="54" t="str">
        <f>Compilation!D237</f>
        <v>🥇 x11</v>
      </c>
      <c r="C230" s="54">
        <f t="shared" si="1"/>
        <v>-0.000000012</v>
      </c>
      <c r="D230" s="54">
        <f>Compilation!F237</f>
        <v>73</v>
      </c>
      <c r="E230" s="54" t="str">
        <f t="shared" si="2"/>
        <v/>
      </c>
      <c r="F230" s="54">
        <f>Compilation!E237</f>
        <v>-1</v>
      </c>
      <c r="G230" s="54">
        <f>countif(Scores!B240:AG240,D230)</f>
        <v>12</v>
      </c>
      <c r="H230" s="54">
        <f>Compilation!G237</f>
        <v>-1</v>
      </c>
      <c r="J230" s="50">
        <f t="shared" si="6"/>
        <v>173</v>
      </c>
      <c r="K230" s="21">
        <v>89.0</v>
      </c>
      <c r="L230" s="14" t="s">
        <v>93</v>
      </c>
      <c r="M230" s="8">
        <v>1.0</v>
      </c>
      <c r="N230" s="8">
        <v>232.0</v>
      </c>
      <c r="O230" s="8">
        <v>233.0</v>
      </c>
      <c r="U230" s="50" t="str">
        <f t="shared" si="7"/>
        <v/>
      </c>
      <c r="V230" s="14"/>
      <c r="W230" s="8"/>
    </row>
    <row r="231">
      <c r="A231" s="62">
        <f>Scores!A241</f>
        <v>230</v>
      </c>
      <c r="B231" s="54" t="str">
        <f>Compilation!D238</f>
        <v>💎jailctf merger</v>
      </c>
      <c r="C231" s="54">
        <f t="shared" si="1"/>
        <v>7</v>
      </c>
      <c r="D231" s="54">
        <f>Compilation!F238</f>
        <v>95</v>
      </c>
      <c r="E231" s="54">
        <f t="shared" si="2"/>
        <v>102</v>
      </c>
      <c r="F231" s="54">
        <f>Compilation!E238</f>
        <v>95</v>
      </c>
      <c r="G231" s="54">
        <f>countif(Scores!B241:AG241,D231)</f>
        <v>2</v>
      </c>
      <c r="H231" s="54">
        <f>Compilation!G238</f>
        <v>102</v>
      </c>
      <c r="J231" s="50">
        <f t="shared" si="6"/>
        <v>173</v>
      </c>
      <c r="K231" s="21">
        <v>157.0</v>
      </c>
      <c r="L231" s="14" t="s">
        <v>103</v>
      </c>
      <c r="M231" s="8">
        <v>1.0</v>
      </c>
      <c r="N231" s="8">
        <v>237.0</v>
      </c>
      <c r="O231" s="8">
        <v>238.0</v>
      </c>
      <c r="U231" s="50" t="str">
        <f t="shared" si="7"/>
        <v/>
      </c>
      <c r="V231" s="14"/>
      <c r="W231" s="8"/>
    </row>
    <row r="232">
      <c r="A232" s="62">
        <f>Scores!A242</f>
        <v>231</v>
      </c>
      <c r="B232" s="54" t="str">
        <f>Compilation!D239</f>
        <v>💎LogicLynx</v>
      </c>
      <c r="C232" s="54">
        <f t="shared" si="1"/>
        <v>1</v>
      </c>
      <c r="D232" s="54">
        <f>Compilation!F239</f>
        <v>42</v>
      </c>
      <c r="E232" s="54">
        <f t="shared" si="2"/>
        <v>43</v>
      </c>
      <c r="F232" s="54">
        <f>Compilation!E239</f>
        <v>42</v>
      </c>
      <c r="G232" s="54">
        <f>countif(Scores!B242:AG242,D232)</f>
        <v>2</v>
      </c>
      <c r="H232" s="54">
        <f>Compilation!G239</f>
        <v>43</v>
      </c>
      <c r="J232" s="50">
        <f t="shared" si="6"/>
        <v>173</v>
      </c>
      <c r="K232" s="21">
        <v>158.0</v>
      </c>
      <c r="L232" s="14" t="s">
        <v>93</v>
      </c>
      <c r="M232" s="8">
        <v>1.0</v>
      </c>
      <c r="N232" s="8">
        <v>260.0</v>
      </c>
      <c r="O232" s="8">
        <v>261.0</v>
      </c>
      <c r="U232" s="50" t="str">
        <f t="shared" si="7"/>
        <v/>
      </c>
      <c r="V232" s="14"/>
      <c r="W232" s="8"/>
    </row>
    <row r="233">
      <c r="A233" s="62">
        <f>Scores!A243</f>
        <v>232</v>
      </c>
      <c r="B233" s="54" t="str">
        <f>Compilation!D240</f>
        <v>💎ox jam</v>
      </c>
      <c r="C233" s="54">
        <f t="shared" si="1"/>
        <v>1</v>
      </c>
      <c r="D233" s="54">
        <f>Compilation!F240</f>
        <v>57</v>
      </c>
      <c r="E233" s="54">
        <f t="shared" si="2"/>
        <v>58</v>
      </c>
      <c r="F233" s="54">
        <f>Compilation!E240</f>
        <v>57</v>
      </c>
      <c r="G233" s="54">
        <f>countif(Scores!B243:AG243,D233)</f>
        <v>2</v>
      </c>
      <c r="H233" s="54">
        <f>Compilation!G240</f>
        <v>58</v>
      </c>
      <c r="J233" s="50">
        <f t="shared" si="6"/>
        <v>232</v>
      </c>
      <c r="K233" s="21">
        <v>207.0</v>
      </c>
      <c r="L233" s="14" t="s">
        <v>104</v>
      </c>
      <c r="M233" s="8">
        <v>-2.0E-9</v>
      </c>
      <c r="N233" s="8">
        <v>74.0</v>
      </c>
      <c r="O233" s="8" t="s">
        <v>105</v>
      </c>
      <c r="U233" s="50" t="str">
        <f t="shared" si="7"/>
        <v/>
      </c>
      <c r="V233" s="14"/>
      <c r="W233" s="8"/>
    </row>
    <row r="234">
      <c r="A234" s="62">
        <f>Scores!A244</f>
        <v>233</v>
      </c>
      <c r="B234" s="54" t="str">
        <f>Compilation!D241</f>
        <v>💎jailctf merger</v>
      </c>
      <c r="C234" s="54">
        <f t="shared" si="1"/>
        <v>10</v>
      </c>
      <c r="D234" s="54">
        <f>Compilation!F241</f>
        <v>261</v>
      </c>
      <c r="E234" s="54">
        <f t="shared" si="2"/>
        <v>271</v>
      </c>
      <c r="F234" s="54">
        <f>Compilation!E241</f>
        <v>261</v>
      </c>
      <c r="G234" s="54">
        <f>countif(Scores!B244:AG244,D234)</f>
        <v>1</v>
      </c>
      <c r="H234" s="54">
        <f>Compilation!G241</f>
        <v>271</v>
      </c>
      <c r="J234" s="50">
        <f t="shared" si="6"/>
        <v>232</v>
      </c>
      <c r="K234" s="21">
        <v>8.0</v>
      </c>
      <c r="L234" s="14" t="s">
        <v>104</v>
      </c>
      <c r="M234" s="8">
        <v>-2.0E-9</v>
      </c>
      <c r="N234" s="8">
        <v>84.0</v>
      </c>
      <c r="O234" s="8" t="s">
        <v>105</v>
      </c>
      <c r="U234" s="50" t="str">
        <f t="shared" si="7"/>
        <v/>
      </c>
      <c r="V234" s="14"/>
      <c r="W234" s="8"/>
    </row>
    <row r="235">
      <c r="A235" s="62">
        <f>Scores!A245</f>
        <v>234</v>
      </c>
      <c r="B235" s="54" t="str">
        <f>Compilation!D242</f>
        <v>💎jailctf merger</v>
      </c>
      <c r="C235" s="54">
        <f t="shared" si="1"/>
        <v>1</v>
      </c>
      <c r="D235" s="54">
        <f>Compilation!F242</f>
        <v>106</v>
      </c>
      <c r="E235" s="54">
        <f t="shared" si="2"/>
        <v>107</v>
      </c>
      <c r="F235" s="54">
        <f>Compilation!E242</f>
        <v>106</v>
      </c>
      <c r="G235" s="54">
        <f>countif(Scores!B245:AG245,D235)</f>
        <v>2</v>
      </c>
      <c r="H235" s="54">
        <f>Compilation!G242</f>
        <v>107</v>
      </c>
      <c r="J235" s="50">
        <f t="shared" si="6"/>
        <v>232</v>
      </c>
      <c r="K235" s="21">
        <v>121.0</v>
      </c>
      <c r="L235" s="14" t="s">
        <v>104</v>
      </c>
      <c r="M235" s="8">
        <v>-2.0E-9</v>
      </c>
      <c r="N235" s="8">
        <v>85.0</v>
      </c>
      <c r="O235" s="8" t="s">
        <v>105</v>
      </c>
      <c r="U235" s="50" t="str">
        <f t="shared" si="7"/>
        <v/>
      </c>
      <c r="V235" s="14"/>
      <c r="W235" s="8"/>
    </row>
    <row r="236">
      <c r="A236" s="62">
        <f>Scores!A246</f>
        <v>235</v>
      </c>
      <c r="B236" s="54" t="str">
        <f>Compilation!D243</f>
        <v>🥇 x2</v>
      </c>
      <c r="C236" s="54">
        <f t="shared" si="1"/>
        <v>-0.000000003</v>
      </c>
      <c r="D236" s="54">
        <f>Compilation!F243</f>
        <v>61</v>
      </c>
      <c r="E236" s="54" t="str">
        <f t="shared" si="2"/>
        <v/>
      </c>
      <c r="F236" s="54">
        <f>Compilation!E243</f>
        <v>-1</v>
      </c>
      <c r="G236" s="54">
        <f>countif(Scores!B246:AG246,D236)</f>
        <v>3</v>
      </c>
      <c r="H236" s="54">
        <f>Compilation!G243</f>
        <v>-1</v>
      </c>
      <c r="J236" s="50">
        <f t="shared" si="6"/>
        <v>232</v>
      </c>
      <c r="K236" s="21">
        <v>354.0</v>
      </c>
      <c r="L236" s="14" t="s">
        <v>104</v>
      </c>
      <c r="M236" s="8">
        <v>-2.0E-9</v>
      </c>
      <c r="N236" s="8">
        <v>92.0</v>
      </c>
      <c r="O236" s="8" t="s">
        <v>105</v>
      </c>
      <c r="U236" s="50" t="str">
        <f t="shared" si="7"/>
        <v/>
      </c>
      <c r="V236" s="14"/>
      <c r="W236" s="8"/>
    </row>
    <row r="237">
      <c r="A237" s="62">
        <f>Scores!A247</f>
        <v>236</v>
      </c>
      <c r="B237" s="54" t="str">
        <f>Compilation!D244</f>
        <v>🥇 x4</v>
      </c>
      <c r="C237" s="54">
        <f t="shared" si="1"/>
        <v>-0.000000005</v>
      </c>
      <c r="D237" s="54">
        <f>Compilation!F244</f>
        <v>54</v>
      </c>
      <c r="E237" s="54" t="str">
        <f t="shared" si="2"/>
        <v/>
      </c>
      <c r="F237" s="54">
        <f>Compilation!E244</f>
        <v>-1</v>
      </c>
      <c r="G237" s="54">
        <f>countif(Scores!B247:AG247,D237)</f>
        <v>5</v>
      </c>
      <c r="H237" s="54">
        <f>Compilation!G244</f>
        <v>-1</v>
      </c>
      <c r="J237" s="50">
        <f t="shared" si="6"/>
        <v>232</v>
      </c>
      <c r="K237" s="21">
        <v>245.0</v>
      </c>
      <c r="L237" s="14" t="s">
        <v>104</v>
      </c>
      <c r="M237" s="8">
        <v>-2.0E-9</v>
      </c>
      <c r="N237" s="8">
        <v>98.0</v>
      </c>
      <c r="O237" s="8" t="s">
        <v>105</v>
      </c>
      <c r="U237" s="50" t="str">
        <f t="shared" si="7"/>
        <v/>
      </c>
      <c r="V237" s="14"/>
      <c r="W237" s="8"/>
    </row>
    <row r="238">
      <c r="A238" s="62">
        <f>Scores!A248</f>
        <v>237</v>
      </c>
      <c r="B238" s="54" t="str">
        <f>Compilation!D245</f>
        <v>🥇 x3</v>
      </c>
      <c r="C238" s="54">
        <f t="shared" si="1"/>
        <v>-0.000000004</v>
      </c>
      <c r="D238" s="54">
        <f>Compilation!F245</f>
        <v>66</v>
      </c>
      <c r="E238" s="54" t="str">
        <f t="shared" si="2"/>
        <v/>
      </c>
      <c r="F238" s="54">
        <f>Compilation!E245</f>
        <v>-1</v>
      </c>
      <c r="G238" s="54">
        <f>countif(Scores!B248:AG248,D238)</f>
        <v>4</v>
      </c>
      <c r="H238" s="54">
        <f>Compilation!G245</f>
        <v>-1</v>
      </c>
      <c r="J238" s="50">
        <f t="shared" si="6"/>
        <v>232</v>
      </c>
      <c r="K238" s="21">
        <v>270.0</v>
      </c>
      <c r="L238" s="14" t="s">
        <v>104</v>
      </c>
      <c r="M238" s="8">
        <v>-2.0E-9</v>
      </c>
      <c r="N238" s="8">
        <v>115.0</v>
      </c>
      <c r="O238" s="8" t="s">
        <v>105</v>
      </c>
      <c r="U238" s="50" t="str">
        <f t="shared" si="7"/>
        <v/>
      </c>
      <c r="V238" s="14"/>
      <c r="W238" s="8"/>
    </row>
    <row r="239">
      <c r="A239" s="62">
        <f>Scores!A249</f>
        <v>238</v>
      </c>
      <c r="B239" s="54" t="str">
        <f>Compilation!D246</f>
        <v>💎jailctf merger</v>
      </c>
      <c r="C239" s="54">
        <f t="shared" si="1"/>
        <v>6</v>
      </c>
      <c r="D239" s="54">
        <f>Compilation!F246</f>
        <v>195</v>
      </c>
      <c r="E239" s="54">
        <f t="shared" si="2"/>
        <v>201</v>
      </c>
      <c r="F239" s="54">
        <f>Compilation!E246</f>
        <v>195</v>
      </c>
      <c r="G239" s="54">
        <f>countif(Scores!B249:AG249,D239)</f>
        <v>2</v>
      </c>
      <c r="H239" s="54">
        <f>Compilation!G246</f>
        <v>201</v>
      </c>
      <c r="J239" s="50">
        <f t="shared" si="6"/>
        <v>232</v>
      </c>
      <c r="K239" s="21">
        <v>367.0</v>
      </c>
      <c r="L239" s="14" t="s">
        <v>104</v>
      </c>
      <c r="M239" s="8">
        <v>-2.0E-9</v>
      </c>
      <c r="N239" s="8">
        <v>126.0</v>
      </c>
      <c r="O239" s="8" t="s">
        <v>105</v>
      </c>
      <c r="U239" s="50" t="str">
        <f t="shared" si="7"/>
        <v/>
      </c>
      <c r="V239" s="14"/>
      <c r="W239" s="8"/>
    </row>
    <row r="240">
      <c r="A240" s="62">
        <f>Scores!A250</f>
        <v>239</v>
      </c>
      <c r="B240" s="54" t="str">
        <f>Compilation!D247</f>
        <v>🥇 x2</v>
      </c>
      <c r="C240" s="54">
        <f t="shared" si="1"/>
        <v>-0.000000003</v>
      </c>
      <c r="D240" s="54">
        <f>Compilation!F247</f>
        <v>99</v>
      </c>
      <c r="E240" s="54" t="str">
        <f t="shared" si="2"/>
        <v/>
      </c>
      <c r="F240" s="54">
        <f>Compilation!E247</f>
        <v>-1</v>
      </c>
      <c r="G240" s="54">
        <f>countif(Scores!B250:AG250,D240)</f>
        <v>3</v>
      </c>
      <c r="H240" s="54">
        <f>Compilation!G247</f>
        <v>-1</v>
      </c>
      <c r="J240" s="50">
        <f t="shared" si="6"/>
        <v>232</v>
      </c>
      <c r="K240" s="21">
        <v>219.0</v>
      </c>
      <c r="L240" s="14" t="s">
        <v>104</v>
      </c>
      <c r="M240" s="8">
        <v>-2.0E-9</v>
      </c>
      <c r="N240" s="8">
        <v>241.0</v>
      </c>
      <c r="O240" s="8" t="s">
        <v>105</v>
      </c>
      <c r="U240" s="50" t="str">
        <f t="shared" si="7"/>
        <v/>
      </c>
      <c r="V240" s="14"/>
      <c r="W240" s="8"/>
    </row>
    <row r="241">
      <c r="A241" s="62">
        <f>Scores!A251</f>
        <v>240</v>
      </c>
      <c r="B241" s="54" t="str">
        <f>Compilation!D248</f>
        <v>💎LogicLynx</v>
      </c>
      <c r="C241" s="54">
        <f t="shared" si="1"/>
        <v>10</v>
      </c>
      <c r="D241" s="54">
        <f>Compilation!F248</f>
        <v>89</v>
      </c>
      <c r="E241" s="54">
        <f t="shared" si="2"/>
        <v>99</v>
      </c>
      <c r="F241" s="54">
        <f>Compilation!E248</f>
        <v>89</v>
      </c>
      <c r="G241" s="54">
        <f>countif(Scores!B251:AG251,D241)</f>
        <v>2</v>
      </c>
      <c r="H241" s="54">
        <f>Compilation!G248</f>
        <v>99</v>
      </c>
      <c r="J241" s="50">
        <f t="shared" si="6"/>
        <v>232</v>
      </c>
      <c r="K241" s="21">
        <v>96.0</v>
      </c>
      <c r="L241" s="14" t="s">
        <v>104</v>
      </c>
      <c r="M241" s="8">
        <v>-2.0E-9</v>
      </c>
      <c r="N241" s="8">
        <v>282.0</v>
      </c>
      <c r="O241" s="8" t="s">
        <v>105</v>
      </c>
      <c r="U241" s="50" t="str">
        <f t="shared" si="7"/>
        <v/>
      </c>
      <c r="V241" s="14"/>
      <c r="W241" s="8"/>
    </row>
    <row r="242">
      <c r="A242" s="62">
        <f>Scores!A252</f>
        <v>241</v>
      </c>
      <c r="B242" s="54" t="str">
        <f>Compilation!D249</f>
        <v>🥇 x36</v>
      </c>
      <c r="C242" s="54">
        <f t="shared" si="1"/>
        <v>-0.000000037</v>
      </c>
      <c r="D242" s="54">
        <f>Compilation!F249</f>
        <v>21</v>
      </c>
      <c r="E242" s="54" t="str">
        <f t="shared" si="2"/>
        <v/>
      </c>
      <c r="F242" s="54">
        <f>Compilation!E249</f>
        <v>-1</v>
      </c>
      <c r="G242" s="54">
        <f>countif(Scores!B252:AG252,D242)</f>
        <v>37</v>
      </c>
      <c r="H242" s="54">
        <f>Compilation!G249</f>
        <v>-1</v>
      </c>
      <c r="J242" s="50">
        <f t="shared" si="6"/>
        <v>232</v>
      </c>
      <c r="K242" s="21">
        <v>317.0</v>
      </c>
      <c r="L242" s="14" t="s">
        <v>104</v>
      </c>
      <c r="M242" s="8">
        <v>-3.0E-9</v>
      </c>
      <c r="N242" s="8">
        <v>43.0</v>
      </c>
      <c r="O242" s="8" t="s">
        <v>105</v>
      </c>
      <c r="U242" s="50" t="str">
        <f t="shared" si="7"/>
        <v/>
      </c>
      <c r="V242" s="14"/>
      <c r="W242" s="8"/>
    </row>
    <row r="243">
      <c r="A243" s="62">
        <f>Scores!A253</f>
        <v>242</v>
      </c>
      <c r="B243" s="54" t="str">
        <f>Compilation!D250</f>
        <v>🥇 x17</v>
      </c>
      <c r="C243" s="54">
        <f t="shared" si="1"/>
        <v>-0.000000018</v>
      </c>
      <c r="D243" s="54">
        <f>Compilation!F250</f>
        <v>54</v>
      </c>
      <c r="E243" s="54" t="str">
        <f t="shared" si="2"/>
        <v/>
      </c>
      <c r="F243" s="54">
        <f>Compilation!E250</f>
        <v>-1</v>
      </c>
      <c r="G243" s="54">
        <f>countif(Scores!B253:AG253,D243)</f>
        <v>18</v>
      </c>
      <c r="H243" s="54">
        <f>Compilation!G250</f>
        <v>-1</v>
      </c>
      <c r="J243" s="50">
        <f t="shared" si="6"/>
        <v>232</v>
      </c>
      <c r="K243" s="21">
        <v>322.0</v>
      </c>
      <c r="L243" s="14" t="s">
        <v>104</v>
      </c>
      <c r="M243" s="8">
        <v>-3.0E-9</v>
      </c>
      <c r="N243" s="8">
        <v>45.0</v>
      </c>
      <c r="O243" s="8" t="s">
        <v>105</v>
      </c>
      <c r="U243" s="50" t="str">
        <f t="shared" si="7"/>
        <v/>
      </c>
      <c r="V243" s="14"/>
      <c r="W243" s="8"/>
    </row>
    <row r="244">
      <c r="A244" s="62">
        <f>Scores!A254</f>
        <v>243</v>
      </c>
      <c r="B244" s="54" t="str">
        <f>Compilation!D251</f>
        <v>🥇 x4</v>
      </c>
      <c r="C244" s="54">
        <f t="shared" si="1"/>
        <v>-0.000000005</v>
      </c>
      <c r="D244" s="54">
        <f>Compilation!F251</f>
        <v>75</v>
      </c>
      <c r="E244" s="54" t="str">
        <f t="shared" si="2"/>
        <v/>
      </c>
      <c r="F244" s="54">
        <f>Compilation!E251</f>
        <v>-1</v>
      </c>
      <c r="G244" s="54">
        <f>countif(Scores!B254:AG254,D244)</f>
        <v>5</v>
      </c>
      <c r="H244" s="54">
        <f>Compilation!G251</f>
        <v>-1</v>
      </c>
      <c r="J244" s="50">
        <f t="shared" si="6"/>
        <v>232</v>
      </c>
      <c r="K244" s="21">
        <v>108.0</v>
      </c>
      <c r="L244" s="14" t="s">
        <v>106</v>
      </c>
      <c r="M244" s="8">
        <v>-3.0E-9</v>
      </c>
      <c r="N244" s="8">
        <v>46.0</v>
      </c>
      <c r="O244" s="8" t="s">
        <v>105</v>
      </c>
      <c r="U244" s="50" t="str">
        <f t="shared" si="7"/>
        <v/>
      </c>
      <c r="V244" s="14"/>
      <c r="W244" s="8"/>
    </row>
    <row r="245">
      <c r="A245" s="62">
        <f>Scores!A255</f>
        <v>244</v>
      </c>
      <c r="B245" s="54" t="str">
        <f>Compilation!D252</f>
        <v>💎Code Golf International</v>
      </c>
      <c r="C245" s="54">
        <f t="shared" si="1"/>
        <v>2</v>
      </c>
      <c r="D245" s="54">
        <f>Compilation!F252</f>
        <v>61</v>
      </c>
      <c r="E245" s="54">
        <f t="shared" si="2"/>
        <v>63</v>
      </c>
      <c r="F245" s="54">
        <f>Compilation!E252</f>
        <v>61</v>
      </c>
      <c r="G245" s="54">
        <f>countif(Scores!B255:AG255,D245)</f>
        <v>2</v>
      </c>
      <c r="H245" s="54">
        <f>Compilation!G252</f>
        <v>63</v>
      </c>
      <c r="J245" s="50">
        <f t="shared" si="6"/>
        <v>232</v>
      </c>
      <c r="K245" s="21">
        <v>307.0</v>
      </c>
      <c r="L245" s="14" t="s">
        <v>104</v>
      </c>
      <c r="M245" s="8">
        <v>-3.0E-9</v>
      </c>
      <c r="N245" s="8">
        <v>46.0</v>
      </c>
      <c r="O245" s="8" t="s">
        <v>105</v>
      </c>
      <c r="U245" s="50" t="str">
        <f t="shared" si="7"/>
        <v/>
      </c>
      <c r="V245" s="14"/>
      <c r="W245" s="8"/>
    </row>
    <row r="246">
      <c r="A246" s="62">
        <f>Scores!A256</f>
        <v>245</v>
      </c>
      <c r="B246" s="54" t="str">
        <f>Compilation!D253</f>
        <v>🥇 x2</v>
      </c>
      <c r="C246" s="54">
        <f t="shared" si="1"/>
        <v>-0.000000002</v>
      </c>
      <c r="D246" s="54">
        <f>Compilation!F253</f>
        <v>98</v>
      </c>
      <c r="E246" s="54" t="str">
        <f t="shared" si="2"/>
        <v/>
      </c>
      <c r="F246" s="54">
        <f>Compilation!E253</f>
        <v>-1</v>
      </c>
      <c r="G246" s="54">
        <f>countif(Scores!B256:AG256,D246)</f>
        <v>2</v>
      </c>
      <c r="H246" s="54">
        <f>Compilation!G253</f>
        <v>-1</v>
      </c>
      <c r="J246" s="50">
        <f t="shared" si="6"/>
        <v>232</v>
      </c>
      <c r="K246" s="21">
        <v>57.0</v>
      </c>
      <c r="L246" s="14" t="s">
        <v>104</v>
      </c>
      <c r="M246" s="8">
        <v>-3.0E-9</v>
      </c>
      <c r="N246" s="8">
        <v>48.0</v>
      </c>
      <c r="O246" s="8" t="s">
        <v>105</v>
      </c>
      <c r="U246" s="50" t="str">
        <f t="shared" si="7"/>
        <v/>
      </c>
      <c r="V246" s="14"/>
      <c r="W246" s="8"/>
    </row>
    <row r="247">
      <c r="A247" s="62">
        <f>Scores!A257</f>
        <v>246</v>
      </c>
      <c r="B247" s="54" t="str">
        <f>Compilation!D254</f>
        <v>💎Code Golf International</v>
      </c>
      <c r="C247" s="54">
        <f t="shared" si="1"/>
        <v>1</v>
      </c>
      <c r="D247" s="54">
        <f>Compilation!F254</f>
        <v>104</v>
      </c>
      <c r="E247" s="54">
        <f t="shared" si="2"/>
        <v>105</v>
      </c>
      <c r="F247" s="54">
        <f>Compilation!E254</f>
        <v>104</v>
      </c>
      <c r="G247" s="54">
        <f>countif(Scores!B257:AG257,D247)</f>
        <v>2</v>
      </c>
      <c r="H247" s="54">
        <f>Compilation!G254</f>
        <v>105</v>
      </c>
      <c r="J247" s="50">
        <f t="shared" si="6"/>
        <v>232</v>
      </c>
      <c r="K247" s="21">
        <v>21.0</v>
      </c>
      <c r="L247" s="14" t="s">
        <v>104</v>
      </c>
      <c r="M247" s="8">
        <v>-3.0E-9</v>
      </c>
      <c r="N247" s="8">
        <v>51.0</v>
      </c>
      <c r="O247" s="8" t="s">
        <v>105</v>
      </c>
      <c r="U247" s="50" t="str">
        <f t="shared" si="7"/>
        <v/>
      </c>
      <c r="V247" s="14"/>
      <c r="W247" s="8"/>
    </row>
    <row r="248">
      <c r="A248" s="62">
        <f>Scores!A258</f>
        <v>247</v>
      </c>
      <c r="B248" s="54" t="str">
        <f>Compilation!D255</f>
        <v>💎ox jam</v>
      </c>
      <c r="C248" s="54">
        <f t="shared" si="1"/>
        <v>3</v>
      </c>
      <c r="D248" s="54">
        <f>Compilation!F255</f>
        <v>92</v>
      </c>
      <c r="E248" s="54">
        <f t="shared" si="2"/>
        <v>95</v>
      </c>
      <c r="F248" s="54">
        <f>Compilation!E255</f>
        <v>92</v>
      </c>
      <c r="G248" s="54">
        <f>countif(Scores!B258:AG258,D248)</f>
        <v>2</v>
      </c>
      <c r="H248" s="54">
        <f>Compilation!G255</f>
        <v>95</v>
      </c>
      <c r="J248" s="50">
        <f t="shared" si="6"/>
        <v>232</v>
      </c>
      <c r="K248" s="21">
        <v>115.0</v>
      </c>
      <c r="L248" s="14" t="s">
        <v>104</v>
      </c>
      <c r="M248" s="8">
        <v>-3.0E-9</v>
      </c>
      <c r="N248" s="8">
        <v>51.0</v>
      </c>
      <c r="O248" s="8" t="s">
        <v>105</v>
      </c>
      <c r="U248" s="50" t="str">
        <f t="shared" si="7"/>
        <v/>
      </c>
      <c r="V248" s="14"/>
      <c r="W248" s="8"/>
    </row>
    <row r="249">
      <c r="A249" s="62">
        <f>Scores!A259</f>
        <v>248</v>
      </c>
      <c r="B249" s="54" t="str">
        <f>Compilation!D256</f>
        <v>💎FuunAgent</v>
      </c>
      <c r="C249" s="54">
        <f t="shared" si="1"/>
        <v>1</v>
      </c>
      <c r="D249" s="54">
        <f>Compilation!F256</f>
        <v>67</v>
      </c>
      <c r="E249" s="54">
        <f t="shared" si="2"/>
        <v>68</v>
      </c>
      <c r="F249" s="54">
        <f>Compilation!E256</f>
        <v>67</v>
      </c>
      <c r="G249" s="54">
        <f>countif(Scores!B259:AG259,D249)</f>
        <v>2</v>
      </c>
      <c r="H249" s="54">
        <f>Compilation!G256</f>
        <v>68</v>
      </c>
      <c r="J249" s="50">
        <f t="shared" si="6"/>
        <v>232</v>
      </c>
      <c r="K249" s="21">
        <v>197.0</v>
      </c>
      <c r="L249" s="14" t="s">
        <v>104</v>
      </c>
      <c r="M249" s="8">
        <v>-3.0E-9</v>
      </c>
      <c r="N249" s="8">
        <v>51.0</v>
      </c>
      <c r="O249" s="8" t="s">
        <v>105</v>
      </c>
      <c r="U249" s="50" t="str">
        <f t="shared" si="7"/>
        <v/>
      </c>
      <c r="V249" s="14"/>
      <c r="W249" s="8"/>
    </row>
    <row r="250">
      <c r="A250" s="62">
        <f>Scores!A260</f>
        <v>249</v>
      </c>
      <c r="B250" s="54" t="str">
        <f>Compilation!D257</f>
        <v>🥇 x43</v>
      </c>
      <c r="C250" s="54">
        <f t="shared" si="1"/>
        <v>-0.000000044</v>
      </c>
      <c r="D250" s="54">
        <f>Compilation!F257</f>
        <v>26</v>
      </c>
      <c r="E250" s="54" t="str">
        <f t="shared" si="2"/>
        <v/>
      </c>
      <c r="F250" s="54">
        <f>Compilation!E257</f>
        <v>-1</v>
      </c>
      <c r="G250" s="54">
        <f>countif(Scores!B260:AG260,D250)</f>
        <v>44</v>
      </c>
      <c r="H250" s="54">
        <f>Compilation!G257</f>
        <v>-1</v>
      </c>
      <c r="J250" s="50">
        <f t="shared" si="6"/>
        <v>232</v>
      </c>
      <c r="K250" s="21">
        <v>188.0</v>
      </c>
      <c r="L250" s="14" t="s">
        <v>104</v>
      </c>
      <c r="M250" s="8">
        <v>-3.0E-9</v>
      </c>
      <c r="N250" s="8">
        <v>53.0</v>
      </c>
      <c r="O250" s="8" t="s">
        <v>105</v>
      </c>
      <c r="U250" s="50" t="str">
        <f t="shared" si="7"/>
        <v/>
      </c>
      <c r="V250" s="14"/>
      <c r="W250" s="8"/>
    </row>
    <row r="251">
      <c r="A251" s="62">
        <f>Scores!A261</f>
        <v>250</v>
      </c>
      <c r="B251" s="54" t="str">
        <f>Compilation!D258</f>
        <v>💎ox jam</v>
      </c>
      <c r="C251" s="54">
        <f t="shared" si="1"/>
        <v>2</v>
      </c>
      <c r="D251" s="54">
        <f>Compilation!F258</f>
        <v>95</v>
      </c>
      <c r="E251" s="54">
        <f t="shared" si="2"/>
        <v>97</v>
      </c>
      <c r="F251" s="54">
        <f>Compilation!E258</f>
        <v>95</v>
      </c>
      <c r="G251" s="54">
        <f>countif(Scores!B261:AG261,D251)</f>
        <v>2</v>
      </c>
      <c r="H251" s="54">
        <f>Compilation!G258</f>
        <v>97</v>
      </c>
      <c r="J251" s="50">
        <f t="shared" si="6"/>
        <v>232</v>
      </c>
      <c r="K251" s="21">
        <v>166.0</v>
      </c>
      <c r="L251" s="14" t="s">
        <v>104</v>
      </c>
      <c r="M251" s="8">
        <v>-3.0E-9</v>
      </c>
      <c r="N251" s="8">
        <v>61.0</v>
      </c>
      <c r="O251" s="8" t="s">
        <v>105</v>
      </c>
      <c r="U251" s="50" t="str">
        <f t="shared" si="7"/>
        <v/>
      </c>
      <c r="V251" s="14"/>
      <c r="W251" s="8"/>
    </row>
    <row r="252">
      <c r="A252" s="62">
        <f>Scores!A262</f>
        <v>251</v>
      </c>
      <c r="B252" s="54" t="str">
        <f>Compilation!D259</f>
        <v>💎jailctf merger</v>
      </c>
      <c r="C252" s="54">
        <f t="shared" si="1"/>
        <v>4</v>
      </c>
      <c r="D252" s="54">
        <f>Compilation!F259</f>
        <v>84</v>
      </c>
      <c r="E252" s="54">
        <f t="shared" si="2"/>
        <v>88</v>
      </c>
      <c r="F252" s="54">
        <f>Compilation!E259</f>
        <v>84</v>
      </c>
      <c r="G252" s="54">
        <f>countif(Scores!B262:AG262,D252)</f>
        <v>2</v>
      </c>
      <c r="H252" s="54">
        <f>Compilation!G259</f>
        <v>88</v>
      </c>
      <c r="J252" s="50">
        <f t="shared" si="6"/>
        <v>232</v>
      </c>
      <c r="K252" s="21">
        <v>235.0</v>
      </c>
      <c r="L252" s="14" t="s">
        <v>104</v>
      </c>
      <c r="M252" s="8">
        <v>-3.0E-9</v>
      </c>
      <c r="N252" s="8">
        <v>61.0</v>
      </c>
      <c r="O252" s="8" t="s">
        <v>105</v>
      </c>
      <c r="U252" s="50" t="str">
        <f t="shared" si="7"/>
        <v/>
      </c>
      <c r="V252" s="14"/>
      <c r="W252" s="8"/>
    </row>
    <row r="253">
      <c r="A253" s="62">
        <f>Scores!A263</f>
        <v>252</v>
      </c>
      <c r="B253" s="54" t="str">
        <f>Compilation!D260</f>
        <v>💎ox jam</v>
      </c>
      <c r="C253" s="54">
        <f t="shared" si="1"/>
        <v>2</v>
      </c>
      <c r="D253" s="54">
        <f>Compilation!F260</f>
        <v>53</v>
      </c>
      <c r="E253" s="54">
        <f t="shared" si="2"/>
        <v>55</v>
      </c>
      <c r="F253" s="54">
        <f>Compilation!E260</f>
        <v>53</v>
      </c>
      <c r="G253" s="54">
        <f>countif(Scores!B263:AG263,D253)</f>
        <v>2</v>
      </c>
      <c r="H253" s="54">
        <f>Compilation!G260</f>
        <v>55</v>
      </c>
      <c r="J253" s="50">
        <f t="shared" si="6"/>
        <v>232</v>
      </c>
      <c r="K253" s="21">
        <v>7.0</v>
      </c>
      <c r="L253" s="14" t="s">
        <v>104</v>
      </c>
      <c r="M253" s="8">
        <v>-3.0E-9</v>
      </c>
      <c r="N253" s="8">
        <v>62.0</v>
      </c>
      <c r="O253" s="8" t="s">
        <v>105</v>
      </c>
      <c r="U253" s="50" t="str">
        <f t="shared" si="7"/>
        <v/>
      </c>
      <c r="V253" s="14"/>
      <c r="W253" s="8"/>
    </row>
    <row r="254">
      <c r="A254" s="62">
        <f>Scores!A264</f>
        <v>253</v>
      </c>
      <c r="B254" s="54" t="str">
        <f>Compilation!D261</f>
        <v>💎ox jam</v>
      </c>
      <c r="C254" s="54">
        <f t="shared" si="1"/>
        <v>6</v>
      </c>
      <c r="D254" s="54">
        <f>Compilation!F261</f>
        <v>114</v>
      </c>
      <c r="E254" s="54">
        <f t="shared" si="2"/>
        <v>120</v>
      </c>
      <c r="F254" s="54">
        <f>Compilation!E261</f>
        <v>114</v>
      </c>
      <c r="G254" s="54">
        <f>countif(Scores!B264:AG264,D254)</f>
        <v>2</v>
      </c>
      <c r="H254" s="54">
        <f>Compilation!G261</f>
        <v>120</v>
      </c>
      <c r="J254" s="50">
        <f t="shared" si="6"/>
        <v>232</v>
      </c>
      <c r="K254" s="21">
        <v>362.0</v>
      </c>
      <c r="L254" s="14" t="s">
        <v>104</v>
      </c>
      <c r="M254" s="8">
        <v>-3.0E-9</v>
      </c>
      <c r="N254" s="8">
        <v>67.0</v>
      </c>
      <c r="O254" s="8" t="s">
        <v>105</v>
      </c>
      <c r="U254" s="50" t="str">
        <f t="shared" si="7"/>
        <v/>
      </c>
      <c r="V254" s="14"/>
      <c r="W254" s="8"/>
    </row>
    <row r="255">
      <c r="A255" s="62">
        <f>Scores!A265</f>
        <v>254</v>
      </c>
      <c r="B255" s="54" t="str">
        <f>Compilation!D262</f>
        <v>💎Code Golf International</v>
      </c>
      <c r="C255" s="54">
        <f t="shared" si="1"/>
        <v>3</v>
      </c>
      <c r="D255" s="54">
        <f>Compilation!F262</f>
        <v>81</v>
      </c>
      <c r="E255" s="54">
        <f t="shared" si="2"/>
        <v>84</v>
      </c>
      <c r="F255" s="54">
        <f>Compilation!E262</f>
        <v>81</v>
      </c>
      <c r="G255" s="54">
        <f>countif(Scores!B265:AG265,D255)</f>
        <v>2</v>
      </c>
      <c r="H255" s="54">
        <f>Compilation!G262</f>
        <v>84</v>
      </c>
      <c r="J255" s="50">
        <f t="shared" si="6"/>
        <v>232</v>
      </c>
      <c r="K255" s="21">
        <v>95.0</v>
      </c>
      <c r="L255" s="14" t="s">
        <v>104</v>
      </c>
      <c r="M255" s="8">
        <v>-3.0E-9</v>
      </c>
      <c r="N255" s="8">
        <v>70.0</v>
      </c>
      <c r="O255" s="8" t="s">
        <v>105</v>
      </c>
      <c r="U255" s="50" t="str">
        <f t="shared" si="7"/>
        <v/>
      </c>
      <c r="V255" s="14"/>
      <c r="W255" s="8"/>
    </row>
    <row r="256">
      <c r="A256" s="62">
        <f>Scores!A266</f>
        <v>255</v>
      </c>
      <c r="B256" s="54" t="str">
        <f>Compilation!D263</f>
        <v>💎ox jam</v>
      </c>
      <c r="C256" s="54">
        <f t="shared" si="1"/>
        <v>10</v>
      </c>
      <c r="D256" s="54">
        <f>Compilation!F263</f>
        <v>212</v>
      </c>
      <c r="E256" s="54">
        <f t="shared" si="2"/>
        <v>222</v>
      </c>
      <c r="F256" s="54">
        <f>Compilation!E263</f>
        <v>212</v>
      </c>
      <c r="G256" s="54">
        <f>countif(Scores!B266:AG266,D256)</f>
        <v>1</v>
      </c>
      <c r="H256" s="54">
        <f>Compilation!G263</f>
        <v>222</v>
      </c>
      <c r="J256" s="50">
        <f t="shared" si="6"/>
        <v>232</v>
      </c>
      <c r="K256" s="21">
        <v>398.0</v>
      </c>
      <c r="L256" s="14" t="s">
        <v>104</v>
      </c>
      <c r="M256" s="8">
        <v>-3.0E-9</v>
      </c>
      <c r="N256" s="8">
        <v>72.0</v>
      </c>
      <c r="O256" s="8" t="s">
        <v>105</v>
      </c>
      <c r="U256" s="50" t="str">
        <f t="shared" si="7"/>
        <v/>
      </c>
      <c r="V256" s="14"/>
      <c r="W256" s="8"/>
    </row>
    <row r="257">
      <c r="A257" s="62">
        <f>Scores!A267</f>
        <v>256</v>
      </c>
      <c r="B257" s="54" t="str">
        <f>Compilation!D264</f>
        <v>💎LogicLynx</v>
      </c>
      <c r="C257" s="54">
        <f t="shared" si="1"/>
        <v>2</v>
      </c>
      <c r="D257" s="54">
        <f>Compilation!F264</f>
        <v>93</v>
      </c>
      <c r="E257" s="54">
        <f t="shared" si="2"/>
        <v>95</v>
      </c>
      <c r="F257" s="54">
        <f>Compilation!E264</f>
        <v>93</v>
      </c>
      <c r="G257" s="54">
        <f>countif(Scores!B267:AG267,D257)</f>
        <v>2</v>
      </c>
      <c r="H257" s="54">
        <f>Compilation!G264</f>
        <v>95</v>
      </c>
      <c r="J257" s="50">
        <f t="shared" si="6"/>
        <v>232</v>
      </c>
      <c r="K257" s="21">
        <v>35.0</v>
      </c>
      <c r="L257" s="14" t="s">
        <v>104</v>
      </c>
      <c r="M257" s="8">
        <v>-3.0E-9</v>
      </c>
      <c r="N257" s="8">
        <v>82.0</v>
      </c>
      <c r="O257" s="8" t="s">
        <v>105</v>
      </c>
      <c r="U257" s="50" t="str">
        <f t="shared" si="7"/>
        <v/>
      </c>
      <c r="V257" s="14"/>
      <c r="W257" s="8"/>
    </row>
    <row r="258">
      <c r="A258" s="62">
        <f>Scores!A268</f>
        <v>257</v>
      </c>
      <c r="B258" s="54" t="str">
        <f>Compilation!D265</f>
        <v>💎ox jam</v>
      </c>
      <c r="C258" s="54">
        <f t="shared" si="1"/>
        <v>3</v>
      </c>
      <c r="D258" s="54">
        <f>Compilation!F265</f>
        <v>68</v>
      </c>
      <c r="E258" s="54">
        <f t="shared" si="2"/>
        <v>71</v>
      </c>
      <c r="F258" s="54">
        <f>Compilation!E265</f>
        <v>68</v>
      </c>
      <c r="G258" s="54">
        <f>countif(Scores!B268:AG268,D258)</f>
        <v>2</v>
      </c>
      <c r="H258" s="54">
        <f>Compilation!G265</f>
        <v>71</v>
      </c>
      <c r="J258" s="50">
        <f t="shared" si="6"/>
        <v>232</v>
      </c>
      <c r="K258" s="21">
        <v>331.0</v>
      </c>
      <c r="L258" s="14" t="s">
        <v>104</v>
      </c>
      <c r="M258" s="8">
        <v>-3.0E-9</v>
      </c>
      <c r="N258" s="8">
        <v>82.0</v>
      </c>
      <c r="O258" s="8" t="s">
        <v>105</v>
      </c>
      <c r="U258" s="50" t="str">
        <f t="shared" si="7"/>
        <v/>
      </c>
      <c r="V258" s="14"/>
      <c r="W258" s="8"/>
    </row>
    <row r="259">
      <c r="A259" s="62">
        <f>Scores!A269</f>
        <v>258</v>
      </c>
      <c r="B259" s="54" t="str">
        <f>Compilation!D266</f>
        <v>🥇 x17</v>
      </c>
      <c r="C259" s="54">
        <f t="shared" si="1"/>
        <v>-0.000000018</v>
      </c>
      <c r="D259" s="54">
        <f>Compilation!F266</f>
        <v>61</v>
      </c>
      <c r="E259" s="54" t="str">
        <f t="shared" si="2"/>
        <v/>
      </c>
      <c r="F259" s="54">
        <f>Compilation!E266</f>
        <v>-1</v>
      </c>
      <c r="G259" s="54">
        <f>countif(Scores!B269:AG269,D259)</f>
        <v>18</v>
      </c>
      <c r="H259" s="54">
        <f>Compilation!G266</f>
        <v>-1</v>
      </c>
      <c r="J259" s="50">
        <f t="shared" si="6"/>
        <v>232</v>
      </c>
      <c r="K259" s="21">
        <v>259.0</v>
      </c>
      <c r="L259" s="14" t="s">
        <v>104</v>
      </c>
      <c r="M259" s="8">
        <v>-3.0E-9</v>
      </c>
      <c r="N259" s="8">
        <v>83.0</v>
      </c>
      <c r="O259" s="8" t="s">
        <v>105</v>
      </c>
      <c r="U259" s="50" t="str">
        <f t="shared" si="7"/>
        <v/>
      </c>
      <c r="V259" s="14"/>
      <c r="W259" s="8"/>
    </row>
    <row r="260">
      <c r="A260" s="62">
        <f>Scores!A270</f>
        <v>259</v>
      </c>
      <c r="B260" s="54" t="str">
        <f>Compilation!D267</f>
        <v>🥇 x2</v>
      </c>
      <c r="C260" s="54">
        <f t="shared" si="1"/>
        <v>-0.000000003</v>
      </c>
      <c r="D260" s="54">
        <f>Compilation!F267</f>
        <v>83</v>
      </c>
      <c r="E260" s="54" t="str">
        <f t="shared" si="2"/>
        <v/>
      </c>
      <c r="F260" s="54">
        <f>Compilation!E267</f>
        <v>-1</v>
      </c>
      <c r="G260" s="54">
        <f>countif(Scores!B270:AG270,D260)</f>
        <v>3</v>
      </c>
      <c r="H260" s="54">
        <f>Compilation!G267</f>
        <v>-1</v>
      </c>
      <c r="J260" s="50">
        <f t="shared" si="6"/>
        <v>232</v>
      </c>
      <c r="K260" s="21">
        <v>353.0</v>
      </c>
      <c r="L260" s="14" t="s">
        <v>104</v>
      </c>
      <c r="M260" s="8">
        <v>-3.0E-9</v>
      </c>
      <c r="N260" s="8">
        <v>83.0</v>
      </c>
      <c r="O260" s="8" t="s">
        <v>105</v>
      </c>
      <c r="U260" s="50" t="str">
        <f t="shared" si="7"/>
        <v/>
      </c>
      <c r="V260" s="14"/>
      <c r="W260" s="8"/>
    </row>
    <row r="261">
      <c r="A261" s="62">
        <f>Scores!A271</f>
        <v>260</v>
      </c>
      <c r="B261" s="54" t="str">
        <f>Compilation!D268</f>
        <v>💎ox jam</v>
      </c>
      <c r="C261" s="54">
        <f t="shared" si="1"/>
        <v>2</v>
      </c>
      <c r="D261" s="54">
        <f>Compilation!F268</f>
        <v>130</v>
      </c>
      <c r="E261" s="54">
        <f t="shared" si="2"/>
        <v>132</v>
      </c>
      <c r="F261" s="54">
        <f>Compilation!E268</f>
        <v>130</v>
      </c>
      <c r="G261" s="54">
        <f>countif(Scores!B271:AG271,D261)</f>
        <v>2</v>
      </c>
      <c r="H261" s="54">
        <f>Compilation!G268</f>
        <v>132</v>
      </c>
      <c r="J261" s="50">
        <f t="shared" si="6"/>
        <v>232</v>
      </c>
      <c r="K261" s="21">
        <v>92.0</v>
      </c>
      <c r="L261" s="14" t="s">
        <v>104</v>
      </c>
      <c r="M261" s="8">
        <v>-3.0E-9</v>
      </c>
      <c r="N261" s="8">
        <v>86.0</v>
      </c>
      <c r="O261" s="8" t="s">
        <v>105</v>
      </c>
      <c r="U261" s="50" t="str">
        <f t="shared" si="7"/>
        <v/>
      </c>
      <c r="V261" s="14"/>
      <c r="W261" s="8"/>
    </row>
    <row r="262">
      <c r="A262" s="62">
        <f>Scores!A272</f>
        <v>261</v>
      </c>
      <c r="B262" s="54" t="str">
        <f>Compilation!D269</f>
        <v>🥇 x16</v>
      </c>
      <c r="C262" s="54">
        <f t="shared" si="1"/>
        <v>-0.000000017</v>
      </c>
      <c r="D262" s="54">
        <f>Compilation!F269</f>
        <v>47</v>
      </c>
      <c r="E262" s="54" t="str">
        <f t="shared" si="2"/>
        <v/>
      </c>
      <c r="F262" s="54">
        <f>Compilation!E269</f>
        <v>-1</v>
      </c>
      <c r="G262" s="54">
        <f>countif(Scores!B272:AG272,D262)</f>
        <v>17</v>
      </c>
      <c r="H262" s="54">
        <f>Compilation!G269</f>
        <v>-1</v>
      </c>
      <c r="J262" s="50">
        <f t="shared" si="6"/>
        <v>232</v>
      </c>
      <c r="K262" s="21">
        <v>221.0</v>
      </c>
      <c r="L262" s="14" t="s">
        <v>104</v>
      </c>
      <c r="M262" s="8">
        <v>-3.0E-9</v>
      </c>
      <c r="N262" s="8">
        <v>86.0</v>
      </c>
      <c r="O262" s="8" t="s">
        <v>105</v>
      </c>
      <c r="U262" s="50" t="str">
        <f t="shared" si="7"/>
        <v/>
      </c>
      <c r="V262" s="14"/>
      <c r="W262" s="8"/>
    </row>
    <row r="263">
      <c r="A263" s="62">
        <f>Scores!A273</f>
        <v>262</v>
      </c>
      <c r="B263" s="54" t="str">
        <f>Compilation!D270</f>
        <v>🥇 x11</v>
      </c>
      <c r="C263" s="54">
        <f t="shared" si="1"/>
        <v>-0.000000012</v>
      </c>
      <c r="D263" s="54">
        <f>Compilation!F270</f>
        <v>39</v>
      </c>
      <c r="E263" s="54" t="str">
        <f t="shared" si="2"/>
        <v/>
      </c>
      <c r="F263" s="54">
        <f>Compilation!E270</f>
        <v>-1</v>
      </c>
      <c r="G263" s="54">
        <f>countif(Scores!B273:AG273,D263)</f>
        <v>12</v>
      </c>
      <c r="H263" s="54">
        <f>Compilation!G270</f>
        <v>-1</v>
      </c>
      <c r="J263" s="50">
        <f t="shared" si="6"/>
        <v>232</v>
      </c>
      <c r="K263" s="21">
        <v>271.0</v>
      </c>
      <c r="L263" s="14" t="s">
        <v>104</v>
      </c>
      <c r="M263" s="8">
        <v>-3.0E-9</v>
      </c>
      <c r="N263" s="8">
        <v>86.0</v>
      </c>
      <c r="O263" s="8" t="s">
        <v>105</v>
      </c>
      <c r="U263" s="50" t="str">
        <f t="shared" si="7"/>
        <v/>
      </c>
      <c r="V263" s="14"/>
      <c r="W263" s="8"/>
    </row>
    <row r="264">
      <c r="A264" s="62">
        <f>Scores!A274</f>
        <v>263</v>
      </c>
      <c r="B264" s="54" t="str">
        <f>Compilation!D271</f>
        <v>💎Code Golf International</v>
      </c>
      <c r="C264" s="54">
        <f t="shared" si="1"/>
        <v>6</v>
      </c>
      <c r="D264" s="54">
        <f>Compilation!F271</f>
        <v>106</v>
      </c>
      <c r="E264" s="54">
        <f t="shared" si="2"/>
        <v>112</v>
      </c>
      <c r="F264" s="54">
        <f>Compilation!E271</f>
        <v>106</v>
      </c>
      <c r="G264" s="54">
        <f>countif(Scores!B274:AG274,D264)</f>
        <v>2</v>
      </c>
      <c r="H264" s="54">
        <f>Compilation!G271</f>
        <v>112</v>
      </c>
      <c r="J264" s="50">
        <f t="shared" si="6"/>
        <v>232</v>
      </c>
      <c r="K264" s="21">
        <v>302.0</v>
      </c>
      <c r="L264" s="14" t="s">
        <v>104</v>
      </c>
      <c r="M264" s="8">
        <v>-3.0E-9</v>
      </c>
      <c r="N264" s="8">
        <v>89.0</v>
      </c>
      <c r="O264" s="8" t="s">
        <v>105</v>
      </c>
      <c r="U264" s="50" t="str">
        <f t="shared" si="7"/>
        <v/>
      </c>
      <c r="V264" s="14"/>
      <c r="W264" s="8"/>
    </row>
    <row r="265">
      <c r="A265" s="62">
        <f>Scores!A275</f>
        <v>264</v>
      </c>
      <c r="B265" s="54" t="str">
        <f>Compilation!D272</f>
        <v>💎Code Golf International</v>
      </c>
      <c r="C265" s="54">
        <f t="shared" si="1"/>
        <v>4</v>
      </c>
      <c r="D265" s="54">
        <f>Compilation!F272</f>
        <v>178</v>
      </c>
      <c r="E265" s="54">
        <f t="shared" si="2"/>
        <v>182</v>
      </c>
      <c r="F265" s="54">
        <f>Compilation!E272</f>
        <v>178</v>
      </c>
      <c r="G265" s="54">
        <f>countif(Scores!B275:AG275,D265)</f>
        <v>1</v>
      </c>
      <c r="H265" s="54">
        <f>Compilation!G272</f>
        <v>182</v>
      </c>
      <c r="J265" s="50">
        <f t="shared" si="6"/>
        <v>232</v>
      </c>
      <c r="K265" s="21">
        <v>112.0</v>
      </c>
      <c r="L265" s="14" t="s">
        <v>104</v>
      </c>
      <c r="M265" s="8">
        <v>-3.0E-9</v>
      </c>
      <c r="N265" s="8">
        <v>91.0</v>
      </c>
      <c r="O265" s="8" t="s">
        <v>105</v>
      </c>
      <c r="U265" s="50" t="str">
        <f t="shared" si="7"/>
        <v/>
      </c>
      <c r="V265" s="14"/>
      <c r="W265" s="8"/>
    </row>
    <row r="266">
      <c r="A266" s="62">
        <f>Scores!A276</f>
        <v>265</v>
      </c>
      <c r="B266" s="54" t="str">
        <f>Compilation!D273</f>
        <v>💎Code Golf International</v>
      </c>
      <c r="C266" s="54">
        <f t="shared" si="1"/>
        <v>3</v>
      </c>
      <c r="D266" s="54">
        <f>Compilation!F273</f>
        <v>104</v>
      </c>
      <c r="E266" s="54">
        <f t="shared" si="2"/>
        <v>107</v>
      </c>
      <c r="F266" s="54">
        <f>Compilation!E273</f>
        <v>104</v>
      </c>
      <c r="G266" s="54">
        <f>countif(Scores!B276:AG276,D266)</f>
        <v>2</v>
      </c>
      <c r="H266" s="54">
        <f>Compilation!G273</f>
        <v>107</v>
      </c>
      <c r="J266" s="50">
        <f t="shared" si="6"/>
        <v>232</v>
      </c>
      <c r="K266" s="21">
        <v>184.0</v>
      </c>
      <c r="L266" s="14" t="s">
        <v>104</v>
      </c>
      <c r="M266" s="8">
        <v>-3.0E-9</v>
      </c>
      <c r="N266" s="8">
        <v>91.0</v>
      </c>
      <c r="O266" s="8" t="s">
        <v>105</v>
      </c>
      <c r="U266" s="50" t="str">
        <f t="shared" si="7"/>
        <v/>
      </c>
      <c r="V266" s="14"/>
      <c r="W266" s="8"/>
    </row>
    <row r="267">
      <c r="A267" s="62">
        <f>Scores!A277</f>
        <v>266</v>
      </c>
      <c r="B267" s="54" t="str">
        <f>Compilation!D274</f>
        <v>💎Code Golf International</v>
      </c>
      <c r="C267" s="54">
        <f t="shared" si="1"/>
        <v>10</v>
      </c>
      <c r="D267" s="54">
        <f>Compilation!F274</f>
        <v>88</v>
      </c>
      <c r="E267" s="54">
        <f t="shared" si="2"/>
        <v>98</v>
      </c>
      <c r="F267" s="54">
        <f>Compilation!E274</f>
        <v>88</v>
      </c>
      <c r="G267" s="54">
        <f>countif(Scores!B277:AG277,D267)</f>
        <v>2</v>
      </c>
      <c r="H267" s="54">
        <f>Compilation!G274</f>
        <v>98</v>
      </c>
      <c r="J267" s="50">
        <f t="shared" si="6"/>
        <v>232</v>
      </c>
      <c r="K267" s="21">
        <v>141.0</v>
      </c>
      <c r="L267" s="14" t="s">
        <v>104</v>
      </c>
      <c r="M267" s="8">
        <v>-3.0E-9</v>
      </c>
      <c r="N267" s="8">
        <v>92.0</v>
      </c>
      <c r="O267" s="8" t="s">
        <v>105</v>
      </c>
      <c r="U267" s="50" t="str">
        <f t="shared" si="7"/>
        <v/>
      </c>
      <c r="V267" s="14"/>
      <c r="W267" s="8"/>
    </row>
    <row r="268">
      <c r="A268" s="62">
        <f>Scores!A278</f>
        <v>267</v>
      </c>
      <c r="B268" s="54" t="str">
        <f>Compilation!D275</f>
        <v>🥇 x8</v>
      </c>
      <c r="C268" s="54">
        <f t="shared" si="1"/>
        <v>-0.000000009</v>
      </c>
      <c r="D268" s="54">
        <f>Compilation!F275</f>
        <v>46</v>
      </c>
      <c r="E268" s="54" t="str">
        <f t="shared" si="2"/>
        <v/>
      </c>
      <c r="F268" s="54">
        <f>Compilation!E275</f>
        <v>-1</v>
      </c>
      <c r="G268" s="54">
        <f>countif(Scores!B278:AG278,D268)</f>
        <v>9</v>
      </c>
      <c r="H268" s="54">
        <f>Compilation!G275</f>
        <v>-1</v>
      </c>
      <c r="J268" s="50">
        <f t="shared" si="6"/>
        <v>232</v>
      </c>
      <c r="K268" s="21">
        <v>30.0</v>
      </c>
      <c r="L268" s="14" t="s">
        <v>106</v>
      </c>
      <c r="M268" s="8">
        <v>-3.0E-9</v>
      </c>
      <c r="N268" s="8">
        <v>93.0</v>
      </c>
      <c r="O268" s="8" t="s">
        <v>105</v>
      </c>
      <c r="U268" s="50" t="str">
        <f t="shared" si="7"/>
        <v/>
      </c>
      <c r="V268" s="14"/>
      <c r="W268" s="8"/>
    </row>
    <row r="269">
      <c r="A269" s="62">
        <f>Scores!A279</f>
        <v>268</v>
      </c>
      <c r="B269" s="54" t="str">
        <f>Compilation!D276</f>
        <v>💎jailctf merger</v>
      </c>
      <c r="C269" s="54">
        <f t="shared" si="1"/>
        <v>25</v>
      </c>
      <c r="D269" s="54">
        <f>Compilation!F276</f>
        <v>190</v>
      </c>
      <c r="E269" s="54">
        <f t="shared" si="2"/>
        <v>215</v>
      </c>
      <c r="F269" s="54">
        <f>Compilation!E276</f>
        <v>190</v>
      </c>
      <c r="G269" s="54">
        <f>countif(Scores!B279:AG279,D269)</f>
        <v>2</v>
      </c>
      <c r="H269" s="54">
        <f>Compilation!G276</f>
        <v>215</v>
      </c>
      <c r="J269" s="50">
        <f t="shared" si="6"/>
        <v>232</v>
      </c>
      <c r="K269" s="21">
        <v>390.0</v>
      </c>
      <c r="L269" s="14" t="s">
        <v>104</v>
      </c>
      <c r="M269" s="8">
        <v>-3.0E-9</v>
      </c>
      <c r="N269" s="8">
        <v>98.0</v>
      </c>
      <c r="O269" s="8" t="s">
        <v>105</v>
      </c>
      <c r="U269" s="50" t="str">
        <f t="shared" si="7"/>
        <v/>
      </c>
      <c r="V269" s="14"/>
      <c r="W269" s="8"/>
    </row>
    <row r="270">
      <c r="A270" s="62">
        <f>Scores!A280</f>
        <v>269</v>
      </c>
      <c r="B270" s="54" t="str">
        <f>Compilation!D277</f>
        <v>🥇 x4</v>
      </c>
      <c r="C270" s="54">
        <f t="shared" si="1"/>
        <v>-0.000000005</v>
      </c>
      <c r="D270" s="54">
        <f>Compilation!F277</f>
        <v>63</v>
      </c>
      <c r="E270" s="54" t="str">
        <f t="shared" si="2"/>
        <v/>
      </c>
      <c r="F270" s="54">
        <f>Compilation!E277</f>
        <v>-1</v>
      </c>
      <c r="G270" s="54">
        <f>countif(Scores!B280:AG280,D270)</f>
        <v>5</v>
      </c>
      <c r="H270" s="54">
        <f>Compilation!G277</f>
        <v>-1</v>
      </c>
      <c r="J270" s="50">
        <f t="shared" si="6"/>
        <v>232</v>
      </c>
      <c r="K270" s="21">
        <v>239.0</v>
      </c>
      <c r="L270" s="14" t="s">
        <v>104</v>
      </c>
      <c r="M270" s="8">
        <v>-3.0E-9</v>
      </c>
      <c r="N270" s="8">
        <v>99.0</v>
      </c>
      <c r="O270" s="8" t="s">
        <v>105</v>
      </c>
      <c r="U270" s="50" t="str">
        <f t="shared" si="7"/>
        <v/>
      </c>
      <c r="V270" s="14"/>
      <c r="W270" s="8"/>
    </row>
    <row r="271">
      <c r="A271" s="62">
        <f>Scores!A281</f>
        <v>270</v>
      </c>
      <c r="B271" s="54" t="str">
        <f>Compilation!D278</f>
        <v>🥇 x2</v>
      </c>
      <c r="C271" s="54">
        <f t="shared" si="1"/>
        <v>-0.000000002</v>
      </c>
      <c r="D271" s="54">
        <f>Compilation!F278</f>
        <v>115</v>
      </c>
      <c r="E271" s="54" t="str">
        <f t="shared" si="2"/>
        <v/>
      </c>
      <c r="F271" s="54">
        <f>Compilation!E278</f>
        <v>-1</v>
      </c>
      <c r="G271" s="54">
        <f>countif(Scores!B281:AG281,D271)</f>
        <v>2</v>
      </c>
      <c r="H271" s="54">
        <f>Compilation!G278</f>
        <v>-1</v>
      </c>
      <c r="J271" s="50">
        <f t="shared" si="6"/>
        <v>232</v>
      </c>
      <c r="K271" s="21">
        <v>138.0</v>
      </c>
      <c r="L271" s="14" t="s">
        <v>106</v>
      </c>
      <c r="M271" s="8">
        <v>-3.0E-9</v>
      </c>
      <c r="N271" s="8">
        <v>103.0</v>
      </c>
      <c r="O271" s="8" t="s">
        <v>105</v>
      </c>
      <c r="U271" s="50" t="str">
        <f t="shared" si="7"/>
        <v/>
      </c>
      <c r="V271" s="14"/>
      <c r="W271" s="8"/>
    </row>
    <row r="272">
      <c r="A272" s="62">
        <f>Scores!A282</f>
        <v>271</v>
      </c>
      <c r="B272" s="54" t="str">
        <f>Compilation!D279</f>
        <v>🥇 x2</v>
      </c>
      <c r="C272" s="54">
        <f t="shared" si="1"/>
        <v>-0.000000003</v>
      </c>
      <c r="D272" s="54">
        <f>Compilation!F279</f>
        <v>86</v>
      </c>
      <c r="E272" s="54" t="str">
        <f t="shared" si="2"/>
        <v/>
      </c>
      <c r="F272" s="54">
        <f>Compilation!E279</f>
        <v>-1</v>
      </c>
      <c r="G272" s="54">
        <f>countif(Scores!B282:AG282,D272)</f>
        <v>3</v>
      </c>
      <c r="H272" s="54">
        <f>Compilation!G279</f>
        <v>-1</v>
      </c>
      <c r="J272" s="50">
        <f t="shared" si="6"/>
        <v>232</v>
      </c>
      <c r="K272" s="21">
        <v>279.0</v>
      </c>
      <c r="L272" s="14" t="s">
        <v>104</v>
      </c>
      <c r="M272" s="8">
        <v>-3.0E-9</v>
      </c>
      <c r="N272" s="8">
        <v>106.0</v>
      </c>
      <c r="O272" s="8" t="s">
        <v>105</v>
      </c>
      <c r="U272" s="50" t="str">
        <f t="shared" si="7"/>
        <v/>
      </c>
      <c r="V272" s="14"/>
      <c r="W272" s="8"/>
    </row>
    <row r="273">
      <c r="A273" s="62">
        <f>Scores!A283</f>
        <v>272</v>
      </c>
      <c r="B273" s="54" t="str">
        <f>Compilation!D280</f>
        <v>💎ox jam</v>
      </c>
      <c r="C273" s="54">
        <f t="shared" si="1"/>
        <v>16</v>
      </c>
      <c r="D273" s="54">
        <f>Compilation!F280</f>
        <v>71</v>
      </c>
      <c r="E273" s="54">
        <f t="shared" si="2"/>
        <v>87</v>
      </c>
      <c r="F273" s="54">
        <f>Compilation!E280</f>
        <v>71</v>
      </c>
      <c r="G273" s="54">
        <f>countif(Scores!B283:AG283,D273)</f>
        <v>2</v>
      </c>
      <c r="H273" s="54">
        <f>Compilation!G280</f>
        <v>87</v>
      </c>
      <c r="J273" s="50">
        <f t="shared" si="6"/>
        <v>232</v>
      </c>
      <c r="K273" s="21">
        <v>168.0</v>
      </c>
      <c r="L273" s="14" t="s">
        <v>104</v>
      </c>
      <c r="M273" s="8">
        <v>-3.0E-9</v>
      </c>
      <c r="N273" s="8">
        <v>110.0</v>
      </c>
      <c r="O273" s="8" t="s">
        <v>105</v>
      </c>
      <c r="U273" s="50" t="str">
        <f t="shared" si="7"/>
        <v/>
      </c>
      <c r="V273" s="14"/>
      <c r="W273" s="8"/>
    </row>
    <row r="274">
      <c r="A274" s="62">
        <f>Scores!A284</f>
        <v>273</v>
      </c>
      <c r="B274" s="54" t="str">
        <f>Compilation!D281</f>
        <v>💎Code Golf International</v>
      </c>
      <c r="C274" s="54">
        <f t="shared" si="1"/>
        <v>6</v>
      </c>
      <c r="D274" s="54">
        <f>Compilation!F281</f>
        <v>75</v>
      </c>
      <c r="E274" s="54">
        <f t="shared" si="2"/>
        <v>81</v>
      </c>
      <c r="F274" s="54">
        <f>Compilation!E281</f>
        <v>75</v>
      </c>
      <c r="G274" s="54">
        <f>countif(Scores!B284:AG284,D274)</f>
        <v>2</v>
      </c>
      <c r="H274" s="54">
        <f>Compilation!G281</f>
        <v>81</v>
      </c>
      <c r="J274" s="50">
        <f t="shared" si="6"/>
        <v>232</v>
      </c>
      <c r="K274" s="21">
        <v>365.0</v>
      </c>
      <c r="L274" s="14" t="s">
        <v>104</v>
      </c>
      <c r="M274" s="8">
        <v>-3.0E-9</v>
      </c>
      <c r="N274" s="8">
        <v>111.0</v>
      </c>
      <c r="O274" s="8" t="s">
        <v>105</v>
      </c>
      <c r="U274" s="50" t="str">
        <f t="shared" si="7"/>
        <v/>
      </c>
      <c r="V274" s="14"/>
      <c r="W274" s="8"/>
    </row>
    <row r="275">
      <c r="A275" s="62">
        <f>Scores!A285</f>
        <v>274</v>
      </c>
      <c r="B275" s="54" t="str">
        <f>Compilation!D282</f>
        <v>💎lv1.dev</v>
      </c>
      <c r="C275" s="54">
        <f t="shared" si="1"/>
        <v>2</v>
      </c>
      <c r="D275" s="54">
        <f>Compilation!F282</f>
        <v>65</v>
      </c>
      <c r="E275" s="54">
        <f t="shared" si="2"/>
        <v>67</v>
      </c>
      <c r="F275" s="54">
        <f>Compilation!E282</f>
        <v>65</v>
      </c>
      <c r="G275" s="54">
        <f>countif(Scores!B285:AG285,D275)</f>
        <v>2</v>
      </c>
      <c r="H275" s="54">
        <f>Compilation!G282</f>
        <v>67</v>
      </c>
      <c r="J275" s="50">
        <f t="shared" si="6"/>
        <v>232</v>
      </c>
      <c r="K275" s="21">
        <v>228.0</v>
      </c>
      <c r="L275" s="14" t="s">
        <v>106</v>
      </c>
      <c r="M275" s="8">
        <v>-3.0E-9</v>
      </c>
      <c r="N275" s="8">
        <v>116.0</v>
      </c>
      <c r="O275" s="8" t="s">
        <v>105</v>
      </c>
      <c r="U275" s="50" t="str">
        <f t="shared" si="7"/>
        <v/>
      </c>
      <c r="V275" s="14"/>
      <c r="W275" s="8"/>
    </row>
    <row r="276">
      <c r="A276" s="62">
        <f>Scores!A286</f>
        <v>275</v>
      </c>
      <c r="B276" s="54" t="str">
        <f>Compilation!D283</f>
        <v>💎lv1.dev</v>
      </c>
      <c r="C276" s="54">
        <f t="shared" si="1"/>
        <v>4</v>
      </c>
      <c r="D276" s="54">
        <f>Compilation!F283</f>
        <v>126</v>
      </c>
      <c r="E276" s="54">
        <f t="shared" si="2"/>
        <v>130</v>
      </c>
      <c r="F276" s="54">
        <f>Compilation!E283</f>
        <v>126</v>
      </c>
      <c r="G276" s="54">
        <f>countif(Scores!B286:AG286,D276)</f>
        <v>2</v>
      </c>
      <c r="H276" s="54">
        <f>Compilation!G283</f>
        <v>130</v>
      </c>
      <c r="J276" s="50">
        <f t="shared" si="6"/>
        <v>232</v>
      </c>
      <c r="K276" s="21">
        <v>225.0</v>
      </c>
      <c r="L276" s="14" t="s">
        <v>106</v>
      </c>
      <c r="M276" s="8">
        <v>-3.0E-9</v>
      </c>
      <c r="N276" s="8">
        <v>123.0</v>
      </c>
      <c r="O276" s="8" t="s">
        <v>105</v>
      </c>
      <c r="U276" s="50" t="str">
        <f t="shared" si="7"/>
        <v/>
      </c>
      <c r="V276" s="14"/>
      <c r="W276" s="8"/>
    </row>
    <row r="277">
      <c r="A277" s="62">
        <f>Scores!A287</f>
        <v>276</v>
      </c>
      <c r="B277" s="54" t="str">
        <f>Compilation!D284</f>
        <v>💎Code Golf International</v>
      </c>
      <c r="C277" s="54">
        <f t="shared" si="1"/>
        <v>1</v>
      </c>
      <c r="D277" s="54">
        <f>Compilation!F284</f>
        <v>37</v>
      </c>
      <c r="E277" s="54">
        <f t="shared" si="2"/>
        <v>38</v>
      </c>
      <c r="F277" s="54">
        <f>Compilation!E284</f>
        <v>37</v>
      </c>
      <c r="G277" s="54">
        <f>countif(Scores!B287:AG287,D277)</f>
        <v>2</v>
      </c>
      <c r="H277" s="54">
        <f>Compilation!G284</f>
        <v>38</v>
      </c>
      <c r="J277" s="50">
        <f t="shared" si="6"/>
        <v>232</v>
      </c>
      <c r="K277" s="21">
        <v>163.0</v>
      </c>
      <c r="L277" s="14" t="s">
        <v>104</v>
      </c>
      <c r="M277" s="8">
        <v>-3.0E-9</v>
      </c>
      <c r="N277" s="8">
        <v>130.0</v>
      </c>
      <c r="O277" s="8" t="s">
        <v>105</v>
      </c>
      <c r="U277" s="50" t="str">
        <f t="shared" si="7"/>
        <v/>
      </c>
      <c r="V277" s="14"/>
      <c r="W277" s="8"/>
    </row>
    <row r="278">
      <c r="A278" s="62">
        <f>Scores!A288</f>
        <v>277</v>
      </c>
      <c r="B278" s="54" t="str">
        <f>Compilation!D285</f>
        <v>💎ox jam</v>
      </c>
      <c r="C278" s="54">
        <f t="shared" si="1"/>
        <v>2</v>
      </c>
      <c r="D278" s="54">
        <f>Compilation!F285</f>
        <v>155</v>
      </c>
      <c r="E278" s="54">
        <f t="shared" si="2"/>
        <v>157</v>
      </c>
      <c r="F278" s="54">
        <f>Compilation!E285</f>
        <v>155</v>
      </c>
      <c r="G278" s="54">
        <f>countif(Scores!B288:AG288,D278)</f>
        <v>1</v>
      </c>
      <c r="H278" s="54">
        <f>Compilation!G285</f>
        <v>157</v>
      </c>
      <c r="J278" s="50">
        <f t="shared" si="6"/>
        <v>232</v>
      </c>
      <c r="K278" s="21">
        <v>215.0</v>
      </c>
      <c r="L278" s="14" t="s">
        <v>106</v>
      </c>
      <c r="M278" s="8">
        <v>-4.0E-9</v>
      </c>
      <c r="N278" s="8">
        <v>42.0</v>
      </c>
      <c r="O278" s="8" t="s">
        <v>105</v>
      </c>
      <c r="U278" s="50" t="str">
        <f t="shared" si="7"/>
        <v/>
      </c>
      <c r="V278" s="14"/>
      <c r="W278" s="8"/>
    </row>
    <row r="279">
      <c r="A279" s="62">
        <f>Scores!A289</f>
        <v>278</v>
      </c>
      <c r="B279" s="54" t="str">
        <f>Compilation!D286</f>
        <v>💎intgrah jimboko awu macaque sammyuri</v>
      </c>
      <c r="C279" s="54">
        <f t="shared" si="1"/>
        <v>6</v>
      </c>
      <c r="D279" s="54">
        <f>Compilation!F286</f>
        <v>104</v>
      </c>
      <c r="E279" s="54">
        <f t="shared" si="2"/>
        <v>110</v>
      </c>
      <c r="F279" s="54">
        <f>Compilation!E286</f>
        <v>104</v>
      </c>
      <c r="G279" s="54">
        <f>countif(Scores!B289:AG289,D279)</f>
        <v>2</v>
      </c>
      <c r="H279" s="54">
        <f>Compilation!G286</f>
        <v>110</v>
      </c>
      <c r="J279" s="50">
        <f t="shared" si="6"/>
        <v>232</v>
      </c>
      <c r="K279" s="21">
        <v>337.0</v>
      </c>
      <c r="L279" s="14" t="s">
        <v>106</v>
      </c>
      <c r="M279" s="8">
        <v>-4.0E-9</v>
      </c>
      <c r="N279" s="8">
        <v>43.0</v>
      </c>
      <c r="O279" s="8" t="s">
        <v>105</v>
      </c>
      <c r="U279" s="50" t="str">
        <f t="shared" si="7"/>
        <v/>
      </c>
      <c r="V279" s="14"/>
      <c r="W279" s="8"/>
    </row>
    <row r="280">
      <c r="A280" s="62">
        <f>Scores!A290</f>
        <v>279</v>
      </c>
      <c r="B280" s="54" t="str">
        <f>Compilation!D287</f>
        <v>🥇 x2</v>
      </c>
      <c r="C280" s="54">
        <f t="shared" si="1"/>
        <v>-0.000000003</v>
      </c>
      <c r="D280" s="54">
        <f>Compilation!F287</f>
        <v>106</v>
      </c>
      <c r="E280" s="54" t="str">
        <f t="shared" si="2"/>
        <v/>
      </c>
      <c r="F280" s="54">
        <f>Compilation!E287</f>
        <v>-1</v>
      </c>
      <c r="G280" s="54">
        <f>countif(Scores!B290:AG290,D280)</f>
        <v>3</v>
      </c>
      <c r="H280" s="54">
        <f>Compilation!G287</f>
        <v>-1</v>
      </c>
      <c r="J280" s="50">
        <f t="shared" si="6"/>
        <v>232</v>
      </c>
      <c r="K280" s="21">
        <v>223.0</v>
      </c>
      <c r="L280" s="14" t="s">
        <v>106</v>
      </c>
      <c r="M280" s="8">
        <v>-4.0E-9</v>
      </c>
      <c r="N280" s="8">
        <v>46.0</v>
      </c>
      <c r="O280" s="8" t="s">
        <v>105</v>
      </c>
      <c r="U280" s="50" t="str">
        <f t="shared" si="7"/>
        <v/>
      </c>
      <c r="V280" s="14"/>
      <c r="W280" s="8"/>
    </row>
    <row r="281">
      <c r="A281" s="62">
        <f>Scores!A291</f>
        <v>280</v>
      </c>
      <c r="B281" s="54" t="str">
        <f>Compilation!D288</f>
        <v>💎Code Golf International</v>
      </c>
      <c r="C281" s="54">
        <f t="shared" si="1"/>
        <v>18</v>
      </c>
      <c r="D281" s="54">
        <f>Compilation!F288</f>
        <v>145</v>
      </c>
      <c r="E281" s="54">
        <f t="shared" si="2"/>
        <v>163</v>
      </c>
      <c r="F281" s="54">
        <f>Compilation!E288</f>
        <v>145</v>
      </c>
      <c r="G281" s="54">
        <f>countif(Scores!B291:AG291,D281)</f>
        <v>2</v>
      </c>
      <c r="H281" s="54">
        <f>Compilation!G288</f>
        <v>163</v>
      </c>
      <c r="J281" s="50">
        <f t="shared" si="6"/>
        <v>232</v>
      </c>
      <c r="K281" s="21">
        <v>372.0</v>
      </c>
      <c r="L281" s="14" t="s">
        <v>106</v>
      </c>
      <c r="M281" s="8">
        <v>-4.0E-9</v>
      </c>
      <c r="N281" s="8">
        <v>47.0</v>
      </c>
      <c r="O281" s="8" t="s">
        <v>105</v>
      </c>
      <c r="U281" s="50" t="str">
        <f t="shared" si="7"/>
        <v/>
      </c>
      <c r="V281" s="14"/>
      <c r="W281" s="8"/>
    </row>
    <row r="282">
      <c r="A282" s="62">
        <f>Scores!A292</f>
        <v>281</v>
      </c>
      <c r="B282" s="54" t="str">
        <f>Compilation!D289</f>
        <v>💎ox jam</v>
      </c>
      <c r="C282" s="54">
        <f t="shared" si="1"/>
        <v>20</v>
      </c>
      <c r="D282" s="54">
        <f>Compilation!F289</f>
        <v>103</v>
      </c>
      <c r="E282" s="54">
        <f t="shared" si="2"/>
        <v>123</v>
      </c>
      <c r="F282" s="54">
        <f>Compilation!E289</f>
        <v>103</v>
      </c>
      <c r="G282" s="54">
        <f>countif(Scores!B292:AG292,D282)</f>
        <v>2</v>
      </c>
      <c r="H282" s="54">
        <f>Compilation!G289</f>
        <v>123</v>
      </c>
      <c r="J282" s="50">
        <f t="shared" si="6"/>
        <v>232</v>
      </c>
      <c r="K282" s="21">
        <v>386.0</v>
      </c>
      <c r="L282" s="14" t="s">
        <v>106</v>
      </c>
      <c r="M282" s="8">
        <v>-4.0E-9</v>
      </c>
      <c r="N282" s="8">
        <v>50.0</v>
      </c>
      <c r="O282" s="8" t="s">
        <v>105</v>
      </c>
      <c r="U282" s="50" t="str">
        <f t="shared" si="7"/>
        <v/>
      </c>
      <c r="V282" s="14"/>
      <c r="W282" s="8"/>
    </row>
    <row r="283">
      <c r="A283" s="62">
        <f>Scores!A293</f>
        <v>282</v>
      </c>
      <c r="B283" s="54" t="str">
        <f>Compilation!D290</f>
        <v>💎Code Golf International</v>
      </c>
      <c r="C283" s="54">
        <f t="shared" si="1"/>
        <v>2</v>
      </c>
      <c r="D283" s="54">
        <f>Compilation!F290</f>
        <v>74</v>
      </c>
      <c r="E283" s="54">
        <f t="shared" si="2"/>
        <v>76</v>
      </c>
      <c r="F283" s="54">
        <f>Compilation!E290</f>
        <v>74</v>
      </c>
      <c r="G283" s="54">
        <f>countif(Scores!B293:AG293,D283)</f>
        <v>2</v>
      </c>
      <c r="H283" s="54">
        <f>Compilation!G290</f>
        <v>76</v>
      </c>
      <c r="J283" s="50">
        <f t="shared" si="6"/>
        <v>232</v>
      </c>
      <c r="K283" s="21">
        <v>321.0</v>
      </c>
      <c r="L283" s="14" t="s">
        <v>106</v>
      </c>
      <c r="M283" s="8">
        <v>-4.0E-9</v>
      </c>
      <c r="N283" s="8">
        <v>54.0</v>
      </c>
      <c r="O283" s="8" t="s">
        <v>105</v>
      </c>
      <c r="U283" s="50" t="str">
        <f t="shared" si="7"/>
        <v/>
      </c>
      <c r="V283" s="14"/>
      <c r="W283" s="8"/>
    </row>
    <row r="284">
      <c r="A284" s="62">
        <f>Scores!A294</f>
        <v>283</v>
      </c>
      <c r="B284" s="54" t="str">
        <f>Compilation!D291</f>
        <v>💎ox jam</v>
      </c>
      <c r="C284" s="54">
        <f t="shared" si="1"/>
        <v>7</v>
      </c>
      <c r="D284" s="54">
        <f>Compilation!F291</f>
        <v>72</v>
      </c>
      <c r="E284" s="54">
        <f t="shared" si="2"/>
        <v>79</v>
      </c>
      <c r="F284" s="54">
        <f>Compilation!E291</f>
        <v>72</v>
      </c>
      <c r="G284" s="54">
        <f>countif(Scores!B294:AG294,D284)</f>
        <v>2</v>
      </c>
      <c r="H284" s="54">
        <f>Compilation!G291</f>
        <v>79</v>
      </c>
      <c r="J284" s="50">
        <f t="shared" si="6"/>
        <v>232</v>
      </c>
      <c r="K284" s="21">
        <v>218.0</v>
      </c>
      <c r="L284" s="14" t="s">
        <v>106</v>
      </c>
      <c r="M284" s="8">
        <v>-4.0E-9</v>
      </c>
      <c r="N284" s="8">
        <v>56.0</v>
      </c>
      <c r="O284" s="8" t="s">
        <v>105</v>
      </c>
      <c r="U284" s="50" t="str">
        <f t="shared" si="7"/>
        <v/>
      </c>
      <c r="V284" s="14"/>
      <c r="W284" s="8"/>
    </row>
    <row r="285">
      <c r="A285" s="62">
        <f>Scores!A295</f>
        <v>284</v>
      </c>
      <c r="B285" s="54" t="str">
        <f>Compilation!D292</f>
        <v>💎jailctf merger</v>
      </c>
      <c r="C285" s="54">
        <f t="shared" si="1"/>
        <v>9</v>
      </c>
      <c r="D285" s="54">
        <f>Compilation!F292</f>
        <v>195</v>
      </c>
      <c r="E285" s="54">
        <f t="shared" si="2"/>
        <v>204</v>
      </c>
      <c r="F285" s="54">
        <f>Compilation!E292</f>
        <v>195</v>
      </c>
      <c r="G285" s="54">
        <f>countif(Scores!B295:AG295,D285)</f>
        <v>2</v>
      </c>
      <c r="H285" s="54">
        <f>Compilation!G292</f>
        <v>204</v>
      </c>
      <c r="J285" s="50">
        <f t="shared" si="6"/>
        <v>232</v>
      </c>
      <c r="K285" s="21">
        <v>1.0</v>
      </c>
      <c r="L285" s="14" t="s">
        <v>106</v>
      </c>
      <c r="M285" s="8">
        <v>-4.0E-9</v>
      </c>
      <c r="N285" s="8">
        <v>58.0</v>
      </c>
      <c r="O285" s="8" t="s">
        <v>105</v>
      </c>
      <c r="U285" s="50" t="str">
        <f t="shared" si="7"/>
        <v/>
      </c>
      <c r="V285" s="14"/>
      <c r="W285" s="8"/>
    </row>
    <row r="286">
      <c r="A286" s="62">
        <f>Scores!A296</f>
        <v>285</v>
      </c>
      <c r="B286" s="54" t="str">
        <f>Compilation!D293</f>
        <v>💎Code Golf International</v>
      </c>
      <c r="C286" s="54">
        <f t="shared" si="1"/>
        <v>8</v>
      </c>
      <c r="D286" s="54">
        <f>Compilation!F293</f>
        <v>226</v>
      </c>
      <c r="E286" s="54">
        <f t="shared" si="2"/>
        <v>234</v>
      </c>
      <c r="F286" s="54">
        <f>Compilation!E293</f>
        <v>226</v>
      </c>
      <c r="G286" s="54">
        <f>countif(Scores!B296:AG296,D286)</f>
        <v>1</v>
      </c>
      <c r="H286" s="54">
        <f>Compilation!G293</f>
        <v>234</v>
      </c>
      <c r="J286" s="50">
        <f t="shared" si="6"/>
        <v>232</v>
      </c>
      <c r="K286" s="21">
        <v>332.0</v>
      </c>
      <c r="L286" s="14" t="s">
        <v>106</v>
      </c>
      <c r="M286" s="8">
        <v>-4.0E-9</v>
      </c>
      <c r="N286" s="8">
        <v>58.0</v>
      </c>
      <c r="O286" s="8" t="s">
        <v>105</v>
      </c>
      <c r="U286" s="50" t="str">
        <f t="shared" si="7"/>
        <v/>
      </c>
      <c r="V286" s="14"/>
      <c r="W286" s="8"/>
    </row>
    <row r="287">
      <c r="A287" s="62">
        <f>Scores!A297</f>
        <v>286</v>
      </c>
      <c r="B287" s="54" t="str">
        <f>Compilation!D294</f>
        <v>💎ox jam</v>
      </c>
      <c r="C287" s="54">
        <f t="shared" si="1"/>
        <v>1</v>
      </c>
      <c r="D287" s="54">
        <f>Compilation!F294</f>
        <v>104</v>
      </c>
      <c r="E287" s="54">
        <f t="shared" si="2"/>
        <v>105</v>
      </c>
      <c r="F287" s="54">
        <f>Compilation!E294</f>
        <v>104</v>
      </c>
      <c r="G287" s="54">
        <f>countif(Scores!B297:AG297,D287)</f>
        <v>2</v>
      </c>
      <c r="H287" s="54">
        <f>Compilation!G294</f>
        <v>105</v>
      </c>
      <c r="J287" s="50">
        <f t="shared" si="6"/>
        <v>232</v>
      </c>
      <c r="K287" s="21">
        <v>91.0</v>
      </c>
      <c r="L287" s="14" t="s">
        <v>106</v>
      </c>
      <c r="M287" s="8">
        <v>-4.0E-9</v>
      </c>
      <c r="N287" s="8">
        <v>62.0</v>
      </c>
      <c r="O287" s="8" t="s">
        <v>105</v>
      </c>
      <c r="U287" s="50" t="str">
        <f t="shared" si="7"/>
        <v/>
      </c>
      <c r="V287" s="14"/>
      <c r="W287" s="8"/>
    </row>
    <row r="288">
      <c r="A288" s="62">
        <f>Scores!A298</f>
        <v>287</v>
      </c>
      <c r="B288" s="54" t="str">
        <f>Compilation!D295</f>
        <v>💎Code Golf International</v>
      </c>
      <c r="C288" s="54">
        <f t="shared" si="1"/>
        <v>2</v>
      </c>
      <c r="D288" s="54">
        <f>Compilation!F295</f>
        <v>53</v>
      </c>
      <c r="E288" s="54">
        <f t="shared" si="2"/>
        <v>55</v>
      </c>
      <c r="F288" s="54">
        <f>Compilation!E295</f>
        <v>53</v>
      </c>
      <c r="G288" s="54">
        <f>countif(Scores!B298:AG298,D288)</f>
        <v>2</v>
      </c>
      <c r="H288" s="54">
        <f>Compilation!G295</f>
        <v>55</v>
      </c>
      <c r="J288" s="50">
        <f t="shared" si="6"/>
        <v>232</v>
      </c>
      <c r="K288" s="21">
        <v>28.0</v>
      </c>
      <c r="L288" s="14" t="s">
        <v>106</v>
      </c>
      <c r="M288" s="8">
        <v>-4.0E-9</v>
      </c>
      <c r="N288" s="8">
        <v>63.0</v>
      </c>
      <c r="O288" s="8" t="s">
        <v>105</v>
      </c>
      <c r="U288" s="50" t="str">
        <f t="shared" si="7"/>
        <v/>
      </c>
      <c r="V288" s="14"/>
      <c r="W288" s="8"/>
    </row>
    <row r="289">
      <c r="A289" s="62">
        <f>Scores!A299</f>
        <v>288</v>
      </c>
      <c r="B289" s="54" t="str">
        <f>Compilation!D296</f>
        <v>🥇 x4</v>
      </c>
      <c r="C289" s="54">
        <f t="shared" si="1"/>
        <v>-0.000000004</v>
      </c>
      <c r="D289" s="54">
        <f>Compilation!F296</f>
        <v>86</v>
      </c>
      <c r="E289" s="54" t="str">
        <f t="shared" si="2"/>
        <v/>
      </c>
      <c r="F289" s="54">
        <f>Compilation!E296</f>
        <v>-1</v>
      </c>
      <c r="G289" s="54">
        <f>countif(Scores!B299:AG299,D289)</f>
        <v>4</v>
      </c>
      <c r="H289" s="54">
        <f>Compilation!G296</f>
        <v>-1</v>
      </c>
      <c r="J289" s="50">
        <f t="shared" si="6"/>
        <v>232</v>
      </c>
      <c r="K289" s="21">
        <v>306.0</v>
      </c>
      <c r="L289" s="14" t="s">
        <v>106</v>
      </c>
      <c r="M289" s="8">
        <v>-4.0E-9</v>
      </c>
      <c r="N289" s="8">
        <v>63.0</v>
      </c>
      <c r="O289" s="8" t="s">
        <v>105</v>
      </c>
      <c r="U289" s="50" t="str">
        <f t="shared" si="7"/>
        <v/>
      </c>
      <c r="V289" s="14"/>
      <c r="W289" s="8"/>
    </row>
    <row r="290">
      <c r="A290" s="62">
        <f>Scores!A300</f>
        <v>289</v>
      </c>
      <c r="B290" s="54" t="str">
        <f>Compilation!D297</f>
        <v>🥇 x4</v>
      </c>
      <c r="C290" s="54">
        <f t="shared" si="1"/>
        <v>-0.000000005</v>
      </c>
      <c r="D290" s="54">
        <f>Compilation!F297</f>
        <v>63</v>
      </c>
      <c r="E290" s="54" t="str">
        <f t="shared" si="2"/>
        <v/>
      </c>
      <c r="F290" s="54">
        <f>Compilation!E297</f>
        <v>-1</v>
      </c>
      <c r="G290" s="54">
        <f>countif(Scores!B300:AG300,D290)</f>
        <v>5</v>
      </c>
      <c r="H290" s="54">
        <f>Compilation!G297</f>
        <v>-1</v>
      </c>
      <c r="J290" s="50">
        <f t="shared" si="6"/>
        <v>232</v>
      </c>
      <c r="K290" s="21">
        <v>237.0</v>
      </c>
      <c r="L290" s="14" t="s">
        <v>106</v>
      </c>
      <c r="M290" s="8">
        <v>-4.0E-9</v>
      </c>
      <c r="N290" s="8">
        <v>66.0</v>
      </c>
      <c r="O290" s="8" t="s">
        <v>105</v>
      </c>
      <c r="U290" s="50" t="str">
        <f t="shared" si="7"/>
        <v/>
      </c>
      <c r="V290" s="14"/>
      <c r="W290" s="8"/>
    </row>
    <row r="291">
      <c r="A291" s="62">
        <f>Scores!A301</f>
        <v>290</v>
      </c>
      <c r="B291" s="54" t="str">
        <f>Compilation!D298</f>
        <v>💎Code Golf International</v>
      </c>
      <c r="C291" s="54">
        <f t="shared" si="1"/>
        <v>2</v>
      </c>
      <c r="D291" s="54">
        <f>Compilation!F298</f>
        <v>65</v>
      </c>
      <c r="E291" s="54">
        <f t="shared" si="2"/>
        <v>67</v>
      </c>
      <c r="F291" s="54">
        <f>Compilation!E298</f>
        <v>65</v>
      </c>
      <c r="G291" s="54">
        <f>countif(Scores!B301:AG301,D291)</f>
        <v>2</v>
      </c>
      <c r="H291" s="54">
        <f>Compilation!G298</f>
        <v>67</v>
      </c>
      <c r="J291" s="50">
        <f t="shared" si="6"/>
        <v>232</v>
      </c>
      <c r="K291" s="21">
        <v>123.0</v>
      </c>
      <c r="L291" s="14" t="s">
        <v>106</v>
      </c>
      <c r="M291" s="8">
        <v>-4.0E-9</v>
      </c>
      <c r="N291" s="8">
        <v>71.0</v>
      </c>
      <c r="O291" s="8" t="s">
        <v>105</v>
      </c>
      <c r="U291" s="50" t="str">
        <f t="shared" si="7"/>
        <v/>
      </c>
      <c r="V291" s="14"/>
      <c r="W291" s="8"/>
    </row>
    <row r="292">
      <c r="A292" s="62">
        <f>Scores!A302</f>
        <v>291</v>
      </c>
      <c r="B292" s="54" t="str">
        <f>Compilation!D299</f>
        <v>💎ox jam</v>
      </c>
      <c r="C292" s="54">
        <f t="shared" si="1"/>
        <v>2</v>
      </c>
      <c r="D292" s="54">
        <f>Compilation!F299</f>
        <v>59</v>
      </c>
      <c r="E292" s="54">
        <f t="shared" si="2"/>
        <v>61</v>
      </c>
      <c r="F292" s="54">
        <f>Compilation!E299</f>
        <v>59</v>
      </c>
      <c r="G292" s="54">
        <f>countif(Scores!B302:AG302,D292)</f>
        <v>2</v>
      </c>
      <c r="H292" s="54">
        <f>Compilation!G299</f>
        <v>61</v>
      </c>
      <c r="J292" s="50">
        <f t="shared" si="6"/>
        <v>232</v>
      </c>
      <c r="K292" s="21">
        <v>36.0</v>
      </c>
      <c r="L292" s="14" t="s">
        <v>106</v>
      </c>
      <c r="M292" s="8">
        <v>-4.0E-9</v>
      </c>
      <c r="N292" s="8">
        <v>75.0</v>
      </c>
      <c r="O292" s="8" t="s">
        <v>105</v>
      </c>
      <c r="U292" s="50" t="str">
        <f t="shared" si="7"/>
        <v/>
      </c>
      <c r="V292" s="14"/>
      <c r="W292" s="8"/>
    </row>
    <row r="293">
      <c r="A293" s="62">
        <f>Scores!A303</f>
        <v>292</v>
      </c>
      <c r="B293" s="54" t="str">
        <f>Compilation!D300</f>
        <v>💎ox jam</v>
      </c>
      <c r="C293" s="54">
        <f t="shared" si="1"/>
        <v>1</v>
      </c>
      <c r="D293" s="54">
        <f>Compilation!F300</f>
        <v>51</v>
      </c>
      <c r="E293" s="54">
        <f t="shared" si="2"/>
        <v>52</v>
      </c>
      <c r="F293" s="54">
        <f>Compilation!E300</f>
        <v>51</v>
      </c>
      <c r="G293" s="54">
        <f>countif(Scores!B303:AG303,D293)</f>
        <v>2</v>
      </c>
      <c r="H293" s="54">
        <f>Compilation!G300</f>
        <v>52</v>
      </c>
      <c r="J293" s="50">
        <f t="shared" si="6"/>
        <v>232</v>
      </c>
      <c r="K293" s="21">
        <v>74.0</v>
      </c>
      <c r="L293" s="14" t="s">
        <v>106</v>
      </c>
      <c r="M293" s="8">
        <v>-4.0E-9</v>
      </c>
      <c r="N293" s="8">
        <v>77.0</v>
      </c>
      <c r="O293" s="8" t="s">
        <v>105</v>
      </c>
      <c r="U293" s="50" t="str">
        <f t="shared" si="7"/>
        <v/>
      </c>
      <c r="V293" s="14"/>
      <c r="W293" s="8"/>
    </row>
    <row r="294">
      <c r="A294" s="62">
        <f>Scores!A304</f>
        <v>293</v>
      </c>
      <c r="B294" s="54" t="str">
        <f>Compilation!D301</f>
        <v>💎jailctf merger</v>
      </c>
      <c r="C294" s="54">
        <f t="shared" si="1"/>
        <v>1</v>
      </c>
      <c r="D294" s="54">
        <f>Compilation!F301</f>
        <v>59</v>
      </c>
      <c r="E294" s="54">
        <f t="shared" si="2"/>
        <v>60</v>
      </c>
      <c r="F294" s="54">
        <f>Compilation!E301</f>
        <v>59</v>
      </c>
      <c r="G294" s="54">
        <f>countif(Scores!B304:AG304,D294)</f>
        <v>2</v>
      </c>
      <c r="H294" s="54">
        <f>Compilation!G301</f>
        <v>60</v>
      </c>
      <c r="J294" s="50">
        <f t="shared" si="6"/>
        <v>232</v>
      </c>
      <c r="K294" s="21">
        <v>199.0</v>
      </c>
      <c r="L294" s="14" t="s">
        <v>106</v>
      </c>
      <c r="M294" s="8">
        <v>-4.0E-9</v>
      </c>
      <c r="N294" s="8">
        <v>77.0</v>
      </c>
      <c r="O294" s="8" t="s">
        <v>105</v>
      </c>
      <c r="U294" s="50" t="str">
        <f t="shared" si="7"/>
        <v/>
      </c>
      <c r="V294" s="14"/>
      <c r="W294" s="8"/>
    </row>
    <row r="295">
      <c r="A295" s="62">
        <f>Scores!A305</f>
        <v>294</v>
      </c>
      <c r="B295" s="54" t="str">
        <f>Compilation!D302</f>
        <v>🥇 x9</v>
      </c>
      <c r="C295" s="54">
        <f t="shared" si="1"/>
        <v>-0.00000001</v>
      </c>
      <c r="D295" s="54">
        <f>Compilation!F302</f>
        <v>70</v>
      </c>
      <c r="E295" s="54" t="str">
        <f t="shared" si="2"/>
        <v/>
      </c>
      <c r="F295" s="54">
        <f>Compilation!E302</f>
        <v>-1</v>
      </c>
      <c r="G295" s="54">
        <f>countif(Scores!B305:AG305,D295)</f>
        <v>10</v>
      </c>
      <c r="H295" s="54">
        <f>Compilation!G302</f>
        <v>-1</v>
      </c>
      <c r="J295" s="50">
        <f t="shared" si="6"/>
        <v>232</v>
      </c>
      <c r="K295" s="21">
        <v>381.0</v>
      </c>
      <c r="L295" s="14" t="s">
        <v>106</v>
      </c>
      <c r="M295" s="8">
        <v>-4.0E-9</v>
      </c>
      <c r="N295" s="8">
        <v>79.0</v>
      </c>
      <c r="O295" s="8" t="s">
        <v>105</v>
      </c>
      <c r="U295" s="50" t="str">
        <f t="shared" si="7"/>
        <v/>
      </c>
      <c r="V295" s="14"/>
      <c r="W295" s="8"/>
    </row>
    <row r="296">
      <c r="A296" s="62">
        <f>Scores!A306</f>
        <v>295</v>
      </c>
      <c r="B296" s="54" t="str">
        <f>Compilation!D303</f>
        <v>🥇 x9</v>
      </c>
      <c r="C296" s="54">
        <f t="shared" si="1"/>
        <v>-0.00000001</v>
      </c>
      <c r="D296" s="54">
        <f>Compilation!F303</f>
        <v>54</v>
      </c>
      <c r="E296" s="54" t="str">
        <f t="shared" si="2"/>
        <v/>
      </c>
      <c r="F296" s="54">
        <f>Compilation!E303</f>
        <v>-1</v>
      </c>
      <c r="G296" s="54">
        <f>countif(Scores!B306:AG306,D296)</f>
        <v>10</v>
      </c>
      <c r="H296" s="54">
        <f>Compilation!G303</f>
        <v>-1</v>
      </c>
      <c r="J296" s="50">
        <f t="shared" si="6"/>
        <v>232</v>
      </c>
      <c r="K296" s="21">
        <v>352.0</v>
      </c>
      <c r="L296" s="14" t="s">
        <v>106</v>
      </c>
      <c r="M296" s="8">
        <v>-4.0E-9</v>
      </c>
      <c r="N296" s="8">
        <v>82.0</v>
      </c>
      <c r="O296" s="8" t="s">
        <v>105</v>
      </c>
      <c r="U296" s="50" t="str">
        <f t="shared" si="7"/>
        <v/>
      </c>
      <c r="V296" s="14"/>
      <c r="W296" s="8"/>
    </row>
    <row r="297">
      <c r="A297" s="62">
        <f>Scores!A307</f>
        <v>296</v>
      </c>
      <c r="B297" s="54" t="str">
        <f>Compilation!D304</f>
        <v>💎Code Golf International</v>
      </c>
      <c r="C297" s="54">
        <f t="shared" si="1"/>
        <v>5</v>
      </c>
      <c r="D297" s="54">
        <f>Compilation!F304</f>
        <v>55</v>
      </c>
      <c r="E297" s="54">
        <f t="shared" si="2"/>
        <v>60</v>
      </c>
      <c r="F297" s="54">
        <f>Compilation!E304</f>
        <v>55</v>
      </c>
      <c r="G297" s="54">
        <f>countif(Scores!B307:AG307,D297)</f>
        <v>2</v>
      </c>
      <c r="H297" s="54">
        <f>Compilation!G304</f>
        <v>60</v>
      </c>
      <c r="J297" s="50">
        <f t="shared" si="6"/>
        <v>232</v>
      </c>
      <c r="K297" s="21">
        <v>104.0</v>
      </c>
      <c r="L297" s="14" t="s">
        <v>106</v>
      </c>
      <c r="M297" s="8">
        <v>-4.0E-9</v>
      </c>
      <c r="N297" s="8">
        <v>84.0</v>
      </c>
      <c r="O297" s="8" t="s">
        <v>105</v>
      </c>
      <c r="U297" s="50" t="str">
        <f t="shared" si="7"/>
        <v/>
      </c>
      <c r="V297" s="14"/>
      <c r="W297" s="8"/>
    </row>
    <row r="298">
      <c r="A298" s="62">
        <f>Scores!A308</f>
        <v>297</v>
      </c>
      <c r="B298" s="54" t="str">
        <f>Compilation!D305</f>
        <v>🥇 x15</v>
      </c>
      <c r="C298" s="54">
        <f t="shared" si="1"/>
        <v>-0.000000016</v>
      </c>
      <c r="D298" s="54">
        <f>Compilation!F305</f>
        <v>43</v>
      </c>
      <c r="E298" s="54" t="str">
        <f t="shared" si="2"/>
        <v/>
      </c>
      <c r="F298" s="54">
        <f>Compilation!E305</f>
        <v>-1</v>
      </c>
      <c r="G298" s="54">
        <f>countif(Scores!B308:AG308,D298)</f>
        <v>16</v>
      </c>
      <c r="H298" s="54">
        <f>Compilation!G305</f>
        <v>-1</v>
      </c>
      <c r="J298" s="50">
        <f t="shared" si="6"/>
        <v>232</v>
      </c>
      <c r="K298" s="21">
        <v>200.0</v>
      </c>
      <c r="L298" s="14" t="s">
        <v>106</v>
      </c>
      <c r="M298" s="8">
        <v>-4.0E-9</v>
      </c>
      <c r="N298" s="8">
        <v>84.0</v>
      </c>
      <c r="O298" s="8" t="s">
        <v>105</v>
      </c>
      <c r="U298" s="50" t="str">
        <f t="shared" si="7"/>
        <v/>
      </c>
      <c r="V298" s="14"/>
      <c r="W298" s="8"/>
    </row>
    <row r="299">
      <c r="A299" s="62">
        <f>Scores!A309</f>
        <v>298</v>
      </c>
      <c r="B299" s="54" t="str">
        <f>Compilation!D306</f>
        <v>💎LogicLynx</v>
      </c>
      <c r="C299" s="54">
        <f t="shared" si="1"/>
        <v>1</v>
      </c>
      <c r="D299" s="54">
        <f>Compilation!F306</f>
        <v>54</v>
      </c>
      <c r="E299" s="54">
        <f t="shared" si="2"/>
        <v>55</v>
      </c>
      <c r="F299" s="54">
        <f>Compilation!E306</f>
        <v>54</v>
      </c>
      <c r="G299" s="54">
        <f>countif(Scores!B309:AG309,D299)</f>
        <v>2</v>
      </c>
      <c r="H299" s="54">
        <f>Compilation!G306</f>
        <v>55</v>
      </c>
      <c r="J299" s="50">
        <f t="shared" si="6"/>
        <v>232</v>
      </c>
      <c r="K299" s="21">
        <v>394.0</v>
      </c>
      <c r="L299" s="14" t="s">
        <v>106</v>
      </c>
      <c r="M299" s="8">
        <v>-4.0E-9</v>
      </c>
      <c r="N299" s="8">
        <v>85.0</v>
      </c>
      <c r="O299" s="8" t="s">
        <v>105</v>
      </c>
      <c r="U299" s="50" t="str">
        <f t="shared" si="7"/>
        <v/>
      </c>
      <c r="V299" s="14"/>
      <c r="W299" s="8"/>
    </row>
    <row r="300">
      <c r="A300" s="62">
        <f>Scores!A310</f>
        <v>299</v>
      </c>
      <c r="B300" s="54" t="str">
        <f>Compilation!D307</f>
        <v>🥇 x13</v>
      </c>
      <c r="C300" s="54">
        <f t="shared" si="1"/>
        <v>-0.000000014</v>
      </c>
      <c r="D300" s="54">
        <f>Compilation!F307</f>
        <v>54</v>
      </c>
      <c r="E300" s="54" t="str">
        <f t="shared" si="2"/>
        <v/>
      </c>
      <c r="F300" s="54">
        <f>Compilation!E307</f>
        <v>-1</v>
      </c>
      <c r="G300" s="54">
        <f>countif(Scores!B310:AG310,D300)</f>
        <v>14</v>
      </c>
      <c r="H300" s="54">
        <f>Compilation!G307</f>
        <v>-1</v>
      </c>
      <c r="J300" s="50">
        <f t="shared" si="6"/>
        <v>232</v>
      </c>
      <c r="K300" s="21">
        <v>132.0</v>
      </c>
      <c r="L300" s="14" t="s">
        <v>106</v>
      </c>
      <c r="M300" s="8">
        <v>-4.0E-9</v>
      </c>
      <c r="N300" s="8">
        <v>86.0</v>
      </c>
      <c r="O300" s="8" t="s">
        <v>105</v>
      </c>
      <c r="U300" s="50" t="str">
        <f t="shared" si="7"/>
        <v/>
      </c>
      <c r="V300" s="14"/>
      <c r="W300" s="8"/>
    </row>
    <row r="301">
      <c r="A301" s="62">
        <f>Scores!A311</f>
        <v>300</v>
      </c>
      <c r="B301" s="54" t="str">
        <f>Compilation!D308</f>
        <v>🥇 x4</v>
      </c>
      <c r="C301" s="54">
        <f t="shared" si="1"/>
        <v>-0.000000005</v>
      </c>
      <c r="D301" s="54">
        <f>Compilation!F308</f>
        <v>87</v>
      </c>
      <c r="E301" s="54" t="str">
        <f t="shared" si="2"/>
        <v/>
      </c>
      <c r="F301" s="54">
        <f>Compilation!E308</f>
        <v>-1</v>
      </c>
      <c r="G301" s="54">
        <f>countif(Scores!B311:AG311,D301)</f>
        <v>5</v>
      </c>
      <c r="H301" s="54">
        <f>Compilation!G308</f>
        <v>-1</v>
      </c>
      <c r="J301" s="50">
        <f t="shared" si="6"/>
        <v>232</v>
      </c>
      <c r="K301" s="21">
        <v>288.0</v>
      </c>
      <c r="L301" s="14" t="s">
        <v>107</v>
      </c>
      <c r="M301" s="8">
        <v>-4.0E-9</v>
      </c>
      <c r="N301" s="8">
        <v>86.0</v>
      </c>
      <c r="O301" s="8" t="s">
        <v>105</v>
      </c>
      <c r="U301" s="50" t="str">
        <f t="shared" si="7"/>
        <v/>
      </c>
      <c r="V301" s="14"/>
      <c r="W301" s="8"/>
    </row>
    <row r="302">
      <c r="A302" s="62">
        <f>Scores!A312</f>
        <v>301</v>
      </c>
      <c r="B302" s="54" t="str">
        <f>Compilation!D309</f>
        <v>🥇 x29</v>
      </c>
      <c r="C302" s="54">
        <f t="shared" si="1"/>
        <v>-0.00000003</v>
      </c>
      <c r="D302" s="54">
        <f>Compilation!F309</f>
        <v>31</v>
      </c>
      <c r="E302" s="54" t="str">
        <f t="shared" si="2"/>
        <v/>
      </c>
      <c r="F302" s="54">
        <f>Compilation!E309</f>
        <v>-1</v>
      </c>
      <c r="G302" s="54">
        <f>countif(Scores!B312:AG312,D302)</f>
        <v>30</v>
      </c>
      <c r="H302" s="54">
        <f>Compilation!G309</f>
        <v>-1</v>
      </c>
      <c r="J302" s="50">
        <f t="shared" si="6"/>
        <v>232</v>
      </c>
      <c r="K302" s="21">
        <v>204.0</v>
      </c>
      <c r="L302" s="14" t="s">
        <v>106</v>
      </c>
      <c r="M302" s="8">
        <v>-4.0E-9</v>
      </c>
      <c r="N302" s="8">
        <v>93.0</v>
      </c>
      <c r="O302" s="8" t="s">
        <v>105</v>
      </c>
      <c r="U302" s="50" t="str">
        <f t="shared" si="7"/>
        <v/>
      </c>
      <c r="V302" s="14"/>
      <c r="W302" s="8"/>
    </row>
    <row r="303">
      <c r="A303" s="62">
        <f>Scores!A313</f>
        <v>302</v>
      </c>
      <c r="B303" s="54" t="str">
        <f>Compilation!D310</f>
        <v>🥇 x2</v>
      </c>
      <c r="C303" s="54">
        <f t="shared" si="1"/>
        <v>-0.000000003</v>
      </c>
      <c r="D303" s="54">
        <f>Compilation!F310</f>
        <v>89</v>
      </c>
      <c r="E303" s="54" t="str">
        <f t="shared" si="2"/>
        <v/>
      </c>
      <c r="F303" s="54">
        <f>Compilation!E310</f>
        <v>-1</v>
      </c>
      <c r="G303" s="54">
        <f>countif(Scores!B313:AG313,D303)</f>
        <v>3</v>
      </c>
      <c r="H303" s="54">
        <f>Compilation!G310</f>
        <v>-1</v>
      </c>
      <c r="J303" s="50">
        <f t="shared" si="6"/>
        <v>232</v>
      </c>
      <c r="K303" s="21">
        <v>217.0</v>
      </c>
      <c r="L303" s="14" t="s">
        <v>106</v>
      </c>
      <c r="M303" s="8">
        <v>-4.0E-9</v>
      </c>
      <c r="N303" s="8">
        <v>95.0</v>
      </c>
      <c r="O303" s="8" t="s">
        <v>105</v>
      </c>
      <c r="U303" s="50" t="str">
        <f t="shared" si="7"/>
        <v/>
      </c>
      <c r="V303" s="14"/>
      <c r="W303" s="8"/>
    </row>
    <row r="304">
      <c r="A304" s="62">
        <f>Scores!A314</f>
        <v>303</v>
      </c>
      <c r="B304" s="54" t="str">
        <f>Compilation!D311</f>
        <v>💎Code Golf International</v>
      </c>
      <c r="C304" s="54">
        <f t="shared" si="1"/>
        <v>1</v>
      </c>
      <c r="D304" s="54">
        <f>Compilation!F311</f>
        <v>62</v>
      </c>
      <c r="E304" s="54">
        <f t="shared" si="2"/>
        <v>63</v>
      </c>
      <c r="F304" s="54">
        <f>Compilation!E311</f>
        <v>62</v>
      </c>
      <c r="G304" s="54">
        <f>countif(Scores!B314:AG314,D304)</f>
        <v>2</v>
      </c>
      <c r="H304" s="54">
        <f>Compilation!G311</f>
        <v>63</v>
      </c>
      <c r="J304" s="50">
        <f t="shared" si="6"/>
        <v>232</v>
      </c>
      <c r="K304" s="21">
        <v>93.0</v>
      </c>
      <c r="L304" s="14" t="s">
        <v>106</v>
      </c>
      <c r="M304" s="8">
        <v>-4.0E-9</v>
      </c>
      <c r="N304" s="8">
        <v>98.0</v>
      </c>
      <c r="O304" s="8" t="s">
        <v>105</v>
      </c>
      <c r="U304" s="50" t="str">
        <f t="shared" si="7"/>
        <v/>
      </c>
      <c r="V304" s="14"/>
      <c r="W304" s="8"/>
    </row>
    <row r="305">
      <c r="A305" s="62">
        <f>Scores!A315</f>
        <v>304</v>
      </c>
      <c r="B305" s="54" t="str">
        <f>Compilation!D312</f>
        <v>🥇 x10</v>
      </c>
      <c r="C305" s="54">
        <f t="shared" si="1"/>
        <v>-0.000000011</v>
      </c>
      <c r="D305" s="54">
        <f>Compilation!F312</f>
        <v>92</v>
      </c>
      <c r="E305" s="54" t="str">
        <f t="shared" si="2"/>
        <v/>
      </c>
      <c r="F305" s="54">
        <f>Compilation!E312</f>
        <v>-1</v>
      </c>
      <c r="G305" s="54">
        <f>countif(Scores!B315:AG315,D305)</f>
        <v>11</v>
      </c>
      <c r="H305" s="54">
        <f>Compilation!G312</f>
        <v>-1</v>
      </c>
      <c r="J305" s="50">
        <f t="shared" si="6"/>
        <v>232</v>
      </c>
      <c r="K305" s="21">
        <v>369.0</v>
      </c>
      <c r="L305" s="14" t="s">
        <v>106</v>
      </c>
      <c r="M305" s="8">
        <v>-4.0E-9</v>
      </c>
      <c r="N305" s="8">
        <v>109.0</v>
      </c>
      <c r="O305" s="8" t="s">
        <v>105</v>
      </c>
      <c r="U305" s="50" t="str">
        <f t="shared" si="7"/>
        <v/>
      </c>
      <c r="V305" s="14"/>
      <c r="W305" s="8"/>
    </row>
    <row r="306">
      <c r="A306" s="62">
        <f>Scores!A316</f>
        <v>305</v>
      </c>
      <c r="B306" s="54" t="str">
        <f>Compilation!D313</f>
        <v>💎biz</v>
      </c>
      <c r="C306" s="54">
        <f t="shared" si="1"/>
        <v>1</v>
      </c>
      <c r="D306" s="54">
        <f>Compilation!F313</f>
        <v>56</v>
      </c>
      <c r="E306" s="54">
        <f t="shared" si="2"/>
        <v>57</v>
      </c>
      <c r="F306" s="54">
        <f>Compilation!E313</f>
        <v>56</v>
      </c>
      <c r="G306" s="54">
        <f>countif(Scores!B316:AG316,D306)</f>
        <v>2</v>
      </c>
      <c r="H306" s="54">
        <f>Compilation!G313</f>
        <v>57</v>
      </c>
      <c r="J306" s="50">
        <f t="shared" si="6"/>
        <v>232</v>
      </c>
      <c r="K306" s="21">
        <v>31.0</v>
      </c>
      <c r="L306" s="14" t="s">
        <v>107</v>
      </c>
      <c r="M306" s="8">
        <v>-5.0E-9</v>
      </c>
      <c r="N306" s="8">
        <v>45.0</v>
      </c>
      <c r="O306" s="8" t="s">
        <v>105</v>
      </c>
      <c r="U306" s="50" t="str">
        <f t="shared" si="7"/>
        <v/>
      </c>
      <c r="V306" s="14"/>
      <c r="W306" s="8"/>
    </row>
    <row r="307">
      <c r="A307" s="62">
        <f>Scores!A317</f>
        <v>306</v>
      </c>
      <c r="B307" s="54" t="str">
        <f>Compilation!D314</f>
        <v>🥇 x3</v>
      </c>
      <c r="C307" s="54">
        <f t="shared" si="1"/>
        <v>-0.000000004</v>
      </c>
      <c r="D307" s="54">
        <f>Compilation!F314</f>
        <v>63</v>
      </c>
      <c r="E307" s="54" t="str">
        <f t="shared" si="2"/>
        <v/>
      </c>
      <c r="F307" s="54">
        <f>Compilation!E314</f>
        <v>-1</v>
      </c>
      <c r="G307" s="54">
        <f>countif(Scores!B317:AG317,D307)</f>
        <v>4</v>
      </c>
      <c r="H307" s="54">
        <f>Compilation!G314</f>
        <v>-1</v>
      </c>
      <c r="J307" s="50">
        <f t="shared" si="6"/>
        <v>232</v>
      </c>
      <c r="K307" s="21">
        <v>6.0</v>
      </c>
      <c r="L307" s="14" t="s">
        <v>107</v>
      </c>
      <c r="M307" s="8">
        <v>-5.0E-9</v>
      </c>
      <c r="N307" s="8">
        <v>49.0</v>
      </c>
      <c r="O307" s="8" t="s">
        <v>105</v>
      </c>
      <c r="U307" s="50" t="str">
        <f t="shared" si="7"/>
        <v/>
      </c>
      <c r="V307" s="14"/>
      <c r="W307" s="8"/>
    </row>
    <row r="308">
      <c r="A308" s="62">
        <f>Scores!A318</f>
        <v>307</v>
      </c>
      <c r="B308" s="54" t="str">
        <f>Compilation!D315</f>
        <v>🥇 x2</v>
      </c>
      <c r="C308" s="54">
        <f t="shared" si="1"/>
        <v>-0.000000003</v>
      </c>
      <c r="D308" s="54">
        <f>Compilation!F315</f>
        <v>46</v>
      </c>
      <c r="E308" s="54" t="str">
        <f t="shared" si="2"/>
        <v/>
      </c>
      <c r="F308" s="54">
        <f>Compilation!E315</f>
        <v>-1</v>
      </c>
      <c r="G308" s="54">
        <f>countif(Scores!B318:AG318,D308)</f>
        <v>3</v>
      </c>
      <c r="H308" s="54">
        <f>Compilation!G315</f>
        <v>-1</v>
      </c>
      <c r="J308" s="50">
        <f t="shared" si="6"/>
        <v>232</v>
      </c>
      <c r="K308" s="21">
        <v>85.0</v>
      </c>
      <c r="L308" s="14" t="s">
        <v>107</v>
      </c>
      <c r="M308" s="8">
        <v>-5.0E-9</v>
      </c>
      <c r="N308" s="8">
        <v>49.0</v>
      </c>
      <c r="O308" s="8" t="s">
        <v>105</v>
      </c>
      <c r="U308" s="50" t="str">
        <f t="shared" si="7"/>
        <v/>
      </c>
      <c r="V308" s="14"/>
      <c r="W308" s="8"/>
    </row>
    <row r="309">
      <c r="A309" s="62">
        <f>Scores!A319</f>
        <v>308</v>
      </c>
      <c r="B309" s="54" t="str">
        <f>Compilation!D316</f>
        <v>💎lv1.dev</v>
      </c>
      <c r="C309" s="54">
        <f t="shared" si="1"/>
        <v>3</v>
      </c>
      <c r="D309" s="54">
        <f>Compilation!F316</f>
        <v>192</v>
      </c>
      <c r="E309" s="54">
        <f t="shared" si="2"/>
        <v>195</v>
      </c>
      <c r="F309" s="54">
        <f>Compilation!E316</f>
        <v>192</v>
      </c>
      <c r="G309" s="54">
        <f>countif(Scores!B319:AG319,D309)</f>
        <v>1</v>
      </c>
      <c r="H309" s="54">
        <f>Compilation!G316</f>
        <v>195</v>
      </c>
      <c r="J309" s="50">
        <f t="shared" si="6"/>
        <v>232</v>
      </c>
      <c r="K309" s="21">
        <v>26.0</v>
      </c>
      <c r="L309" s="14" t="s">
        <v>107</v>
      </c>
      <c r="M309" s="8">
        <v>-5.0E-9</v>
      </c>
      <c r="N309" s="8">
        <v>50.0</v>
      </c>
      <c r="O309" s="8" t="s">
        <v>105</v>
      </c>
      <c r="U309" s="50" t="str">
        <f t="shared" si="7"/>
        <v/>
      </c>
      <c r="V309" s="14"/>
      <c r="W309" s="8"/>
    </row>
    <row r="310">
      <c r="A310" s="62">
        <f>Scores!A320</f>
        <v>309</v>
      </c>
      <c r="B310" s="54" t="str">
        <f>Compilation!D317</f>
        <v>💎Code Golf International</v>
      </c>
      <c r="C310" s="54">
        <f t="shared" si="1"/>
        <v>2</v>
      </c>
      <c r="D310" s="54">
        <f>Compilation!F317</f>
        <v>36</v>
      </c>
      <c r="E310" s="54">
        <f t="shared" si="2"/>
        <v>38</v>
      </c>
      <c r="F310" s="54">
        <f>Compilation!E317</f>
        <v>36</v>
      </c>
      <c r="G310" s="54">
        <f>countif(Scores!B320:AG320,D310)</f>
        <v>2</v>
      </c>
      <c r="H310" s="54">
        <f>Compilation!G317</f>
        <v>38</v>
      </c>
      <c r="J310" s="50">
        <f t="shared" si="6"/>
        <v>232</v>
      </c>
      <c r="K310" s="21">
        <v>177.0</v>
      </c>
      <c r="L310" s="14" t="s">
        <v>107</v>
      </c>
      <c r="M310" s="8">
        <v>-5.0E-9</v>
      </c>
      <c r="N310" s="8">
        <v>51.0</v>
      </c>
      <c r="O310" s="8" t="s">
        <v>105</v>
      </c>
      <c r="U310" s="50" t="str">
        <f t="shared" si="7"/>
        <v/>
      </c>
      <c r="V310" s="14"/>
      <c r="W310" s="8"/>
    </row>
    <row r="311">
      <c r="A311" s="62">
        <f>Scores!A321</f>
        <v>310</v>
      </c>
      <c r="B311" s="54" t="str">
        <f>Compilation!D318</f>
        <v>💎ox jam</v>
      </c>
      <c r="C311" s="54">
        <f t="shared" si="1"/>
        <v>8</v>
      </c>
      <c r="D311" s="54">
        <f>Compilation!F318</f>
        <v>70</v>
      </c>
      <c r="E311" s="54">
        <f t="shared" si="2"/>
        <v>78</v>
      </c>
      <c r="F311" s="54">
        <f>Compilation!E318</f>
        <v>70</v>
      </c>
      <c r="G311" s="54">
        <f>countif(Scores!B321:AG321,D311)</f>
        <v>2</v>
      </c>
      <c r="H311" s="54">
        <f>Compilation!G318</f>
        <v>78</v>
      </c>
      <c r="J311" s="50">
        <f t="shared" si="6"/>
        <v>232</v>
      </c>
      <c r="K311" s="21">
        <v>227.0</v>
      </c>
      <c r="L311" s="14" t="s">
        <v>107</v>
      </c>
      <c r="M311" s="8">
        <v>-5.0E-9</v>
      </c>
      <c r="N311" s="8">
        <v>52.0</v>
      </c>
      <c r="O311" s="8" t="s">
        <v>105</v>
      </c>
      <c r="U311" s="50" t="str">
        <f t="shared" si="7"/>
        <v/>
      </c>
      <c r="V311" s="14"/>
      <c r="W311" s="8"/>
    </row>
    <row r="312">
      <c r="A312" s="62">
        <f>Scores!A322</f>
        <v>311</v>
      </c>
      <c r="B312" s="54" t="str">
        <f>Compilation!D319</f>
        <v>🥇 x44</v>
      </c>
      <c r="C312" s="54">
        <f t="shared" si="1"/>
        <v>-0.000000045</v>
      </c>
      <c r="D312" s="54">
        <f>Compilation!F319</f>
        <v>32</v>
      </c>
      <c r="E312" s="54" t="str">
        <f t="shared" si="2"/>
        <v/>
      </c>
      <c r="F312" s="54">
        <f>Compilation!E319</f>
        <v>-1</v>
      </c>
      <c r="G312" s="54">
        <f>countif(Scores!B322:AG322,D312)</f>
        <v>45</v>
      </c>
      <c r="H312" s="54">
        <f>Compilation!G319</f>
        <v>-1</v>
      </c>
      <c r="J312" s="50">
        <f t="shared" si="6"/>
        <v>232</v>
      </c>
      <c r="K312" s="21">
        <v>144.0</v>
      </c>
      <c r="L312" s="14" t="s">
        <v>107</v>
      </c>
      <c r="M312" s="8">
        <v>-5.0E-9</v>
      </c>
      <c r="N312" s="8">
        <v>53.0</v>
      </c>
      <c r="O312" s="8" t="s">
        <v>105</v>
      </c>
      <c r="U312" s="50" t="str">
        <f t="shared" si="7"/>
        <v/>
      </c>
      <c r="V312" s="14"/>
      <c r="W312" s="8"/>
    </row>
    <row r="313">
      <c r="A313" s="62">
        <f>Scores!A323</f>
        <v>312</v>
      </c>
      <c r="B313" s="54" t="str">
        <f>Compilation!D320</f>
        <v>🥇 x9</v>
      </c>
      <c r="C313" s="54">
        <f t="shared" si="1"/>
        <v>-0.00000001</v>
      </c>
      <c r="D313" s="54">
        <f>Compilation!F320</f>
        <v>44</v>
      </c>
      <c r="E313" s="54" t="str">
        <f t="shared" si="2"/>
        <v/>
      </c>
      <c r="F313" s="54">
        <f>Compilation!E320</f>
        <v>-1</v>
      </c>
      <c r="G313" s="54">
        <f>countif(Scores!B323:AG323,D313)</f>
        <v>10</v>
      </c>
      <c r="H313" s="54">
        <f>Compilation!G320</f>
        <v>-1</v>
      </c>
      <c r="J313" s="50">
        <f t="shared" si="6"/>
        <v>232</v>
      </c>
      <c r="K313" s="21">
        <v>395.0</v>
      </c>
      <c r="L313" s="14" t="s">
        <v>107</v>
      </c>
      <c r="M313" s="8">
        <v>-5.0E-9</v>
      </c>
      <c r="N313" s="8">
        <v>53.0</v>
      </c>
      <c r="O313" s="8" t="s">
        <v>105</v>
      </c>
      <c r="U313" s="50" t="str">
        <f t="shared" si="7"/>
        <v/>
      </c>
      <c r="V313" s="14"/>
      <c r="W313" s="8"/>
    </row>
    <row r="314">
      <c r="A314" s="62">
        <f>Scores!A324</f>
        <v>313</v>
      </c>
      <c r="B314" s="54" t="str">
        <f>Compilation!D321</f>
        <v>💎Code Golf International</v>
      </c>
      <c r="C314" s="54">
        <f t="shared" si="1"/>
        <v>1</v>
      </c>
      <c r="D314" s="54">
        <f>Compilation!F321</f>
        <v>61</v>
      </c>
      <c r="E314" s="54">
        <f t="shared" si="2"/>
        <v>62</v>
      </c>
      <c r="F314" s="54">
        <f>Compilation!E321</f>
        <v>61</v>
      </c>
      <c r="G314" s="54">
        <f>countif(Scores!B324:AG324,D314)</f>
        <v>2</v>
      </c>
      <c r="H314" s="54">
        <f>Compilation!G321</f>
        <v>62</v>
      </c>
      <c r="J314" s="50">
        <f t="shared" si="6"/>
        <v>232</v>
      </c>
      <c r="K314" s="21">
        <v>72.0</v>
      </c>
      <c r="L314" s="14" t="s">
        <v>107</v>
      </c>
      <c r="M314" s="8">
        <v>-5.0E-9</v>
      </c>
      <c r="N314" s="8">
        <v>54.0</v>
      </c>
      <c r="O314" s="8" t="s">
        <v>105</v>
      </c>
      <c r="U314" s="50" t="str">
        <f t="shared" si="7"/>
        <v/>
      </c>
      <c r="V314" s="14"/>
      <c r="W314" s="8"/>
    </row>
    <row r="315">
      <c r="A315" s="62">
        <f>Scores!A325</f>
        <v>314</v>
      </c>
      <c r="B315" s="54" t="str">
        <f>Compilation!D322</f>
        <v>💎ox jam</v>
      </c>
      <c r="C315" s="54">
        <f t="shared" si="1"/>
        <v>2</v>
      </c>
      <c r="D315" s="54">
        <f>Compilation!F322</f>
        <v>82</v>
      </c>
      <c r="E315" s="54">
        <f t="shared" si="2"/>
        <v>84</v>
      </c>
      <c r="F315" s="54">
        <f>Compilation!E322</f>
        <v>82</v>
      </c>
      <c r="G315" s="54">
        <f>countif(Scores!B325:AG325,D315)</f>
        <v>2</v>
      </c>
      <c r="H315" s="54">
        <f>Compilation!G322</f>
        <v>84</v>
      </c>
      <c r="J315" s="50">
        <f t="shared" si="6"/>
        <v>232</v>
      </c>
      <c r="K315" s="21">
        <v>236.0</v>
      </c>
      <c r="L315" s="14" t="s">
        <v>107</v>
      </c>
      <c r="M315" s="8">
        <v>-5.0E-9</v>
      </c>
      <c r="N315" s="8">
        <v>54.0</v>
      </c>
      <c r="O315" s="8" t="s">
        <v>105</v>
      </c>
      <c r="U315" s="50" t="str">
        <f t="shared" si="7"/>
        <v/>
      </c>
      <c r="V315" s="14"/>
      <c r="W315" s="8"/>
    </row>
    <row r="316">
      <c r="A316" s="62">
        <f>Scores!A326</f>
        <v>315</v>
      </c>
      <c r="B316" s="54" t="str">
        <f>Compilation!D323</f>
        <v>🥇 x7</v>
      </c>
      <c r="C316" s="54">
        <f t="shared" si="1"/>
        <v>-0.000000008</v>
      </c>
      <c r="D316" s="54">
        <f>Compilation!F323</f>
        <v>63</v>
      </c>
      <c r="E316" s="54" t="str">
        <f t="shared" si="2"/>
        <v/>
      </c>
      <c r="F316" s="54">
        <f>Compilation!E323</f>
        <v>-1</v>
      </c>
      <c r="G316" s="54">
        <f>countif(Scores!B326:AG326,D316)</f>
        <v>8</v>
      </c>
      <c r="H316" s="54">
        <f>Compilation!G323</f>
        <v>-1</v>
      </c>
      <c r="J316" s="50">
        <f t="shared" si="6"/>
        <v>232</v>
      </c>
      <c r="K316" s="21">
        <v>318.0</v>
      </c>
      <c r="L316" s="14" t="s">
        <v>107</v>
      </c>
      <c r="M316" s="8">
        <v>-5.0E-9</v>
      </c>
      <c r="N316" s="8">
        <v>54.0</v>
      </c>
      <c r="O316" s="8" t="s">
        <v>105</v>
      </c>
      <c r="U316" s="50" t="str">
        <f t="shared" si="7"/>
        <v/>
      </c>
      <c r="V316" s="14"/>
      <c r="W316" s="8"/>
    </row>
    <row r="317">
      <c r="A317" s="62">
        <f>Scores!A327</f>
        <v>316</v>
      </c>
      <c r="B317" s="54" t="str">
        <f>Compilation!D324</f>
        <v>🥇 x13</v>
      </c>
      <c r="C317" s="54">
        <f t="shared" si="1"/>
        <v>-0.000000014</v>
      </c>
      <c r="D317" s="54">
        <f>Compilation!F324</f>
        <v>71</v>
      </c>
      <c r="E317" s="54" t="str">
        <f t="shared" si="2"/>
        <v/>
      </c>
      <c r="F317" s="54">
        <f>Compilation!E324</f>
        <v>-1</v>
      </c>
      <c r="G317" s="54">
        <f>countif(Scores!B327:AG327,D317)</f>
        <v>14</v>
      </c>
      <c r="H317" s="54">
        <f>Compilation!G324</f>
        <v>-1</v>
      </c>
      <c r="J317" s="50">
        <f t="shared" si="6"/>
        <v>232</v>
      </c>
      <c r="K317" s="21">
        <v>43.0</v>
      </c>
      <c r="L317" s="14" t="s">
        <v>107</v>
      </c>
      <c r="M317" s="8">
        <v>-5.0E-9</v>
      </c>
      <c r="N317" s="8">
        <v>56.0</v>
      </c>
      <c r="O317" s="8" t="s">
        <v>105</v>
      </c>
      <c r="U317" s="50" t="str">
        <f t="shared" si="7"/>
        <v/>
      </c>
      <c r="V317" s="14"/>
      <c r="W317" s="8"/>
    </row>
    <row r="318">
      <c r="A318" s="62">
        <f>Scores!A328</f>
        <v>317</v>
      </c>
      <c r="B318" s="54" t="str">
        <f>Compilation!D325</f>
        <v>🥇 x2</v>
      </c>
      <c r="C318" s="54">
        <f t="shared" si="1"/>
        <v>-0.000000003</v>
      </c>
      <c r="D318" s="54">
        <f>Compilation!F325</f>
        <v>43</v>
      </c>
      <c r="E318" s="54" t="str">
        <f t="shared" si="2"/>
        <v/>
      </c>
      <c r="F318" s="54">
        <f>Compilation!E325</f>
        <v>-1</v>
      </c>
      <c r="G318" s="54">
        <f>countif(Scores!B328:AG328,D318)</f>
        <v>3</v>
      </c>
      <c r="H318" s="54">
        <f>Compilation!G325</f>
        <v>-1</v>
      </c>
      <c r="J318" s="50">
        <f t="shared" si="6"/>
        <v>232</v>
      </c>
      <c r="K318" s="21">
        <v>388.0</v>
      </c>
      <c r="L318" s="14" t="s">
        <v>107</v>
      </c>
      <c r="M318" s="8">
        <v>-5.0E-9</v>
      </c>
      <c r="N318" s="8">
        <v>61.0</v>
      </c>
      <c r="O318" s="8" t="s">
        <v>105</v>
      </c>
      <c r="U318" s="50" t="str">
        <f t="shared" si="7"/>
        <v/>
      </c>
      <c r="V318" s="14"/>
      <c r="W318" s="8"/>
    </row>
    <row r="319">
      <c r="A319" s="62">
        <f>Scores!A329</f>
        <v>318</v>
      </c>
      <c r="B319" s="54" t="str">
        <f>Compilation!D326</f>
        <v>🥇 x4</v>
      </c>
      <c r="C319" s="54">
        <f t="shared" si="1"/>
        <v>-0.000000005</v>
      </c>
      <c r="D319" s="54">
        <f>Compilation!F326</f>
        <v>54</v>
      </c>
      <c r="E319" s="54" t="str">
        <f t="shared" si="2"/>
        <v/>
      </c>
      <c r="F319" s="54">
        <f>Compilation!E326</f>
        <v>-1</v>
      </c>
      <c r="G319" s="54">
        <f>countif(Scores!B329:AG329,D319)</f>
        <v>5</v>
      </c>
      <c r="H319" s="54">
        <f>Compilation!G326</f>
        <v>-1</v>
      </c>
      <c r="J319" s="50">
        <f t="shared" si="6"/>
        <v>232</v>
      </c>
      <c r="K319" s="21">
        <v>61.0</v>
      </c>
      <c r="L319" s="14" t="s">
        <v>107</v>
      </c>
      <c r="M319" s="8">
        <v>-5.0E-9</v>
      </c>
      <c r="N319" s="8">
        <v>62.0</v>
      </c>
      <c r="O319" s="8" t="s">
        <v>105</v>
      </c>
      <c r="U319" s="50" t="str">
        <f t="shared" si="7"/>
        <v/>
      </c>
      <c r="V319" s="14"/>
      <c r="W319" s="8"/>
    </row>
    <row r="320">
      <c r="A320" s="62">
        <f>Scores!A330</f>
        <v>319</v>
      </c>
      <c r="B320" s="54" t="str">
        <f>Compilation!D327</f>
        <v>💎jailctf merger</v>
      </c>
      <c r="C320" s="54">
        <f t="shared" si="1"/>
        <v>9</v>
      </c>
      <c r="D320" s="54">
        <f>Compilation!F327</f>
        <v>194</v>
      </c>
      <c r="E320" s="54">
        <f t="shared" si="2"/>
        <v>203</v>
      </c>
      <c r="F320" s="54">
        <f>Compilation!E327</f>
        <v>194</v>
      </c>
      <c r="G320" s="54">
        <f>countif(Scores!B330:AG330,D320)</f>
        <v>2</v>
      </c>
      <c r="H320" s="54">
        <f>Compilation!G327</f>
        <v>203</v>
      </c>
      <c r="J320" s="50">
        <f t="shared" si="6"/>
        <v>232</v>
      </c>
      <c r="K320" s="21">
        <v>269.0</v>
      </c>
      <c r="L320" s="14" t="s">
        <v>107</v>
      </c>
      <c r="M320" s="8">
        <v>-5.0E-9</v>
      </c>
      <c r="N320" s="8">
        <v>63.0</v>
      </c>
      <c r="O320" s="8" t="s">
        <v>105</v>
      </c>
      <c r="U320" s="50" t="str">
        <f t="shared" si="7"/>
        <v/>
      </c>
      <c r="V320" s="14"/>
      <c r="W320" s="8"/>
    </row>
    <row r="321">
      <c r="A321" s="62">
        <f>Scores!A331</f>
        <v>320</v>
      </c>
      <c r="B321" s="54" t="str">
        <f>Compilation!D328</f>
        <v>💎Code Golf International</v>
      </c>
      <c r="C321" s="54">
        <f t="shared" si="1"/>
        <v>1</v>
      </c>
      <c r="D321" s="54">
        <f>Compilation!F328</f>
        <v>65</v>
      </c>
      <c r="E321" s="54">
        <f t="shared" si="2"/>
        <v>66</v>
      </c>
      <c r="F321" s="54">
        <f>Compilation!E328</f>
        <v>65</v>
      </c>
      <c r="G321" s="54">
        <f>countif(Scores!B331:AG331,D321)</f>
        <v>2</v>
      </c>
      <c r="H321" s="54">
        <f>Compilation!G328</f>
        <v>66</v>
      </c>
      <c r="J321" s="50">
        <f t="shared" si="6"/>
        <v>232</v>
      </c>
      <c r="K321" s="21">
        <v>289.0</v>
      </c>
      <c r="L321" s="14" t="s">
        <v>107</v>
      </c>
      <c r="M321" s="8">
        <v>-5.0E-9</v>
      </c>
      <c r="N321" s="8">
        <v>63.0</v>
      </c>
      <c r="O321" s="8" t="s">
        <v>105</v>
      </c>
      <c r="U321" s="50" t="str">
        <f t="shared" si="7"/>
        <v/>
      </c>
      <c r="V321" s="14"/>
      <c r="W321" s="8"/>
    </row>
    <row r="322">
      <c r="A322" s="62">
        <f>Scores!A332</f>
        <v>321</v>
      </c>
      <c r="B322" s="54" t="str">
        <f>Compilation!D329</f>
        <v>🥇 x3</v>
      </c>
      <c r="C322" s="54">
        <f t="shared" si="1"/>
        <v>-0.000000004</v>
      </c>
      <c r="D322" s="54">
        <f>Compilation!F329</f>
        <v>54</v>
      </c>
      <c r="E322" s="54" t="str">
        <f t="shared" si="2"/>
        <v/>
      </c>
      <c r="F322" s="54">
        <f>Compilation!E329</f>
        <v>-1</v>
      </c>
      <c r="G322" s="54">
        <f>countif(Scores!B332:AG332,D322)</f>
        <v>4</v>
      </c>
      <c r="H322" s="54">
        <f>Compilation!G329</f>
        <v>-1</v>
      </c>
      <c r="J322" s="50">
        <f t="shared" si="6"/>
        <v>232</v>
      </c>
      <c r="K322" s="21">
        <v>114.0</v>
      </c>
      <c r="L322" s="14" t="s">
        <v>107</v>
      </c>
      <c r="M322" s="8">
        <v>-5.0E-9</v>
      </c>
      <c r="N322" s="8">
        <v>64.0</v>
      </c>
      <c r="O322" s="8" t="s">
        <v>105</v>
      </c>
      <c r="U322" s="50" t="str">
        <f t="shared" si="7"/>
        <v/>
      </c>
      <c r="V322" s="14"/>
      <c r="W322" s="8"/>
    </row>
    <row r="323">
      <c r="A323" s="62">
        <f>Scores!A333</f>
        <v>322</v>
      </c>
      <c r="B323" s="54" t="str">
        <f>Compilation!D330</f>
        <v>🥇 x2</v>
      </c>
      <c r="C323" s="54">
        <f t="shared" si="1"/>
        <v>-0.000000003</v>
      </c>
      <c r="D323" s="54">
        <f>Compilation!F330</f>
        <v>45</v>
      </c>
      <c r="E323" s="54" t="str">
        <f t="shared" si="2"/>
        <v/>
      </c>
      <c r="F323" s="54">
        <f>Compilation!E330</f>
        <v>-1</v>
      </c>
      <c r="G323" s="54">
        <f>countif(Scores!B333:AG333,D323)</f>
        <v>3</v>
      </c>
      <c r="H323" s="54">
        <f>Compilation!G330</f>
        <v>-1</v>
      </c>
      <c r="J323" s="50">
        <f t="shared" si="6"/>
        <v>232</v>
      </c>
      <c r="K323" s="21">
        <v>243.0</v>
      </c>
      <c r="L323" s="14" t="s">
        <v>107</v>
      </c>
      <c r="M323" s="8">
        <v>-5.0E-9</v>
      </c>
      <c r="N323" s="8">
        <v>75.0</v>
      </c>
      <c r="O323" s="8" t="s">
        <v>105</v>
      </c>
      <c r="U323" s="50" t="str">
        <f t="shared" si="7"/>
        <v/>
      </c>
      <c r="V323" s="14"/>
      <c r="W323" s="8"/>
    </row>
    <row r="324">
      <c r="A324" s="62">
        <f>Scores!A334</f>
        <v>323</v>
      </c>
      <c r="B324" s="54" t="str">
        <f>Compilation!D331</f>
        <v>💎jailctf merger</v>
      </c>
      <c r="C324" s="54">
        <f t="shared" si="1"/>
        <v>4</v>
      </c>
      <c r="D324" s="54">
        <f>Compilation!F331</f>
        <v>100</v>
      </c>
      <c r="E324" s="54">
        <f t="shared" si="2"/>
        <v>104</v>
      </c>
      <c r="F324" s="54">
        <f>Compilation!E331</f>
        <v>100</v>
      </c>
      <c r="G324" s="54">
        <f>countif(Scores!B334:AG334,D324)</f>
        <v>2</v>
      </c>
      <c r="H324" s="54">
        <f>Compilation!G331</f>
        <v>104</v>
      </c>
      <c r="J324" s="50">
        <f t="shared" si="6"/>
        <v>232</v>
      </c>
      <c r="K324" s="21">
        <v>300.0</v>
      </c>
      <c r="L324" s="14" t="s">
        <v>107</v>
      </c>
      <c r="M324" s="8">
        <v>-5.0E-9</v>
      </c>
      <c r="N324" s="8">
        <v>87.0</v>
      </c>
      <c r="O324" s="8" t="s">
        <v>105</v>
      </c>
      <c r="U324" s="50" t="str">
        <f t="shared" si="7"/>
        <v/>
      </c>
      <c r="V324" s="14"/>
      <c r="W324" s="8"/>
    </row>
    <row r="325">
      <c r="A325" s="62">
        <f>Scores!A335</f>
        <v>324</v>
      </c>
      <c r="B325" s="54" t="str">
        <f>Compilation!D332</f>
        <v>💎FuunAgent</v>
      </c>
      <c r="C325" s="54">
        <f t="shared" si="1"/>
        <v>4</v>
      </c>
      <c r="D325" s="54">
        <f>Compilation!F332</f>
        <v>216</v>
      </c>
      <c r="E325" s="54">
        <f t="shared" si="2"/>
        <v>220</v>
      </c>
      <c r="F325" s="54">
        <f>Compilation!E332</f>
        <v>216</v>
      </c>
      <c r="G325" s="54">
        <f>countif(Scores!B335:AG335,D325)</f>
        <v>1</v>
      </c>
      <c r="H325" s="54">
        <f>Compilation!G332</f>
        <v>220</v>
      </c>
      <c r="J325" s="50">
        <f t="shared" si="6"/>
        <v>232</v>
      </c>
      <c r="K325" s="21">
        <v>119.0</v>
      </c>
      <c r="L325" s="14" t="s">
        <v>107</v>
      </c>
      <c r="M325" s="8">
        <v>-5.0E-9</v>
      </c>
      <c r="N325" s="8">
        <v>102.0</v>
      </c>
      <c r="O325" s="8" t="s">
        <v>105</v>
      </c>
      <c r="U325" s="50" t="str">
        <f t="shared" si="7"/>
        <v/>
      </c>
      <c r="V325" s="14"/>
      <c r="W325" s="8"/>
    </row>
    <row r="326">
      <c r="A326" s="62">
        <f>Scores!A336</f>
        <v>325</v>
      </c>
      <c r="B326" s="54" t="str">
        <f>Compilation!D333</f>
        <v>💎ox jam</v>
      </c>
      <c r="C326" s="54">
        <f t="shared" si="1"/>
        <v>11</v>
      </c>
      <c r="D326" s="54">
        <f>Compilation!F333</f>
        <v>140</v>
      </c>
      <c r="E326" s="54">
        <f t="shared" si="2"/>
        <v>151</v>
      </c>
      <c r="F326" s="54">
        <f>Compilation!E333</f>
        <v>140</v>
      </c>
      <c r="G326" s="54">
        <f>countif(Scores!B336:AG336,D326)</f>
        <v>1</v>
      </c>
      <c r="H326" s="54">
        <f>Compilation!G333</f>
        <v>151</v>
      </c>
      <c r="J326" s="50">
        <f t="shared" si="6"/>
        <v>232</v>
      </c>
      <c r="K326" s="21">
        <v>16.0</v>
      </c>
      <c r="L326" s="14" t="s">
        <v>108</v>
      </c>
      <c r="M326" s="8">
        <v>-6.0E-9</v>
      </c>
      <c r="N326" s="8">
        <v>43.0</v>
      </c>
      <c r="O326" s="8" t="s">
        <v>105</v>
      </c>
      <c r="U326" s="50" t="str">
        <f t="shared" si="7"/>
        <v/>
      </c>
      <c r="V326" s="14"/>
      <c r="W326" s="8"/>
    </row>
    <row r="327">
      <c r="A327" s="62">
        <f>Scores!A337</f>
        <v>326</v>
      </c>
      <c r="B327" s="54" t="str">
        <f>Compilation!D334</f>
        <v>🥇 x26</v>
      </c>
      <c r="C327" s="54">
        <f t="shared" si="1"/>
        <v>-0.000000027</v>
      </c>
      <c r="D327" s="54">
        <f>Compilation!F334</f>
        <v>30</v>
      </c>
      <c r="E327" s="54" t="str">
        <f t="shared" si="2"/>
        <v/>
      </c>
      <c r="F327" s="54">
        <f>Compilation!E334</f>
        <v>-1</v>
      </c>
      <c r="G327" s="54">
        <f>countif(Scores!B337:AG337,D327)</f>
        <v>27</v>
      </c>
      <c r="H327" s="54">
        <f>Compilation!G334</f>
        <v>-1</v>
      </c>
      <c r="J327" s="50">
        <f t="shared" si="6"/>
        <v>232</v>
      </c>
      <c r="K327" s="21">
        <v>377.0</v>
      </c>
      <c r="L327" s="14" t="s">
        <v>108</v>
      </c>
      <c r="M327" s="8">
        <v>-6.0E-9</v>
      </c>
      <c r="N327" s="8">
        <v>55.0</v>
      </c>
      <c r="O327" s="8" t="s">
        <v>105</v>
      </c>
      <c r="U327" s="50" t="str">
        <f t="shared" si="7"/>
        <v/>
      </c>
      <c r="V327" s="14"/>
      <c r="W327" s="8"/>
    </row>
    <row r="328">
      <c r="A328" s="62">
        <f>Scores!A338</f>
        <v>327</v>
      </c>
      <c r="B328" s="54" t="str">
        <f>Compilation!D335</f>
        <v>🥇 x24</v>
      </c>
      <c r="C328" s="54">
        <f t="shared" si="1"/>
        <v>-0.000000025</v>
      </c>
      <c r="D328" s="54">
        <f>Compilation!F335</f>
        <v>67</v>
      </c>
      <c r="E328" s="54" t="str">
        <f t="shared" si="2"/>
        <v/>
      </c>
      <c r="F328" s="54">
        <f>Compilation!E335</f>
        <v>-1</v>
      </c>
      <c r="G328" s="54">
        <f>countif(Scores!B338:AG338,D328)</f>
        <v>25</v>
      </c>
      <c r="H328" s="54">
        <f>Compilation!G335</f>
        <v>-1</v>
      </c>
      <c r="J328" s="50">
        <f t="shared" si="6"/>
        <v>232</v>
      </c>
      <c r="K328" s="21">
        <v>39.0</v>
      </c>
      <c r="L328" s="14" t="s">
        <v>108</v>
      </c>
      <c r="M328" s="8">
        <v>-6.0E-9</v>
      </c>
      <c r="N328" s="8">
        <v>60.0</v>
      </c>
      <c r="O328" s="8" t="s">
        <v>105</v>
      </c>
      <c r="U328" s="50" t="str">
        <f t="shared" si="7"/>
        <v/>
      </c>
      <c r="V328" s="14"/>
      <c r="W328" s="8"/>
    </row>
    <row r="329">
      <c r="A329" s="62">
        <f>Scores!A339</f>
        <v>328</v>
      </c>
      <c r="B329" s="54" t="str">
        <f>Compilation!D336</f>
        <v>💎ox jam</v>
      </c>
      <c r="C329" s="54">
        <f t="shared" si="1"/>
        <v>2</v>
      </c>
      <c r="D329" s="54">
        <f>Compilation!F336</f>
        <v>158</v>
      </c>
      <c r="E329" s="54">
        <f t="shared" si="2"/>
        <v>160</v>
      </c>
      <c r="F329" s="54">
        <f>Compilation!E336</f>
        <v>158</v>
      </c>
      <c r="G329" s="54">
        <f>countif(Scores!B339:AG339,D329)</f>
        <v>2</v>
      </c>
      <c r="H329" s="54">
        <f>Compilation!G336</f>
        <v>160</v>
      </c>
      <c r="J329" s="50">
        <f t="shared" si="6"/>
        <v>232</v>
      </c>
      <c r="K329" s="21">
        <v>111.0</v>
      </c>
      <c r="L329" s="14" t="s">
        <v>108</v>
      </c>
      <c r="M329" s="8">
        <v>-6.0E-9</v>
      </c>
      <c r="N329" s="8">
        <v>60.0</v>
      </c>
      <c r="O329" s="8" t="s">
        <v>105</v>
      </c>
      <c r="U329" s="50" t="str">
        <f t="shared" si="7"/>
        <v/>
      </c>
      <c r="V329" s="14"/>
      <c r="W329" s="8"/>
    </row>
    <row r="330">
      <c r="A330" s="62">
        <f>Scores!A340</f>
        <v>329</v>
      </c>
      <c r="B330" s="54" t="str">
        <f>Compilation!D337</f>
        <v>🥇 x22</v>
      </c>
      <c r="C330" s="54">
        <f t="shared" si="1"/>
        <v>-0.000000023</v>
      </c>
      <c r="D330" s="54">
        <f>Compilation!F337</f>
        <v>54</v>
      </c>
      <c r="E330" s="54" t="str">
        <f t="shared" si="2"/>
        <v/>
      </c>
      <c r="F330" s="54">
        <f>Compilation!E337</f>
        <v>-1</v>
      </c>
      <c r="G330" s="54">
        <f>countif(Scores!B340:AG340,D330)</f>
        <v>23</v>
      </c>
      <c r="H330" s="54">
        <f>Compilation!G337</f>
        <v>-1</v>
      </c>
      <c r="J330" s="50">
        <f t="shared" si="6"/>
        <v>232</v>
      </c>
      <c r="K330" s="21">
        <v>186.0</v>
      </c>
      <c r="L330" s="14" t="s">
        <v>108</v>
      </c>
      <c r="M330" s="8">
        <v>-6.0E-9</v>
      </c>
      <c r="N330" s="8">
        <v>60.0</v>
      </c>
      <c r="O330" s="8" t="s">
        <v>105</v>
      </c>
      <c r="U330" s="50" t="str">
        <f t="shared" si="7"/>
        <v/>
      </c>
      <c r="V330" s="14"/>
      <c r="W330" s="8"/>
    </row>
    <row r="331">
      <c r="A331" s="62">
        <f>Scores!A341</f>
        <v>330</v>
      </c>
      <c r="B331" s="54" t="str">
        <f>Compilation!D338</f>
        <v>💎ox jam</v>
      </c>
      <c r="C331" s="54">
        <f t="shared" si="1"/>
        <v>4</v>
      </c>
      <c r="D331" s="54">
        <f>Compilation!F338</f>
        <v>110</v>
      </c>
      <c r="E331" s="54">
        <f t="shared" si="2"/>
        <v>114</v>
      </c>
      <c r="F331" s="54">
        <f>Compilation!E338</f>
        <v>110</v>
      </c>
      <c r="G331" s="54">
        <f>countif(Scores!B341:AG341,D331)</f>
        <v>2</v>
      </c>
      <c r="H331" s="54">
        <f>Compilation!G338</f>
        <v>114</v>
      </c>
      <c r="J331" s="50">
        <f t="shared" si="6"/>
        <v>232</v>
      </c>
      <c r="K331" s="21">
        <v>60.0</v>
      </c>
      <c r="L331" s="14" t="s">
        <v>109</v>
      </c>
      <c r="M331" s="8">
        <v>-7.0E-9</v>
      </c>
      <c r="N331" s="8">
        <v>47.0</v>
      </c>
      <c r="O331" s="8" t="s">
        <v>105</v>
      </c>
      <c r="U331" s="50" t="str">
        <f t="shared" si="7"/>
        <v/>
      </c>
      <c r="V331" s="14"/>
      <c r="W331" s="8"/>
    </row>
    <row r="332">
      <c r="A332" s="62">
        <f>Scores!A342</f>
        <v>331</v>
      </c>
      <c r="B332" s="54" t="str">
        <f>Compilation!D339</f>
        <v>🥇 x2</v>
      </c>
      <c r="C332" s="54">
        <f t="shared" si="1"/>
        <v>-0.000000003</v>
      </c>
      <c r="D332" s="54">
        <f>Compilation!F339</f>
        <v>82</v>
      </c>
      <c r="E332" s="54" t="str">
        <f t="shared" si="2"/>
        <v/>
      </c>
      <c r="F332" s="54">
        <f>Compilation!E339</f>
        <v>-1</v>
      </c>
      <c r="G332" s="54">
        <f>countif(Scores!B342:AG342,D332)</f>
        <v>3</v>
      </c>
      <c r="H332" s="54">
        <f>Compilation!G339</f>
        <v>-1</v>
      </c>
      <c r="J332" s="50">
        <f t="shared" si="6"/>
        <v>232</v>
      </c>
      <c r="K332" s="21">
        <v>178.0</v>
      </c>
      <c r="L332" s="14" t="s">
        <v>109</v>
      </c>
      <c r="M332" s="8">
        <v>-7.0E-9</v>
      </c>
      <c r="N332" s="8">
        <v>47.0</v>
      </c>
      <c r="O332" s="8" t="s">
        <v>105</v>
      </c>
      <c r="U332" s="50" t="str">
        <f t="shared" si="7"/>
        <v/>
      </c>
      <c r="V332" s="14"/>
      <c r="W332" s="8"/>
    </row>
    <row r="333">
      <c r="A333" s="62">
        <f>Scores!A343</f>
        <v>332</v>
      </c>
      <c r="B333" s="54" t="str">
        <f>Compilation!D340</f>
        <v>🥇 x3</v>
      </c>
      <c r="C333" s="54">
        <f t="shared" si="1"/>
        <v>-0.000000004</v>
      </c>
      <c r="D333" s="54">
        <f>Compilation!F340</f>
        <v>58</v>
      </c>
      <c r="E333" s="54" t="str">
        <f t="shared" si="2"/>
        <v/>
      </c>
      <c r="F333" s="54">
        <f>Compilation!E340</f>
        <v>-1</v>
      </c>
      <c r="G333" s="54">
        <f>countif(Scores!B343:AG343,D333)</f>
        <v>4</v>
      </c>
      <c r="H333" s="54">
        <f>Compilation!G340</f>
        <v>-1</v>
      </c>
      <c r="J333" s="50">
        <f t="shared" si="6"/>
        <v>232</v>
      </c>
      <c r="K333" s="21">
        <v>315.0</v>
      </c>
      <c r="L333" s="14" t="s">
        <v>110</v>
      </c>
      <c r="M333" s="8">
        <v>-8.0E-9</v>
      </c>
      <c r="N333" s="8">
        <v>63.0</v>
      </c>
      <c r="O333" s="8" t="s">
        <v>105</v>
      </c>
      <c r="U333" s="50" t="str">
        <f t="shared" si="7"/>
        <v/>
      </c>
      <c r="V333" s="14"/>
      <c r="W333" s="8"/>
    </row>
    <row r="334">
      <c r="A334" s="62">
        <f>Scores!A344</f>
        <v>333</v>
      </c>
      <c r="B334" s="54" t="str">
        <f>Compilation!D341</f>
        <v>💎Code Golf International</v>
      </c>
      <c r="C334" s="54">
        <f t="shared" si="1"/>
        <v>6</v>
      </c>
      <c r="D334" s="54">
        <f>Compilation!F341</f>
        <v>83</v>
      </c>
      <c r="E334" s="54">
        <f t="shared" si="2"/>
        <v>89</v>
      </c>
      <c r="F334" s="54">
        <f>Compilation!E341</f>
        <v>83</v>
      </c>
      <c r="G334" s="54">
        <f>countif(Scores!B344:AG344,D334)</f>
        <v>2</v>
      </c>
      <c r="H334" s="54">
        <f>Compilation!G341</f>
        <v>89</v>
      </c>
      <c r="J334" s="50">
        <f t="shared" si="6"/>
        <v>232</v>
      </c>
      <c r="K334" s="21">
        <v>49.0</v>
      </c>
      <c r="L334" s="14" t="s">
        <v>110</v>
      </c>
      <c r="M334" s="8">
        <v>-8.0E-9</v>
      </c>
      <c r="N334" s="8">
        <v>81.0</v>
      </c>
      <c r="O334" s="8" t="s">
        <v>105</v>
      </c>
      <c r="U334" s="50" t="str">
        <f t="shared" si="7"/>
        <v/>
      </c>
      <c r="V334" s="14"/>
      <c r="W334" s="8"/>
    </row>
    <row r="335">
      <c r="A335" s="62">
        <f>Scores!A345</f>
        <v>334</v>
      </c>
      <c r="B335" s="54" t="str">
        <f>Compilation!D342</f>
        <v>💎Code Golf International</v>
      </c>
      <c r="C335" s="54">
        <f t="shared" si="1"/>
        <v>1</v>
      </c>
      <c r="D335" s="54">
        <f>Compilation!F342</f>
        <v>65</v>
      </c>
      <c r="E335" s="54">
        <f t="shared" si="2"/>
        <v>66</v>
      </c>
      <c r="F335" s="54">
        <f>Compilation!E342</f>
        <v>65</v>
      </c>
      <c r="G335" s="54">
        <f>countif(Scores!B345:AG345,D335)</f>
        <v>2</v>
      </c>
      <c r="H335" s="54">
        <f>Compilation!G342</f>
        <v>66</v>
      </c>
      <c r="J335" s="50">
        <f t="shared" si="6"/>
        <v>232</v>
      </c>
      <c r="K335" s="21">
        <v>373.0</v>
      </c>
      <c r="L335" s="14" t="s">
        <v>111</v>
      </c>
      <c r="M335" s="8">
        <v>-9.0E-9</v>
      </c>
      <c r="N335" s="8">
        <v>38.0</v>
      </c>
      <c r="O335" s="8" t="s">
        <v>105</v>
      </c>
      <c r="U335" s="50" t="str">
        <f t="shared" si="7"/>
        <v/>
      </c>
      <c r="V335" s="14"/>
      <c r="W335" s="8"/>
    </row>
    <row r="336">
      <c r="A336" s="62">
        <f>Scores!A346</f>
        <v>335</v>
      </c>
      <c r="B336" s="54" t="str">
        <f>Compilation!D343</f>
        <v>💎jailctf merger</v>
      </c>
      <c r="C336" s="54">
        <f t="shared" si="1"/>
        <v>1</v>
      </c>
      <c r="D336" s="54">
        <f>Compilation!F343</f>
        <v>105</v>
      </c>
      <c r="E336" s="54">
        <f t="shared" si="2"/>
        <v>106</v>
      </c>
      <c r="F336" s="54">
        <f>Compilation!E343</f>
        <v>105</v>
      </c>
      <c r="G336" s="54">
        <f>countif(Scores!B346:AG346,D336)</f>
        <v>2</v>
      </c>
      <c r="H336" s="54">
        <f>Compilation!G343</f>
        <v>106</v>
      </c>
      <c r="J336" s="50">
        <f t="shared" si="6"/>
        <v>232</v>
      </c>
      <c r="K336" s="21">
        <v>267.0</v>
      </c>
      <c r="L336" s="14" t="s">
        <v>111</v>
      </c>
      <c r="M336" s="8">
        <v>-9.0E-9</v>
      </c>
      <c r="N336" s="8">
        <v>46.0</v>
      </c>
      <c r="O336" s="8" t="s">
        <v>105</v>
      </c>
      <c r="U336" s="50" t="str">
        <f t="shared" si="7"/>
        <v/>
      </c>
      <c r="V336" s="14"/>
      <c r="W336" s="8"/>
    </row>
    <row r="337">
      <c r="A337" s="62">
        <f>Scores!A347</f>
        <v>336</v>
      </c>
      <c r="B337" s="54" t="str">
        <f>Compilation!D344</f>
        <v>💎jailctf merger</v>
      </c>
      <c r="C337" s="54">
        <f t="shared" si="1"/>
        <v>2</v>
      </c>
      <c r="D337" s="54">
        <f>Compilation!F344</f>
        <v>86</v>
      </c>
      <c r="E337" s="54">
        <f t="shared" si="2"/>
        <v>88</v>
      </c>
      <c r="F337" s="54">
        <f>Compilation!E344</f>
        <v>86</v>
      </c>
      <c r="G337" s="54">
        <f>countif(Scores!B347:AG347,D337)</f>
        <v>1</v>
      </c>
      <c r="H337" s="54">
        <f>Compilation!G344</f>
        <v>88</v>
      </c>
      <c r="J337" s="50">
        <f t="shared" si="6"/>
        <v>232</v>
      </c>
      <c r="K337" s="21">
        <v>203.0</v>
      </c>
      <c r="L337" s="14" t="s">
        <v>111</v>
      </c>
      <c r="M337" s="8">
        <v>-9.0E-9</v>
      </c>
      <c r="N337" s="8">
        <v>64.0</v>
      </c>
      <c r="O337" s="8" t="s">
        <v>105</v>
      </c>
      <c r="U337" s="50" t="str">
        <f t="shared" si="7"/>
        <v/>
      </c>
      <c r="V337" s="14"/>
      <c r="W337" s="8"/>
    </row>
    <row r="338">
      <c r="A338" s="62">
        <f>Scores!A348</f>
        <v>337</v>
      </c>
      <c r="B338" s="54" t="str">
        <f>Compilation!D345</f>
        <v>🥇 x3</v>
      </c>
      <c r="C338" s="54">
        <f t="shared" si="1"/>
        <v>-0.000000004</v>
      </c>
      <c r="D338" s="54">
        <f>Compilation!F345</f>
        <v>43</v>
      </c>
      <c r="E338" s="54" t="str">
        <f t="shared" si="2"/>
        <v/>
      </c>
      <c r="F338" s="54">
        <f>Compilation!E345</f>
        <v>-1</v>
      </c>
      <c r="G338" s="54">
        <f>countif(Scores!B348:AG348,D338)</f>
        <v>4</v>
      </c>
      <c r="H338" s="54">
        <f>Compilation!G345</f>
        <v>-1</v>
      </c>
      <c r="J338" s="50">
        <f t="shared" si="6"/>
        <v>232</v>
      </c>
      <c r="K338" s="21">
        <v>181.0</v>
      </c>
      <c r="L338" s="14" t="s">
        <v>111</v>
      </c>
      <c r="M338" s="8">
        <v>-9.0E-9</v>
      </c>
      <c r="N338" s="8">
        <v>67.0</v>
      </c>
      <c r="O338" s="8" t="s">
        <v>105</v>
      </c>
      <c r="U338" s="50" t="str">
        <f t="shared" si="7"/>
        <v/>
      </c>
      <c r="V338" s="14"/>
      <c r="W338" s="8"/>
    </row>
    <row r="339">
      <c r="A339" s="62">
        <f>Scores!A349</f>
        <v>338</v>
      </c>
      <c r="B339" s="54" t="str">
        <f>Compilation!D346</f>
        <v>💎jailctf merger</v>
      </c>
      <c r="C339" s="54">
        <f t="shared" si="1"/>
        <v>2</v>
      </c>
      <c r="D339" s="54">
        <f>Compilation!F346</f>
        <v>62</v>
      </c>
      <c r="E339" s="54">
        <f t="shared" si="2"/>
        <v>64</v>
      </c>
      <c r="F339" s="54">
        <f>Compilation!E346</f>
        <v>62</v>
      </c>
      <c r="G339" s="54">
        <f>countif(Scores!B349:AG349,D339)</f>
        <v>2</v>
      </c>
      <c r="H339" s="54">
        <f>Compilation!G346</f>
        <v>64</v>
      </c>
      <c r="J339" s="50">
        <f t="shared" si="6"/>
        <v>232</v>
      </c>
      <c r="K339" s="21">
        <v>312.0</v>
      </c>
      <c r="L339" s="14" t="s">
        <v>112</v>
      </c>
      <c r="M339" s="8">
        <v>-1.0E-8</v>
      </c>
      <c r="N339" s="8">
        <v>44.0</v>
      </c>
      <c r="O339" s="8" t="s">
        <v>105</v>
      </c>
      <c r="U339" s="50" t="str">
        <f t="shared" si="7"/>
        <v/>
      </c>
      <c r="V339" s="14"/>
      <c r="W339" s="8"/>
    </row>
    <row r="340">
      <c r="A340" s="62">
        <f>Scores!A350</f>
        <v>339</v>
      </c>
      <c r="B340" s="54" t="str">
        <f>Compilation!D347</f>
        <v>🥇 x27</v>
      </c>
      <c r="C340" s="54">
        <f t="shared" si="1"/>
        <v>-0.000000028</v>
      </c>
      <c r="D340" s="54">
        <f>Compilation!F347</f>
        <v>37</v>
      </c>
      <c r="E340" s="54" t="str">
        <f t="shared" si="2"/>
        <v/>
      </c>
      <c r="F340" s="54">
        <f>Compilation!E347</f>
        <v>-1</v>
      </c>
      <c r="G340" s="54">
        <f>countif(Scores!B350:AG350,D340)</f>
        <v>28</v>
      </c>
      <c r="H340" s="54">
        <f>Compilation!G347</f>
        <v>-1</v>
      </c>
      <c r="J340" s="50">
        <f t="shared" si="6"/>
        <v>232</v>
      </c>
      <c r="K340" s="21">
        <v>171.0</v>
      </c>
      <c r="L340" s="14" t="s">
        <v>112</v>
      </c>
      <c r="M340" s="8">
        <v>-1.0E-8</v>
      </c>
      <c r="N340" s="8">
        <v>51.0</v>
      </c>
      <c r="O340" s="8" t="s">
        <v>105</v>
      </c>
      <c r="U340" s="50" t="str">
        <f t="shared" si="7"/>
        <v/>
      </c>
      <c r="V340" s="14"/>
      <c r="W340" s="8"/>
    </row>
    <row r="341">
      <c r="A341" s="62">
        <f>Scores!A351</f>
        <v>340</v>
      </c>
      <c r="B341" s="54" t="str">
        <f>Compilation!D348</f>
        <v>💎jailctf merger</v>
      </c>
      <c r="C341" s="54">
        <f t="shared" si="1"/>
        <v>1</v>
      </c>
      <c r="D341" s="54">
        <f>Compilation!F348</f>
        <v>111</v>
      </c>
      <c r="E341" s="54">
        <f t="shared" si="2"/>
        <v>112</v>
      </c>
      <c r="F341" s="54">
        <f>Compilation!E348</f>
        <v>111</v>
      </c>
      <c r="G341" s="54">
        <f>countif(Scores!B351:AG351,D341)</f>
        <v>2</v>
      </c>
      <c r="H341" s="54">
        <f>Compilation!G348</f>
        <v>112</v>
      </c>
      <c r="J341" s="50">
        <f t="shared" si="6"/>
        <v>232</v>
      </c>
      <c r="K341" s="21">
        <v>126.0</v>
      </c>
      <c r="L341" s="14" t="s">
        <v>112</v>
      </c>
      <c r="M341" s="8">
        <v>-1.0E-8</v>
      </c>
      <c r="N341" s="8">
        <v>54.0</v>
      </c>
      <c r="O341" s="8" t="s">
        <v>105</v>
      </c>
      <c r="U341" s="50" t="str">
        <f t="shared" si="7"/>
        <v/>
      </c>
      <c r="V341" s="14"/>
      <c r="W341" s="8"/>
    </row>
    <row r="342">
      <c r="A342" s="62">
        <f>Scores!A352</f>
        <v>341</v>
      </c>
      <c r="B342" s="54" t="str">
        <f>Compilation!D349</f>
        <v>💎Code Golf International</v>
      </c>
      <c r="C342" s="54">
        <f t="shared" si="1"/>
        <v>6</v>
      </c>
      <c r="D342" s="54">
        <f>Compilation!F349</f>
        <v>108</v>
      </c>
      <c r="E342" s="54">
        <f t="shared" si="2"/>
        <v>114</v>
      </c>
      <c r="F342" s="54">
        <f>Compilation!E349</f>
        <v>108</v>
      </c>
      <c r="G342" s="54">
        <f>countif(Scores!B352:AG352,D342)</f>
        <v>2</v>
      </c>
      <c r="H342" s="54">
        <f>Compilation!G349</f>
        <v>114</v>
      </c>
      <c r="J342" s="50">
        <f t="shared" si="6"/>
        <v>232</v>
      </c>
      <c r="K342" s="21">
        <v>295.0</v>
      </c>
      <c r="L342" s="14" t="s">
        <v>112</v>
      </c>
      <c r="M342" s="8">
        <v>-1.0E-8</v>
      </c>
      <c r="N342" s="8">
        <v>54.0</v>
      </c>
      <c r="O342" s="8" t="s">
        <v>105</v>
      </c>
      <c r="U342" s="50" t="str">
        <f t="shared" si="7"/>
        <v/>
      </c>
      <c r="V342" s="14"/>
      <c r="W342" s="8"/>
    </row>
    <row r="343">
      <c r="A343" s="62">
        <f>Scores!A353</f>
        <v>342</v>
      </c>
      <c r="B343" s="54" t="str">
        <f>Compilation!D350</f>
        <v>💎jailctf merger</v>
      </c>
      <c r="C343" s="54">
        <f t="shared" si="1"/>
        <v>1</v>
      </c>
      <c r="D343" s="54">
        <f>Compilation!F350</f>
        <v>106</v>
      </c>
      <c r="E343" s="54">
        <f t="shared" si="2"/>
        <v>107</v>
      </c>
      <c r="F343" s="54">
        <f>Compilation!E350</f>
        <v>106</v>
      </c>
      <c r="G343" s="54">
        <f>countif(Scores!B353:AG353,D343)</f>
        <v>2</v>
      </c>
      <c r="H343" s="54">
        <f>Compilation!G350</f>
        <v>107</v>
      </c>
      <c r="J343" s="50">
        <f t="shared" si="6"/>
        <v>232</v>
      </c>
      <c r="K343" s="21">
        <v>47.0</v>
      </c>
      <c r="L343" s="14" t="s">
        <v>112</v>
      </c>
      <c r="M343" s="8">
        <v>-1.0E-8</v>
      </c>
      <c r="N343" s="8">
        <v>55.0</v>
      </c>
      <c r="O343" s="8" t="s">
        <v>105</v>
      </c>
      <c r="U343" s="50" t="str">
        <f t="shared" si="7"/>
        <v/>
      </c>
      <c r="V343" s="14"/>
      <c r="W343" s="8"/>
    </row>
    <row r="344">
      <c r="A344" s="62">
        <f>Scores!A354</f>
        <v>343</v>
      </c>
      <c r="B344" s="54" t="str">
        <f>Compilation!D351</f>
        <v>💎jailctf merger</v>
      </c>
      <c r="C344" s="54">
        <f t="shared" si="1"/>
        <v>1</v>
      </c>
      <c r="D344" s="54">
        <f>Compilation!F351</f>
        <v>63</v>
      </c>
      <c r="E344" s="54">
        <f t="shared" si="2"/>
        <v>64</v>
      </c>
      <c r="F344" s="54">
        <f>Compilation!E351</f>
        <v>63</v>
      </c>
      <c r="G344" s="54">
        <f>countif(Scores!B354:AG354,D344)</f>
        <v>2</v>
      </c>
      <c r="H344" s="54">
        <f>Compilation!G351</f>
        <v>64</v>
      </c>
      <c r="J344" s="50">
        <f t="shared" si="6"/>
        <v>232</v>
      </c>
      <c r="K344" s="21">
        <v>389.0</v>
      </c>
      <c r="L344" s="14" t="s">
        <v>112</v>
      </c>
      <c r="M344" s="8">
        <v>-1.0E-8</v>
      </c>
      <c r="N344" s="8">
        <v>57.0</v>
      </c>
      <c r="O344" s="8" t="s">
        <v>105</v>
      </c>
      <c r="U344" s="50" t="str">
        <f t="shared" si="7"/>
        <v/>
      </c>
      <c r="V344" s="14"/>
      <c r="W344" s="8"/>
    </row>
    <row r="345">
      <c r="A345" s="62">
        <f>Scores!A355</f>
        <v>344</v>
      </c>
      <c r="B345" s="54" t="str">
        <f>Compilation!D352</f>
        <v>💎ox jam</v>
      </c>
      <c r="C345" s="54">
        <f t="shared" si="1"/>
        <v>3</v>
      </c>
      <c r="D345" s="54">
        <f>Compilation!F352</f>
        <v>74</v>
      </c>
      <c r="E345" s="54">
        <f t="shared" si="2"/>
        <v>77</v>
      </c>
      <c r="F345" s="54">
        <f>Compilation!E352</f>
        <v>74</v>
      </c>
      <c r="G345" s="54">
        <f>countif(Scores!B355:AG355,D345)</f>
        <v>2</v>
      </c>
      <c r="H345" s="54">
        <f>Compilation!G352</f>
        <v>77</v>
      </c>
      <c r="J345" s="50">
        <f t="shared" si="6"/>
        <v>232</v>
      </c>
      <c r="K345" s="21">
        <v>84.0</v>
      </c>
      <c r="L345" s="14" t="s">
        <v>112</v>
      </c>
      <c r="M345" s="8">
        <v>-1.0E-8</v>
      </c>
      <c r="N345" s="8">
        <v>62.0</v>
      </c>
      <c r="O345" s="8" t="s">
        <v>105</v>
      </c>
      <c r="U345" s="50" t="str">
        <f t="shared" si="7"/>
        <v/>
      </c>
      <c r="V345" s="14"/>
      <c r="W345" s="8"/>
    </row>
    <row r="346">
      <c r="A346" s="62">
        <f>Scores!A356</f>
        <v>345</v>
      </c>
      <c r="B346" s="54" t="str">
        <f>Compilation!D353</f>
        <v>💎ox jam</v>
      </c>
      <c r="C346" s="54">
        <f t="shared" si="1"/>
        <v>1</v>
      </c>
      <c r="D346" s="54">
        <f>Compilation!F353</f>
        <v>89</v>
      </c>
      <c r="E346" s="54">
        <f t="shared" si="2"/>
        <v>90</v>
      </c>
      <c r="F346" s="54">
        <f>Compilation!E353</f>
        <v>89</v>
      </c>
      <c r="G346" s="54">
        <f>countif(Scores!B356:AG356,D346)</f>
        <v>2</v>
      </c>
      <c r="H346" s="54">
        <f>Compilation!G353</f>
        <v>90</v>
      </c>
      <c r="J346" s="50">
        <f t="shared" si="6"/>
        <v>232</v>
      </c>
      <c r="K346" s="21">
        <v>294.0</v>
      </c>
      <c r="L346" s="14" t="s">
        <v>112</v>
      </c>
      <c r="M346" s="8">
        <v>-1.0E-8</v>
      </c>
      <c r="N346" s="8">
        <v>70.0</v>
      </c>
      <c r="O346" s="8" t="s">
        <v>105</v>
      </c>
      <c r="U346" s="50" t="str">
        <f t="shared" si="7"/>
        <v/>
      </c>
      <c r="V346" s="14"/>
      <c r="W346" s="8"/>
    </row>
    <row r="347">
      <c r="A347" s="62">
        <f>Scores!A357</f>
        <v>346</v>
      </c>
      <c r="B347" s="54" t="str">
        <f>Compilation!D354</f>
        <v>💎ox jam</v>
      </c>
      <c r="C347" s="54">
        <f t="shared" si="1"/>
        <v>3</v>
      </c>
      <c r="D347" s="54">
        <f>Compilation!F354</f>
        <v>52</v>
      </c>
      <c r="E347" s="54">
        <f t="shared" si="2"/>
        <v>55</v>
      </c>
      <c r="F347" s="54">
        <f>Compilation!E354</f>
        <v>52</v>
      </c>
      <c r="G347" s="54">
        <f>countif(Scores!B357:AG357,D347)</f>
        <v>2</v>
      </c>
      <c r="H347" s="54">
        <f>Compilation!G354</f>
        <v>55</v>
      </c>
      <c r="J347" s="50">
        <f t="shared" si="6"/>
        <v>232</v>
      </c>
      <c r="K347" s="21">
        <v>24.0</v>
      </c>
      <c r="L347" s="14" t="s">
        <v>113</v>
      </c>
      <c r="M347" s="8">
        <v>-1.1E-8</v>
      </c>
      <c r="N347" s="8">
        <v>62.0</v>
      </c>
      <c r="O347" s="8" t="s">
        <v>105</v>
      </c>
      <c r="U347" s="50" t="str">
        <f t="shared" si="7"/>
        <v/>
      </c>
      <c r="V347" s="14"/>
      <c r="W347" s="8"/>
    </row>
    <row r="348">
      <c r="A348" s="62">
        <f>Scores!A358</f>
        <v>347</v>
      </c>
      <c r="B348" s="54" t="str">
        <f>Compilation!D355</f>
        <v>🥇 x11</v>
      </c>
      <c r="C348" s="54">
        <f t="shared" si="1"/>
        <v>-0.000000012</v>
      </c>
      <c r="D348" s="54">
        <f>Compilation!F355</f>
        <v>50</v>
      </c>
      <c r="E348" s="54" t="str">
        <f t="shared" si="2"/>
        <v/>
      </c>
      <c r="F348" s="54">
        <f>Compilation!E355</f>
        <v>-1</v>
      </c>
      <c r="G348" s="54">
        <f>countif(Scores!B358:AG358,D348)</f>
        <v>12</v>
      </c>
      <c r="H348" s="54">
        <f>Compilation!G355</f>
        <v>-1</v>
      </c>
      <c r="J348" s="50">
        <f t="shared" si="6"/>
        <v>232</v>
      </c>
      <c r="K348" s="21">
        <v>304.0</v>
      </c>
      <c r="L348" s="14" t="s">
        <v>113</v>
      </c>
      <c r="M348" s="8">
        <v>-1.1E-8</v>
      </c>
      <c r="N348" s="8">
        <v>92.0</v>
      </c>
      <c r="O348" s="8" t="s">
        <v>105</v>
      </c>
      <c r="U348" s="50" t="str">
        <f t="shared" si="7"/>
        <v/>
      </c>
      <c r="V348" s="14"/>
      <c r="W348" s="8"/>
    </row>
    <row r="349">
      <c r="A349" s="62">
        <f>Scores!A359</f>
        <v>348</v>
      </c>
      <c r="B349" s="54" t="str">
        <f>Compilation!D356</f>
        <v>💎Code Golf International</v>
      </c>
      <c r="C349" s="54">
        <f t="shared" si="1"/>
        <v>4</v>
      </c>
      <c r="D349" s="54">
        <f>Compilation!F356</f>
        <v>88</v>
      </c>
      <c r="E349" s="54">
        <f t="shared" si="2"/>
        <v>92</v>
      </c>
      <c r="F349" s="54">
        <f>Compilation!E356</f>
        <v>88</v>
      </c>
      <c r="G349" s="54">
        <f>countif(Scores!B359:AG359,D349)</f>
        <v>2</v>
      </c>
      <c r="H349" s="54">
        <f>Compilation!G356</f>
        <v>92</v>
      </c>
      <c r="J349" s="50">
        <f t="shared" si="6"/>
        <v>232</v>
      </c>
      <c r="K349" s="21">
        <v>262.0</v>
      </c>
      <c r="L349" s="14" t="s">
        <v>114</v>
      </c>
      <c r="M349" s="8">
        <v>-1.2E-8</v>
      </c>
      <c r="N349" s="8">
        <v>39.0</v>
      </c>
      <c r="O349" s="8" t="s">
        <v>105</v>
      </c>
      <c r="U349" s="50" t="str">
        <f t="shared" si="7"/>
        <v/>
      </c>
      <c r="V349" s="14"/>
      <c r="W349" s="8"/>
    </row>
    <row r="350">
      <c r="A350" s="62">
        <f>Scores!A360</f>
        <v>349</v>
      </c>
      <c r="B350" s="54" t="str">
        <f>Compilation!D357</f>
        <v>💎Code Golf International</v>
      </c>
      <c r="C350" s="54">
        <f t="shared" si="1"/>
        <v>20</v>
      </c>
      <c r="D350" s="54">
        <f>Compilation!F357</f>
        <v>172</v>
      </c>
      <c r="E350" s="54">
        <f t="shared" si="2"/>
        <v>192</v>
      </c>
      <c r="F350" s="54">
        <f>Compilation!E357</f>
        <v>172</v>
      </c>
      <c r="G350" s="54">
        <f>countif(Scores!B360:AG360,D350)</f>
        <v>1</v>
      </c>
      <c r="H350" s="54">
        <f>Compilation!G357</f>
        <v>192</v>
      </c>
      <c r="J350" s="50">
        <f t="shared" si="6"/>
        <v>232</v>
      </c>
      <c r="K350" s="21">
        <v>347.0</v>
      </c>
      <c r="L350" s="14" t="s">
        <v>114</v>
      </c>
      <c r="M350" s="8">
        <v>-1.2E-8</v>
      </c>
      <c r="N350" s="8">
        <v>50.0</v>
      </c>
      <c r="O350" s="8" t="s">
        <v>105</v>
      </c>
      <c r="U350" s="50" t="str">
        <f t="shared" si="7"/>
        <v/>
      </c>
      <c r="V350" s="14"/>
      <c r="W350" s="8"/>
    </row>
    <row r="351">
      <c r="A351" s="62">
        <f>Scores!A361</f>
        <v>350</v>
      </c>
      <c r="B351" s="54" t="str">
        <f>Compilation!D358</f>
        <v>💎ox jam</v>
      </c>
      <c r="C351" s="54">
        <f t="shared" si="1"/>
        <v>2</v>
      </c>
      <c r="D351" s="54">
        <f>Compilation!F358</f>
        <v>89</v>
      </c>
      <c r="E351" s="54">
        <f t="shared" si="2"/>
        <v>91</v>
      </c>
      <c r="F351" s="54">
        <f>Compilation!E358</f>
        <v>89</v>
      </c>
      <c r="G351" s="54">
        <f>countif(Scores!B361:AG361,D351)</f>
        <v>2</v>
      </c>
      <c r="H351" s="54">
        <f>Compilation!G358</f>
        <v>91</v>
      </c>
      <c r="J351" s="50">
        <f t="shared" si="6"/>
        <v>232</v>
      </c>
      <c r="K351" s="21">
        <v>3.0</v>
      </c>
      <c r="L351" s="14" t="s">
        <v>114</v>
      </c>
      <c r="M351" s="8">
        <v>-1.2E-8</v>
      </c>
      <c r="N351" s="8">
        <v>58.0</v>
      </c>
      <c r="O351" s="8" t="s">
        <v>105</v>
      </c>
      <c r="U351" s="50" t="str">
        <f t="shared" si="7"/>
        <v/>
      </c>
      <c r="V351" s="14"/>
      <c r="W351" s="8"/>
    </row>
    <row r="352">
      <c r="A352" s="62">
        <f>Scores!A362</f>
        <v>351</v>
      </c>
      <c r="B352" s="54" t="str">
        <f>Compilation!D359</f>
        <v>💎ox jam</v>
      </c>
      <c r="C352" s="54">
        <f t="shared" si="1"/>
        <v>1</v>
      </c>
      <c r="D352" s="54">
        <f>Compilation!F359</f>
        <v>66</v>
      </c>
      <c r="E352" s="54">
        <f t="shared" si="2"/>
        <v>67</v>
      </c>
      <c r="F352" s="54">
        <f>Compilation!E359</f>
        <v>66</v>
      </c>
      <c r="G352" s="54">
        <f>countif(Scores!B362:AG362,D352)</f>
        <v>2</v>
      </c>
      <c r="H352" s="54">
        <f>Compilation!G359</f>
        <v>67</v>
      </c>
      <c r="J352" s="50">
        <f t="shared" si="6"/>
        <v>232</v>
      </c>
      <c r="K352" s="21">
        <v>229.0</v>
      </c>
      <c r="L352" s="14" t="s">
        <v>114</v>
      </c>
      <c r="M352" s="8">
        <v>-1.2E-8</v>
      </c>
      <c r="N352" s="8">
        <v>73.0</v>
      </c>
      <c r="O352" s="8" t="s">
        <v>105</v>
      </c>
      <c r="U352" s="50" t="str">
        <f t="shared" si="7"/>
        <v/>
      </c>
      <c r="V352" s="14"/>
      <c r="W352" s="8"/>
    </row>
    <row r="353">
      <c r="A353" s="62">
        <f>Scores!A363</f>
        <v>352</v>
      </c>
      <c r="B353" s="54" t="str">
        <f>Compilation!D360</f>
        <v>🥇 x3</v>
      </c>
      <c r="C353" s="54">
        <f t="shared" si="1"/>
        <v>-0.000000004</v>
      </c>
      <c r="D353" s="54">
        <f>Compilation!F360</f>
        <v>82</v>
      </c>
      <c r="E353" s="54" t="str">
        <f t="shared" si="2"/>
        <v/>
      </c>
      <c r="F353" s="54">
        <f>Compilation!E360</f>
        <v>-1</v>
      </c>
      <c r="G353" s="54">
        <f>countif(Scores!B363:AG363,D353)</f>
        <v>4</v>
      </c>
      <c r="H353" s="54">
        <f>Compilation!G360</f>
        <v>-1</v>
      </c>
      <c r="J353" s="50">
        <f t="shared" si="6"/>
        <v>232</v>
      </c>
      <c r="K353" s="21">
        <v>75.0</v>
      </c>
      <c r="L353" s="14" t="s">
        <v>114</v>
      </c>
      <c r="M353" s="8">
        <v>-1.2E-8</v>
      </c>
      <c r="N353" s="8">
        <v>86.0</v>
      </c>
      <c r="O353" s="8" t="s">
        <v>105</v>
      </c>
      <c r="U353" s="50" t="str">
        <f t="shared" si="7"/>
        <v/>
      </c>
      <c r="V353" s="14"/>
      <c r="W353" s="8"/>
    </row>
    <row r="354">
      <c r="A354" s="62">
        <f>Scores!A364</f>
        <v>353</v>
      </c>
      <c r="B354" s="54" t="str">
        <f>Compilation!D361</f>
        <v>🥇 x2</v>
      </c>
      <c r="C354" s="54">
        <f t="shared" si="1"/>
        <v>-0.000000003</v>
      </c>
      <c r="D354" s="54">
        <f>Compilation!F361</f>
        <v>83</v>
      </c>
      <c r="E354" s="54" t="str">
        <f t="shared" si="2"/>
        <v/>
      </c>
      <c r="F354" s="54">
        <f>Compilation!E361</f>
        <v>-1</v>
      </c>
      <c r="G354" s="54">
        <f>countif(Scores!B364:AG364,D354)</f>
        <v>3</v>
      </c>
      <c r="H354" s="54">
        <f>Compilation!G361</f>
        <v>-1</v>
      </c>
      <c r="J354" s="50">
        <f t="shared" si="6"/>
        <v>232</v>
      </c>
      <c r="K354" s="21">
        <v>129.0</v>
      </c>
      <c r="L354" s="14" t="s">
        <v>115</v>
      </c>
      <c r="M354" s="8">
        <v>-1.3E-8</v>
      </c>
      <c r="N354" s="8">
        <v>47.0</v>
      </c>
      <c r="O354" s="8" t="s">
        <v>105</v>
      </c>
      <c r="U354" s="50" t="str">
        <f t="shared" si="7"/>
        <v/>
      </c>
      <c r="V354" s="14"/>
      <c r="W354" s="8"/>
    </row>
    <row r="355">
      <c r="A355" s="62">
        <f>Scores!A365</f>
        <v>354</v>
      </c>
      <c r="B355" s="54" t="str">
        <f>Compilation!D362</f>
        <v>🥇 x2</v>
      </c>
      <c r="C355" s="54">
        <f t="shared" si="1"/>
        <v>-0.000000002</v>
      </c>
      <c r="D355" s="54">
        <f>Compilation!F362</f>
        <v>92</v>
      </c>
      <c r="E355" s="54" t="str">
        <f t="shared" si="2"/>
        <v/>
      </c>
      <c r="F355" s="54">
        <f>Compilation!E362</f>
        <v>-1</v>
      </c>
      <c r="G355" s="54">
        <f>countif(Scores!B365:AG365,D355)</f>
        <v>2</v>
      </c>
      <c r="H355" s="54">
        <f>Compilation!G362</f>
        <v>-1</v>
      </c>
      <c r="J355" s="50">
        <f t="shared" si="6"/>
        <v>232</v>
      </c>
      <c r="K355" s="21">
        <v>45.0</v>
      </c>
      <c r="L355" s="14" t="s">
        <v>116</v>
      </c>
      <c r="M355" s="8">
        <v>-1.4E-8</v>
      </c>
      <c r="N355" s="8">
        <v>45.0</v>
      </c>
      <c r="O355" s="8" t="s">
        <v>105</v>
      </c>
      <c r="U355" s="50" t="str">
        <f t="shared" si="7"/>
        <v/>
      </c>
      <c r="V355" s="14"/>
      <c r="W355" s="8"/>
    </row>
    <row r="356">
      <c r="A356" s="62">
        <f>Scores!A366</f>
        <v>355</v>
      </c>
      <c r="B356" s="54" t="str">
        <f>Compilation!D363</f>
        <v>💎jailctf merger</v>
      </c>
      <c r="C356" s="54">
        <f t="shared" si="1"/>
        <v>3</v>
      </c>
      <c r="D356" s="54">
        <f>Compilation!F363</f>
        <v>95</v>
      </c>
      <c r="E356" s="54">
        <f t="shared" si="2"/>
        <v>98</v>
      </c>
      <c r="F356" s="54">
        <f>Compilation!E363</f>
        <v>95</v>
      </c>
      <c r="G356" s="54">
        <f>countif(Scores!B366:AG366,D356)</f>
        <v>2</v>
      </c>
      <c r="H356" s="54">
        <f>Compilation!G363</f>
        <v>98</v>
      </c>
      <c r="J356" s="50">
        <f t="shared" si="6"/>
        <v>232</v>
      </c>
      <c r="K356" s="21">
        <v>38.0</v>
      </c>
      <c r="L356" s="14" t="s">
        <v>116</v>
      </c>
      <c r="M356" s="8">
        <v>-1.4E-8</v>
      </c>
      <c r="N356" s="8">
        <v>51.0</v>
      </c>
      <c r="O356" s="8" t="s">
        <v>105</v>
      </c>
      <c r="U356" s="50" t="str">
        <f t="shared" si="7"/>
        <v/>
      </c>
      <c r="V356" s="14"/>
      <c r="W356" s="8"/>
    </row>
    <row r="357">
      <c r="A357" s="62">
        <f>Scores!A367</f>
        <v>356</v>
      </c>
      <c r="B357" s="54" t="str">
        <f>Compilation!D364</f>
        <v>💎Code Golf International</v>
      </c>
      <c r="C357" s="54">
        <f t="shared" si="1"/>
        <v>8</v>
      </c>
      <c r="D357" s="54">
        <f>Compilation!F364</f>
        <v>92</v>
      </c>
      <c r="E357" s="54">
        <f t="shared" si="2"/>
        <v>100</v>
      </c>
      <c r="F357" s="54">
        <f>Compilation!E364</f>
        <v>92</v>
      </c>
      <c r="G357" s="54">
        <f>countif(Scores!B367:AG367,D357)</f>
        <v>2</v>
      </c>
      <c r="H357" s="54">
        <f>Compilation!G364</f>
        <v>100</v>
      </c>
      <c r="J357" s="50">
        <f t="shared" si="6"/>
        <v>232</v>
      </c>
      <c r="K357" s="21">
        <v>299.0</v>
      </c>
      <c r="L357" s="14" t="s">
        <v>116</v>
      </c>
      <c r="M357" s="8">
        <v>-1.4E-8</v>
      </c>
      <c r="N357" s="8">
        <v>54.0</v>
      </c>
      <c r="O357" s="8" t="s">
        <v>105</v>
      </c>
      <c r="U357" s="50" t="str">
        <f t="shared" si="7"/>
        <v/>
      </c>
      <c r="V357" s="14"/>
      <c r="W357" s="8"/>
    </row>
    <row r="358">
      <c r="A358" s="62">
        <f>Scores!A368</f>
        <v>357</v>
      </c>
      <c r="B358" s="54" t="str">
        <f>Compilation!D365</f>
        <v>💎LogicLynx</v>
      </c>
      <c r="C358" s="54">
        <f t="shared" si="1"/>
        <v>3</v>
      </c>
      <c r="D358" s="54">
        <f>Compilation!F365</f>
        <v>81</v>
      </c>
      <c r="E358" s="54">
        <f t="shared" si="2"/>
        <v>84</v>
      </c>
      <c r="F358" s="54">
        <f>Compilation!E365</f>
        <v>81</v>
      </c>
      <c r="G358" s="54">
        <f>countif(Scores!B368:AG368,D358)</f>
        <v>2</v>
      </c>
      <c r="H358" s="54">
        <f>Compilation!G365</f>
        <v>84</v>
      </c>
      <c r="J358" s="50">
        <f t="shared" si="6"/>
        <v>232</v>
      </c>
      <c r="K358" s="21">
        <v>146.0</v>
      </c>
      <c r="L358" s="14" t="s">
        <v>116</v>
      </c>
      <c r="M358" s="8">
        <v>-1.4E-8</v>
      </c>
      <c r="N358" s="8">
        <v>58.0</v>
      </c>
      <c r="O358" s="8" t="s">
        <v>105</v>
      </c>
      <c r="U358" s="50" t="str">
        <f t="shared" si="7"/>
        <v/>
      </c>
      <c r="V358" s="14"/>
      <c r="W358" s="8"/>
    </row>
    <row r="359">
      <c r="A359" s="62">
        <f>Scores!A369</f>
        <v>358</v>
      </c>
      <c r="B359" s="54" t="str">
        <f>Compilation!D366</f>
        <v>💎Code Golf International</v>
      </c>
      <c r="C359" s="54">
        <f t="shared" si="1"/>
        <v>1</v>
      </c>
      <c r="D359" s="54">
        <f>Compilation!F366</f>
        <v>90</v>
      </c>
      <c r="E359" s="54">
        <f t="shared" si="2"/>
        <v>91</v>
      </c>
      <c r="F359" s="54">
        <f>Compilation!E366</f>
        <v>90</v>
      </c>
      <c r="G359" s="54">
        <f>countif(Scores!B369:AG369,D359)</f>
        <v>2</v>
      </c>
      <c r="H359" s="54">
        <f>Compilation!G366</f>
        <v>91</v>
      </c>
      <c r="J359" s="50">
        <f t="shared" si="6"/>
        <v>232</v>
      </c>
      <c r="K359" s="21">
        <v>316.0</v>
      </c>
      <c r="L359" s="14" t="s">
        <v>116</v>
      </c>
      <c r="M359" s="8">
        <v>-1.4E-8</v>
      </c>
      <c r="N359" s="8">
        <v>71.0</v>
      </c>
      <c r="O359" s="8" t="s">
        <v>105</v>
      </c>
      <c r="U359" s="50" t="str">
        <f t="shared" si="7"/>
        <v/>
      </c>
      <c r="V359" s="14"/>
      <c r="W359" s="8"/>
    </row>
    <row r="360">
      <c r="A360" s="62">
        <f>Scores!A370</f>
        <v>359</v>
      </c>
      <c r="B360" s="54" t="str">
        <f>Compilation!D367</f>
        <v>🥇 x25</v>
      </c>
      <c r="C360" s="54">
        <f t="shared" si="1"/>
        <v>-0.000000026</v>
      </c>
      <c r="D360" s="54">
        <f>Compilation!F367</f>
        <v>64</v>
      </c>
      <c r="E360" s="54" t="str">
        <f t="shared" si="2"/>
        <v/>
      </c>
      <c r="F360" s="54">
        <f>Compilation!E367</f>
        <v>-1</v>
      </c>
      <c r="G360" s="54">
        <f>countif(Scores!B370:AG370,D360)</f>
        <v>26</v>
      </c>
      <c r="H360" s="54">
        <f>Compilation!G367</f>
        <v>-1</v>
      </c>
      <c r="J360" s="50">
        <f t="shared" si="6"/>
        <v>232</v>
      </c>
      <c r="K360" s="21">
        <v>211.0</v>
      </c>
      <c r="L360" s="14" t="s">
        <v>117</v>
      </c>
      <c r="M360" s="8">
        <v>-1.5E-8</v>
      </c>
      <c r="N360" s="8">
        <v>48.0</v>
      </c>
      <c r="O360" s="8" t="s">
        <v>105</v>
      </c>
      <c r="U360" s="50" t="str">
        <f t="shared" si="7"/>
        <v/>
      </c>
      <c r="V360" s="14"/>
      <c r="W360" s="8"/>
    </row>
    <row r="361">
      <c r="A361" s="62">
        <f>Scores!A371</f>
        <v>360</v>
      </c>
      <c r="B361" s="54" t="str">
        <f>Compilation!D368</f>
        <v>🥇 x19</v>
      </c>
      <c r="C361" s="54">
        <f t="shared" si="1"/>
        <v>-0.00000002</v>
      </c>
      <c r="D361" s="54">
        <f>Compilation!F368</f>
        <v>45</v>
      </c>
      <c r="E361" s="54" t="str">
        <f t="shared" si="2"/>
        <v/>
      </c>
      <c r="F361" s="54">
        <f>Compilation!E368</f>
        <v>-1</v>
      </c>
      <c r="G361" s="54">
        <f>countif(Scores!B371:AG371,D361)</f>
        <v>20</v>
      </c>
      <c r="H361" s="54">
        <f>Compilation!G368</f>
        <v>-1</v>
      </c>
      <c r="J361" s="50">
        <f t="shared" si="6"/>
        <v>232</v>
      </c>
      <c r="K361" s="21">
        <v>297.0</v>
      </c>
      <c r="L361" s="14" t="s">
        <v>118</v>
      </c>
      <c r="M361" s="8">
        <v>-1.6E-8</v>
      </c>
      <c r="N361" s="8">
        <v>43.0</v>
      </c>
      <c r="O361" s="8" t="s">
        <v>105</v>
      </c>
      <c r="U361" s="50" t="str">
        <f t="shared" si="7"/>
        <v/>
      </c>
      <c r="V361" s="14"/>
      <c r="W361" s="8"/>
    </row>
    <row r="362">
      <c r="A362" s="62">
        <f>Scores!A372</f>
        <v>361</v>
      </c>
      <c r="B362" s="54" t="str">
        <f>Compilation!D369</f>
        <v>💎ox jam</v>
      </c>
      <c r="C362" s="54">
        <f t="shared" si="1"/>
        <v>1</v>
      </c>
      <c r="D362" s="54">
        <f>Compilation!F369</f>
        <v>185</v>
      </c>
      <c r="E362" s="54">
        <f t="shared" si="2"/>
        <v>186</v>
      </c>
      <c r="F362" s="54">
        <f>Compilation!E369</f>
        <v>185</v>
      </c>
      <c r="G362" s="54">
        <f>countif(Scores!B372:AG372,D362)</f>
        <v>1</v>
      </c>
      <c r="H362" s="54">
        <f>Compilation!G369</f>
        <v>186</v>
      </c>
      <c r="J362" s="50">
        <f t="shared" si="6"/>
        <v>232</v>
      </c>
      <c r="K362" s="21">
        <v>391.0</v>
      </c>
      <c r="L362" s="14" t="s">
        <v>118</v>
      </c>
      <c r="M362" s="8">
        <v>-1.6E-8</v>
      </c>
      <c r="N362" s="8">
        <v>63.0</v>
      </c>
      <c r="O362" s="8" t="s">
        <v>105</v>
      </c>
      <c r="U362" s="50" t="str">
        <f t="shared" si="7"/>
        <v/>
      </c>
      <c r="V362" s="14"/>
      <c r="W362" s="8"/>
    </row>
    <row r="363">
      <c r="A363" s="62">
        <f>Scores!A373</f>
        <v>362</v>
      </c>
      <c r="B363" s="54" t="str">
        <f>Compilation!D370</f>
        <v>🥇 x2</v>
      </c>
      <c r="C363" s="54">
        <f t="shared" si="1"/>
        <v>-0.000000003</v>
      </c>
      <c r="D363" s="54">
        <f>Compilation!F370</f>
        <v>67</v>
      </c>
      <c r="E363" s="54" t="str">
        <f t="shared" si="2"/>
        <v/>
      </c>
      <c r="F363" s="54">
        <f>Compilation!E370</f>
        <v>-1</v>
      </c>
      <c r="G363" s="54">
        <f>countif(Scores!B373:AG373,D363)</f>
        <v>3</v>
      </c>
      <c r="H363" s="54">
        <f>Compilation!G370</f>
        <v>-1</v>
      </c>
      <c r="J363" s="50">
        <f t="shared" si="6"/>
        <v>232</v>
      </c>
      <c r="K363" s="21">
        <v>261.0</v>
      </c>
      <c r="L363" s="14" t="s">
        <v>119</v>
      </c>
      <c r="M363" s="8">
        <v>-1.7E-8</v>
      </c>
      <c r="N363" s="8">
        <v>47.0</v>
      </c>
      <c r="O363" s="8" t="s">
        <v>105</v>
      </c>
      <c r="U363" s="50" t="str">
        <f t="shared" si="7"/>
        <v/>
      </c>
      <c r="V363" s="14"/>
      <c r="W363" s="8"/>
    </row>
    <row r="364">
      <c r="A364" s="62">
        <f>Scores!A374</f>
        <v>363</v>
      </c>
      <c r="B364" s="54" t="str">
        <f>Compilation!D371</f>
        <v>💎Code Golf International</v>
      </c>
      <c r="C364" s="54">
        <f t="shared" si="1"/>
        <v>28</v>
      </c>
      <c r="D364" s="54">
        <f>Compilation!F371</f>
        <v>175</v>
      </c>
      <c r="E364" s="54">
        <f t="shared" si="2"/>
        <v>203</v>
      </c>
      <c r="F364" s="54">
        <f>Compilation!E371</f>
        <v>175</v>
      </c>
      <c r="G364" s="54">
        <f>countif(Scores!B374:AG374,D364)</f>
        <v>2</v>
      </c>
      <c r="H364" s="54">
        <f>Compilation!G371</f>
        <v>203</v>
      </c>
      <c r="J364" s="50">
        <f t="shared" si="6"/>
        <v>232</v>
      </c>
      <c r="K364" s="21">
        <v>393.0</v>
      </c>
      <c r="L364" s="14" t="s">
        <v>119</v>
      </c>
      <c r="M364" s="8">
        <v>-1.7E-8</v>
      </c>
      <c r="N364" s="8">
        <v>63.0</v>
      </c>
      <c r="O364" s="8" t="s">
        <v>105</v>
      </c>
      <c r="U364" s="50" t="str">
        <f t="shared" si="7"/>
        <v/>
      </c>
      <c r="V364" s="14"/>
      <c r="W364" s="8"/>
    </row>
    <row r="365">
      <c r="A365" s="62">
        <f>Scores!A375</f>
        <v>364</v>
      </c>
      <c r="B365" s="54" t="str">
        <f>Compilation!D372</f>
        <v>💎Code Golf International</v>
      </c>
      <c r="C365" s="54">
        <f t="shared" si="1"/>
        <v>1</v>
      </c>
      <c r="D365" s="54">
        <f>Compilation!F372</f>
        <v>133</v>
      </c>
      <c r="E365" s="54">
        <f t="shared" si="2"/>
        <v>134</v>
      </c>
      <c r="F365" s="54">
        <f>Compilation!E372</f>
        <v>133</v>
      </c>
      <c r="G365" s="54">
        <f>countif(Scores!B375:AG375,D365)</f>
        <v>2</v>
      </c>
      <c r="H365" s="54">
        <f>Compilation!G372</f>
        <v>134</v>
      </c>
      <c r="J365" s="50">
        <f t="shared" si="6"/>
        <v>232</v>
      </c>
      <c r="K365" s="21">
        <v>376.0</v>
      </c>
      <c r="L365" s="14" t="s">
        <v>120</v>
      </c>
      <c r="M365" s="8">
        <v>-1.8E-8</v>
      </c>
      <c r="N365" s="8">
        <v>30.0</v>
      </c>
      <c r="O365" s="8" t="s">
        <v>105</v>
      </c>
      <c r="U365" s="50" t="str">
        <f t="shared" si="7"/>
        <v/>
      </c>
      <c r="V365" s="14"/>
      <c r="W365" s="8"/>
    </row>
    <row r="366">
      <c r="A366" s="62">
        <f>Scores!A376</f>
        <v>365</v>
      </c>
      <c r="B366" s="54" t="str">
        <f>Compilation!D373</f>
        <v>🥇 x2</v>
      </c>
      <c r="C366" s="54">
        <f t="shared" si="1"/>
        <v>-0.000000003</v>
      </c>
      <c r="D366" s="54">
        <f>Compilation!F373</f>
        <v>111</v>
      </c>
      <c r="E366" s="54" t="str">
        <f t="shared" si="2"/>
        <v/>
      </c>
      <c r="F366" s="54">
        <f>Compilation!E373</f>
        <v>-1</v>
      </c>
      <c r="G366" s="54">
        <f>countif(Scores!B376:AG376,D366)</f>
        <v>3</v>
      </c>
      <c r="H366" s="54">
        <f>Compilation!G373</f>
        <v>-1</v>
      </c>
      <c r="J366" s="50">
        <f t="shared" si="6"/>
        <v>232</v>
      </c>
      <c r="K366" s="21">
        <v>52.0</v>
      </c>
      <c r="L366" s="14" t="s">
        <v>120</v>
      </c>
      <c r="M366" s="8">
        <v>-1.8E-8</v>
      </c>
      <c r="N366" s="8">
        <v>40.0</v>
      </c>
      <c r="O366" s="8" t="s">
        <v>105</v>
      </c>
      <c r="U366" s="50" t="str">
        <f t="shared" si="7"/>
        <v/>
      </c>
      <c r="V366" s="14"/>
      <c r="W366" s="8"/>
    </row>
    <row r="367">
      <c r="A367" s="62">
        <f>Scores!A377</f>
        <v>366</v>
      </c>
      <c r="B367" s="54" t="str">
        <f>Compilation!D374</f>
        <v>💎ox jam</v>
      </c>
      <c r="C367" s="54">
        <f t="shared" si="1"/>
        <v>27</v>
      </c>
      <c r="D367" s="54">
        <f>Compilation!F374</f>
        <v>301</v>
      </c>
      <c r="E367" s="54">
        <f t="shared" si="2"/>
        <v>328</v>
      </c>
      <c r="F367" s="54">
        <f>Compilation!E374</f>
        <v>301</v>
      </c>
      <c r="G367" s="54">
        <f>countif(Scores!B377:AG377,D367)</f>
        <v>1</v>
      </c>
      <c r="H367" s="54">
        <f>Compilation!G374</f>
        <v>328</v>
      </c>
      <c r="J367" s="50">
        <f t="shared" si="6"/>
        <v>232</v>
      </c>
      <c r="K367" s="21">
        <v>242.0</v>
      </c>
      <c r="L367" s="14" t="s">
        <v>120</v>
      </c>
      <c r="M367" s="8">
        <v>-1.8E-8</v>
      </c>
      <c r="N367" s="8">
        <v>54.0</v>
      </c>
      <c r="O367" s="8" t="s">
        <v>105</v>
      </c>
      <c r="U367" s="50" t="str">
        <f t="shared" si="7"/>
        <v/>
      </c>
      <c r="V367" s="14"/>
      <c r="W367" s="8"/>
    </row>
    <row r="368">
      <c r="A368" s="62">
        <f>Scores!A378</f>
        <v>367</v>
      </c>
      <c r="B368" s="54" t="str">
        <f>Compilation!D375</f>
        <v>🥇 x2</v>
      </c>
      <c r="C368" s="54">
        <f t="shared" si="1"/>
        <v>-0.000000002</v>
      </c>
      <c r="D368" s="54">
        <f>Compilation!F375</f>
        <v>126</v>
      </c>
      <c r="E368" s="54" t="str">
        <f t="shared" si="2"/>
        <v/>
      </c>
      <c r="F368" s="54">
        <f>Compilation!E375</f>
        <v>-1</v>
      </c>
      <c r="G368" s="54">
        <f>countif(Scores!B378:AG378,D368)</f>
        <v>2</v>
      </c>
      <c r="H368" s="54">
        <f>Compilation!G375</f>
        <v>-1</v>
      </c>
      <c r="J368" s="50">
        <f t="shared" si="6"/>
        <v>232</v>
      </c>
      <c r="K368" s="21">
        <v>258.0</v>
      </c>
      <c r="L368" s="14" t="s">
        <v>120</v>
      </c>
      <c r="M368" s="8">
        <v>-1.8E-8</v>
      </c>
      <c r="N368" s="8">
        <v>61.0</v>
      </c>
      <c r="O368" s="8" t="s">
        <v>105</v>
      </c>
      <c r="U368" s="50" t="str">
        <f t="shared" si="7"/>
        <v/>
      </c>
      <c r="V368" s="14"/>
      <c r="W368" s="8"/>
    </row>
    <row r="369">
      <c r="A369" s="62">
        <f>Scores!A379</f>
        <v>368</v>
      </c>
      <c r="B369" s="54" t="str">
        <f>Compilation!D376</f>
        <v>💎ox jam</v>
      </c>
      <c r="C369" s="54">
        <f t="shared" si="1"/>
        <v>6</v>
      </c>
      <c r="D369" s="54">
        <f>Compilation!F376</f>
        <v>129</v>
      </c>
      <c r="E369" s="54">
        <f t="shared" si="2"/>
        <v>135</v>
      </c>
      <c r="F369" s="54">
        <f>Compilation!E376</f>
        <v>129</v>
      </c>
      <c r="G369" s="54">
        <f>countif(Scores!B379:AG379,D369)</f>
        <v>1</v>
      </c>
      <c r="H369" s="54">
        <f>Compilation!G376</f>
        <v>135</v>
      </c>
      <c r="J369" s="50">
        <f t="shared" si="6"/>
        <v>232</v>
      </c>
      <c r="K369" s="21">
        <v>375.0</v>
      </c>
      <c r="L369" s="14" t="s">
        <v>121</v>
      </c>
      <c r="M369" s="8">
        <v>-1.9E-8</v>
      </c>
      <c r="N369" s="8">
        <v>53.0</v>
      </c>
      <c r="O369" s="8" t="s">
        <v>105</v>
      </c>
      <c r="U369" s="50" t="str">
        <f t="shared" si="7"/>
        <v/>
      </c>
      <c r="V369" s="14"/>
      <c r="W369" s="8"/>
    </row>
    <row r="370">
      <c r="A370" s="62">
        <f>Scores!A380</f>
        <v>369</v>
      </c>
      <c r="B370" s="54" t="str">
        <f>Compilation!D377</f>
        <v>🥇 x3</v>
      </c>
      <c r="C370" s="54">
        <f t="shared" si="1"/>
        <v>-0.000000004</v>
      </c>
      <c r="D370" s="54">
        <f>Compilation!F377</f>
        <v>109</v>
      </c>
      <c r="E370" s="54" t="str">
        <f t="shared" si="2"/>
        <v/>
      </c>
      <c r="F370" s="54">
        <f>Compilation!E377</f>
        <v>-1</v>
      </c>
      <c r="G370" s="54">
        <f>countif(Scores!B380:AG380,D370)</f>
        <v>4</v>
      </c>
      <c r="H370" s="54">
        <f>Compilation!G377</f>
        <v>-1</v>
      </c>
      <c r="J370" s="50">
        <f t="shared" si="6"/>
        <v>232</v>
      </c>
      <c r="K370" s="21">
        <v>360.0</v>
      </c>
      <c r="L370" s="14" t="s">
        <v>122</v>
      </c>
      <c r="M370" s="8">
        <v>-2.0E-8</v>
      </c>
      <c r="N370" s="8">
        <v>45.0</v>
      </c>
      <c r="O370" s="8" t="s">
        <v>105</v>
      </c>
      <c r="U370" s="50" t="str">
        <f t="shared" si="7"/>
        <v/>
      </c>
      <c r="V370" s="14"/>
      <c r="W370" s="8"/>
    </row>
    <row r="371">
      <c r="A371" s="62">
        <f>Scores!A381</f>
        <v>370</v>
      </c>
      <c r="B371" s="54" t="str">
        <f>Compilation!D378</f>
        <v>💎Code Golf International</v>
      </c>
      <c r="C371" s="54">
        <f t="shared" si="1"/>
        <v>5</v>
      </c>
      <c r="D371" s="54">
        <f>Compilation!F378</f>
        <v>159</v>
      </c>
      <c r="E371" s="54">
        <f t="shared" si="2"/>
        <v>164</v>
      </c>
      <c r="F371" s="54">
        <f>Compilation!E378</f>
        <v>159</v>
      </c>
      <c r="G371" s="54">
        <f>countif(Scores!B381:AG381,D371)</f>
        <v>2</v>
      </c>
      <c r="H371" s="54">
        <f>Compilation!G378</f>
        <v>164</v>
      </c>
      <c r="J371" s="50">
        <f t="shared" si="6"/>
        <v>232</v>
      </c>
      <c r="K371" s="21">
        <v>82.0</v>
      </c>
      <c r="L371" s="14" t="s">
        <v>123</v>
      </c>
      <c r="M371" s="8">
        <v>-2.1E-8</v>
      </c>
      <c r="N371" s="8">
        <v>50.0</v>
      </c>
      <c r="O371" s="8" t="s">
        <v>105</v>
      </c>
      <c r="U371" s="50" t="str">
        <f t="shared" si="7"/>
        <v/>
      </c>
      <c r="V371" s="14"/>
      <c r="W371" s="8"/>
    </row>
    <row r="372">
      <c r="A372" s="62">
        <f>Scores!A382</f>
        <v>371</v>
      </c>
      <c r="B372" s="54" t="str">
        <f>Compilation!D379</f>
        <v>💎Code Golf International</v>
      </c>
      <c r="C372" s="54">
        <f t="shared" si="1"/>
        <v>7</v>
      </c>
      <c r="D372" s="54">
        <f>Compilation!F379</f>
        <v>102</v>
      </c>
      <c r="E372" s="54">
        <f t="shared" si="2"/>
        <v>109</v>
      </c>
      <c r="F372" s="54">
        <f>Compilation!E379</f>
        <v>102</v>
      </c>
      <c r="G372" s="54">
        <f>countif(Scores!B382:AG382,D372)</f>
        <v>2</v>
      </c>
      <c r="H372" s="54">
        <f>Compilation!G379</f>
        <v>109</v>
      </c>
      <c r="J372" s="50">
        <f t="shared" si="6"/>
        <v>232</v>
      </c>
      <c r="K372" s="21">
        <v>73.0</v>
      </c>
      <c r="L372" s="14" t="s">
        <v>124</v>
      </c>
      <c r="M372" s="8">
        <v>-2.2E-8</v>
      </c>
      <c r="N372" s="8">
        <v>46.0</v>
      </c>
      <c r="O372" s="8" t="s">
        <v>105</v>
      </c>
      <c r="U372" s="50" t="str">
        <f t="shared" si="7"/>
        <v/>
      </c>
      <c r="V372" s="14"/>
      <c r="W372" s="8"/>
    </row>
    <row r="373">
      <c r="A373" s="62">
        <f>Scores!A383</f>
        <v>372</v>
      </c>
      <c r="B373" s="54" t="str">
        <f>Compilation!D380</f>
        <v>🥇 x3</v>
      </c>
      <c r="C373" s="54">
        <f t="shared" si="1"/>
        <v>-0.000000004</v>
      </c>
      <c r="D373" s="54">
        <f>Compilation!F380</f>
        <v>47</v>
      </c>
      <c r="E373" s="54" t="str">
        <f t="shared" si="2"/>
        <v/>
      </c>
      <c r="F373" s="54">
        <f>Compilation!E380</f>
        <v>-1</v>
      </c>
      <c r="G373" s="54">
        <f>countif(Scores!B383:AG383,D373)</f>
        <v>4</v>
      </c>
      <c r="H373" s="54">
        <f>Compilation!G380</f>
        <v>-1</v>
      </c>
      <c r="J373" s="50">
        <f t="shared" si="6"/>
        <v>232</v>
      </c>
      <c r="K373" s="21">
        <v>41.0</v>
      </c>
      <c r="L373" s="14" t="s">
        <v>124</v>
      </c>
      <c r="M373" s="8">
        <v>-2.2E-8</v>
      </c>
      <c r="N373" s="8">
        <v>49.0</v>
      </c>
      <c r="O373" s="8" t="s">
        <v>105</v>
      </c>
      <c r="U373" s="50" t="str">
        <f t="shared" si="7"/>
        <v/>
      </c>
      <c r="V373" s="14"/>
      <c r="W373" s="8"/>
    </row>
    <row r="374">
      <c r="A374" s="62">
        <f>Scores!A384</f>
        <v>373</v>
      </c>
      <c r="B374" s="54" t="str">
        <f>Compilation!D381</f>
        <v>🥇 x8</v>
      </c>
      <c r="C374" s="54">
        <f t="shared" si="1"/>
        <v>-0.000000009</v>
      </c>
      <c r="D374" s="54">
        <f>Compilation!F381</f>
        <v>38</v>
      </c>
      <c r="E374" s="54" t="str">
        <f t="shared" si="2"/>
        <v/>
      </c>
      <c r="F374" s="54">
        <f>Compilation!E381</f>
        <v>-1</v>
      </c>
      <c r="G374" s="54">
        <f>countif(Scores!B384:AG384,D374)</f>
        <v>9</v>
      </c>
      <c r="H374" s="54">
        <f>Compilation!G381</f>
        <v>-1</v>
      </c>
      <c r="J374" s="50">
        <f t="shared" si="6"/>
        <v>232</v>
      </c>
      <c r="K374" s="21">
        <v>329.0</v>
      </c>
      <c r="L374" s="14" t="s">
        <v>125</v>
      </c>
      <c r="M374" s="8">
        <v>-2.3E-8</v>
      </c>
      <c r="N374" s="8">
        <v>54.0</v>
      </c>
      <c r="O374" s="8" t="s">
        <v>105</v>
      </c>
      <c r="U374" s="50" t="str">
        <f t="shared" si="7"/>
        <v/>
      </c>
      <c r="V374" s="14"/>
      <c r="W374" s="8"/>
    </row>
    <row r="375">
      <c r="A375" s="62">
        <f>Scores!A385</f>
        <v>374</v>
      </c>
      <c r="B375" s="54" t="str">
        <f>Compilation!D382</f>
        <v>💎Code Golf International</v>
      </c>
      <c r="C375" s="54">
        <f t="shared" si="1"/>
        <v>3</v>
      </c>
      <c r="D375" s="54">
        <f>Compilation!F382</f>
        <v>103</v>
      </c>
      <c r="E375" s="54">
        <f t="shared" si="2"/>
        <v>106</v>
      </c>
      <c r="F375" s="54">
        <f>Compilation!E382</f>
        <v>103</v>
      </c>
      <c r="G375" s="54">
        <f>countif(Scores!B385:AG385,D375)</f>
        <v>2</v>
      </c>
      <c r="H375" s="54">
        <f>Compilation!G382</f>
        <v>106</v>
      </c>
      <c r="J375" s="50">
        <f t="shared" si="6"/>
        <v>232</v>
      </c>
      <c r="K375" s="21">
        <v>103.0</v>
      </c>
      <c r="L375" s="14" t="s">
        <v>126</v>
      </c>
      <c r="M375" s="8">
        <v>-2.5E-8</v>
      </c>
      <c r="N375" s="8">
        <v>29.0</v>
      </c>
      <c r="O375" s="8" t="s">
        <v>105</v>
      </c>
      <c r="U375" s="50" t="str">
        <f t="shared" si="7"/>
        <v/>
      </c>
      <c r="V375" s="14"/>
      <c r="W375" s="8"/>
    </row>
    <row r="376">
      <c r="A376" s="62">
        <f>Scores!A386</f>
        <v>375</v>
      </c>
      <c r="B376" s="54" t="str">
        <f>Compilation!D383</f>
        <v>🥇 x18</v>
      </c>
      <c r="C376" s="54">
        <f t="shared" si="1"/>
        <v>-0.000000019</v>
      </c>
      <c r="D376" s="54">
        <f>Compilation!F383</f>
        <v>53</v>
      </c>
      <c r="E376" s="54" t="str">
        <f t="shared" si="2"/>
        <v/>
      </c>
      <c r="F376" s="54">
        <f>Compilation!E383</f>
        <v>-1</v>
      </c>
      <c r="G376" s="54">
        <f>countif(Scores!B386:AG386,D376)</f>
        <v>19</v>
      </c>
      <c r="H376" s="54">
        <f>Compilation!G383</f>
        <v>-1</v>
      </c>
      <c r="J376" s="50">
        <f t="shared" si="6"/>
        <v>232</v>
      </c>
      <c r="K376" s="21">
        <v>327.0</v>
      </c>
      <c r="L376" s="14" t="s">
        <v>126</v>
      </c>
      <c r="M376" s="8">
        <v>-2.5E-8</v>
      </c>
      <c r="N376" s="8">
        <v>67.0</v>
      </c>
      <c r="O376" s="8" t="s">
        <v>105</v>
      </c>
      <c r="U376" s="50" t="str">
        <f t="shared" si="7"/>
        <v/>
      </c>
      <c r="V376" s="14"/>
      <c r="W376" s="8"/>
    </row>
    <row r="377">
      <c r="A377" s="62">
        <f>Scores!A387</f>
        <v>376</v>
      </c>
      <c r="B377" s="54" t="str">
        <f>Compilation!D384</f>
        <v>🥇 x17</v>
      </c>
      <c r="C377" s="54">
        <f t="shared" si="1"/>
        <v>-0.000000018</v>
      </c>
      <c r="D377" s="54">
        <f>Compilation!F384</f>
        <v>30</v>
      </c>
      <c r="E377" s="54" t="str">
        <f t="shared" si="2"/>
        <v/>
      </c>
      <c r="F377" s="54">
        <f>Compilation!E384</f>
        <v>-1</v>
      </c>
      <c r="G377" s="54">
        <f>countif(Scores!B387:AG387,D377)</f>
        <v>18</v>
      </c>
      <c r="H377" s="54">
        <f>Compilation!G384</f>
        <v>-1</v>
      </c>
      <c r="J377" s="50">
        <f t="shared" si="6"/>
        <v>232</v>
      </c>
      <c r="K377" s="21">
        <v>53.0</v>
      </c>
      <c r="L377" s="14" t="s">
        <v>127</v>
      </c>
      <c r="M377" s="8">
        <v>-2.6E-8</v>
      </c>
      <c r="N377" s="8">
        <v>21.0</v>
      </c>
      <c r="O377" s="8" t="s">
        <v>105</v>
      </c>
      <c r="U377" s="50" t="str">
        <f t="shared" si="7"/>
        <v/>
      </c>
      <c r="V377" s="14"/>
      <c r="W377" s="8"/>
    </row>
    <row r="378">
      <c r="A378" s="62">
        <f>Scores!A388</f>
        <v>377</v>
      </c>
      <c r="B378" s="54" t="str">
        <f>Compilation!D385</f>
        <v>🥇 x5</v>
      </c>
      <c r="C378" s="54">
        <f t="shared" si="1"/>
        <v>-0.000000006</v>
      </c>
      <c r="D378" s="54">
        <f>Compilation!F385</f>
        <v>55</v>
      </c>
      <c r="E378" s="54" t="str">
        <f t="shared" si="2"/>
        <v/>
      </c>
      <c r="F378" s="54">
        <f>Compilation!E385</f>
        <v>-1</v>
      </c>
      <c r="G378" s="54">
        <f>countif(Scores!B388:AG388,D378)</f>
        <v>6</v>
      </c>
      <c r="H378" s="54">
        <f>Compilation!G385</f>
        <v>-1</v>
      </c>
      <c r="J378" s="50">
        <f t="shared" si="6"/>
        <v>232</v>
      </c>
      <c r="K378" s="21">
        <v>359.0</v>
      </c>
      <c r="L378" s="14" t="s">
        <v>127</v>
      </c>
      <c r="M378" s="8">
        <v>-2.6E-8</v>
      </c>
      <c r="N378" s="8">
        <v>64.0</v>
      </c>
      <c r="O378" s="8" t="s">
        <v>105</v>
      </c>
      <c r="U378" s="50" t="str">
        <f t="shared" si="7"/>
        <v/>
      </c>
      <c r="V378" s="14"/>
      <c r="W378" s="8"/>
    </row>
    <row r="379">
      <c r="A379" s="62">
        <f>Scores!A389</f>
        <v>378</v>
      </c>
      <c r="B379" s="54" t="str">
        <f>Compilation!D386</f>
        <v>💎jailctf merger</v>
      </c>
      <c r="C379" s="54">
        <f t="shared" si="1"/>
        <v>7</v>
      </c>
      <c r="D379" s="54">
        <f>Compilation!F386</f>
        <v>131</v>
      </c>
      <c r="E379" s="54">
        <f t="shared" si="2"/>
        <v>138</v>
      </c>
      <c r="F379" s="54">
        <f>Compilation!E386</f>
        <v>131</v>
      </c>
      <c r="G379" s="54">
        <f>countif(Scores!B389:AG389,D379)</f>
        <v>2</v>
      </c>
      <c r="H379" s="54">
        <f>Compilation!G386</f>
        <v>138</v>
      </c>
      <c r="J379" s="50">
        <f t="shared" si="6"/>
        <v>232</v>
      </c>
      <c r="K379" s="21">
        <v>326.0</v>
      </c>
      <c r="L379" s="14" t="s">
        <v>128</v>
      </c>
      <c r="M379" s="8">
        <v>-2.7E-8</v>
      </c>
      <c r="N379" s="8">
        <v>30.0</v>
      </c>
      <c r="O379" s="8" t="s">
        <v>105</v>
      </c>
      <c r="U379" s="50" t="str">
        <f t="shared" si="7"/>
        <v/>
      </c>
      <c r="V379" s="14"/>
      <c r="W379" s="8"/>
    </row>
    <row r="380">
      <c r="A380" s="62">
        <f>Scores!A390</f>
        <v>379</v>
      </c>
      <c r="B380" s="54" t="str">
        <f>Compilation!D387</f>
        <v>💎jailctf merger</v>
      </c>
      <c r="C380" s="54">
        <f t="shared" si="1"/>
        <v>2</v>
      </c>
      <c r="D380" s="54">
        <f>Compilation!F387</f>
        <v>135</v>
      </c>
      <c r="E380" s="54">
        <f t="shared" si="2"/>
        <v>137</v>
      </c>
      <c r="F380" s="54">
        <f>Compilation!E387</f>
        <v>135</v>
      </c>
      <c r="G380" s="54">
        <f>countif(Scores!B390:AG390,D380)</f>
        <v>2</v>
      </c>
      <c r="H380" s="54">
        <f>Compilation!G387</f>
        <v>137</v>
      </c>
      <c r="J380" s="50">
        <f t="shared" si="6"/>
        <v>232</v>
      </c>
      <c r="K380" s="21">
        <v>339.0</v>
      </c>
      <c r="L380" s="14" t="s">
        <v>129</v>
      </c>
      <c r="M380" s="8">
        <v>-2.8E-8</v>
      </c>
      <c r="N380" s="8">
        <v>37.0</v>
      </c>
      <c r="O380" s="8" t="s">
        <v>105</v>
      </c>
      <c r="U380" s="50" t="str">
        <f t="shared" si="7"/>
        <v/>
      </c>
      <c r="V380" s="14"/>
      <c r="W380" s="8"/>
    </row>
    <row r="381">
      <c r="A381" s="62">
        <f>Scores!A391</f>
        <v>380</v>
      </c>
      <c r="B381" s="54" t="str">
        <f>Compilation!D388</f>
        <v>🥇 x36</v>
      </c>
      <c r="C381" s="54">
        <f t="shared" si="1"/>
        <v>-0.000000037</v>
      </c>
      <c r="D381" s="54">
        <f>Compilation!F388</f>
        <v>27</v>
      </c>
      <c r="E381" s="54" t="str">
        <f t="shared" si="2"/>
        <v/>
      </c>
      <c r="F381" s="54">
        <f>Compilation!E388</f>
        <v>-1</v>
      </c>
      <c r="G381" s="54">
        <f>countif(Scores!B391:AG391,D381)</f>
        <v>37</v>
      </c>
      <c r="H381" s="54">
        <f>Compilation!G388</f>
        <v>-1</v>
      </c>
      <c r="J381" s="50">
        <f t="shared" si="6"/>
        <v>232</v>
      </c>
      <c r="K381" s="21">
        <v>385.0</v>
      </c>
      <c r="L381" s="14" t="s">
        <v>130</v>
      </c>
      <c r="M381" s="8">
        <v>-2.9E-8</v>
      </c>
      <c r="N381" s="8">
        <v>25.0</v>
      </c>
      <c r="O381" s="8" t="s">
        <v>105</v>
      </c>
      <c r="U381" s="50" t="str">
        <f t="shared" si="7"/>
        <v/>
      </c>
      <c r="V381" s="14"/>
      <c r="W381" s="8"/>
    </row>
    <row r="382">
      <c r="A382" s="62">
        <f>Scores!A392</f>
        <v>381</v>
      </c>
      <c r="B382" s="54" t="str">
        <f>Compilation!D389</f>
        <v>🥇 x3</v>
      </c>
      <c r="C382" s="54">
        <f t="shared" si="1"/>
        <v>-0.000000004</v>
      </c>
      <c r="D382" s="54">
        <f>Compilation!F389</f>
        <v>79</v>
      </c>
      <c r="E382" s="54" t="str">
        <f t="shared" si="2"/>
        <v/>
      </c>
      <c r="F382" s="54">
        <f>Compilation!E389</f>
        <v>-1</v>
      </c>
      <c r="G382" s="54">
        <f>countif(Scores!B392:AG392,D382)</f>
        <v>4</v>
      </c>
      <c r="H382" s="54">
        <f>Compilation!G389</f>
        <v>-1</v>
      </c>
      <c r="J382" s="50">
        <f t="shared" si="6"/>
        <v>232</v>
      </c>
      <c r="K382" s="21">
        <v>301.0</v>
      </c>
      <c r="L382" s="14" t="s">
        <v>131</v>
      </c>
      <c r="M382" s="8">
        <v>-3.0E-8</v>
      </c>
      <c r="N382" s="8">
        <v>31.0</v>
      </c>
      <c r="O382" s="8" t="s">
        <v>105</v>
      </c>
      <c r="U382" s="50" t="str">
        <f t="shared" si="7"/>
        <v/>
      </c>
      <c r="V382" s="14"/>
      <c r="W382" s="8"/>
    </row>
    <row r="383">
      <c r="A383" s="62">
        <f>Scores!A393</f>
        <v>382</v>
      </c>
      <c r="B383" s="54" t="str">
        <f>Compilation!D390</f>
        <v>💎ox jam</v>
      </c>
      <c r="C383" s="54">
        <f t="shared" si="1"/>
        <v>5</v>
      </c>
      <c r="D383" s="54">
        <f>Compilation!F390</f>
        <v>124</v>
      </c>
      <c r="E383" s="54">
        <f t="shared" si="2"/>
        <v>129</v>
      </c>
      <c r="F383" s="54">
        <f>Compilation!E390</f>
        <v>124</v>
      </c>
      <c r="G383" s="54">
        <f>countif(Scores!B393:AG393,D383)</f>
        <v>1</v>
      </c>
      <c r="H383" s="54">
        <f>Compilation!G390</f>
        <v>129</v>
      </c>
      <c r="J383" s="50">
        <f t="shared" si="6"/>
        <v>232</v>
      </c>
      <c r="K383" s="21">
        <v>142.0</v>
      </c>
      <c r="L383" s="14" t="s">
        <v>131</v>
      </c>
      <c r="M383" s="8">
        <v>-3.0E-8</v>
      </c>
      <c r="N383" s="8">
        <v>40.0</v>
      </c>
      <c r="O383" s="8" t="s">
        <v>105</v>
      </c>
      <c r="U383" s="50" t="str">
        <f t="shared" si="7"/>
        <v/>
      </c>
      <c r="V383" s="14"/>
      <c r="W383" s="8"/>
    </row>
    <row r="384">
      <c r="A384" s="62">
        <f>Scores!A394</f>
        <v>383</v>
      </c>
      <c r="B384" s="54" t="str">
        <f>Compilation!D391</f>
        <v>💎jailctf merger</v>
      </c>
      <c r="C384" s="54">
        <f t="shared" si="1"/>
        <v>1</v>
      </c>
      <c r="D384" s="54">
        <f>Compilation!F391</f>
        <v>120</v>
      </c>
      <c r="E384" s="54">
        <f t="shared" si="2"/>
        <v>121</v>
      </c>
      <c r="F384" s="54">
        <f>Compilation!E391</f>
        <v>120</v>
      </c>
      <c r="G384" s="54">
        <f>countif(Scores!B394:AG394,D384)</f>
        <v>2</v>
      </c>
      <c r="H384" s="54">
        <f>Compilation!G391</f>
        <v>121</v>
      </c>
      <c r="J384" s="50">
        <f t="shared" si="6"/>
        <v>232</v>
      </c>
      <c r="K384" s="21">
        <v>113.0</v>
      </c>
      <c r="L384" s="14" t="s">
        <v>132</v>
      </c>
      <c r="M384" s="8">
        <v>-3.2E-8</v>
      </c>
      <c r="N384" s="8">
        <v>25.0</v>
      </c>
      <c r="O384" s="8" t="s">
        <v>105</v>
      </c>
      <c r="U384" s="50" t="str">
        <f t="shared" si="7"/>
        <v/>
      </c>
      <c r="V384" s="14"/>
      <c r="W384" s="8"/>
    </row>
    <row r="385">
      <c r="A385" s="62">
        <f>Scores!A395</f>
        <v>384</v>
      </c>
      <c r="B385" s="54" t="str">
        <f>Compilation!D392</f>
        <v>💎jailctf merger</v>
      </c>
      <c r="C385" s="54">
        <f t="shared" si="1"/>
        <v>1</v>
      </c>
      <c r="D385" s="54">
        <f>Compilation!F392</f>
        <v>61</v>
      </c>
      <c r="E385" s="54">
        <f t="shared" si="2"/>
        <v>62</v>
      </c>
      <c r="F385" s="54">
        <f>Compilation!E392</f>
        <v>61</v>
      </c>
      <c r="G385" s="54">
        <f>countif(Scores!B395:AG395,D385)</f>
        <v>2</v>
      </c>
      <c r="H385" s="54">
        <f>Compilation!G392</f>
        <v>62</v>
      </c>
      <c r="J385" s="50">
        <f t="shared" si="6"/>
        <v>232</v>
      </c>
      <c r="K385" s="21">
        <v>135.0</v>
      </c>
      <c r="L385" s="14" t="s">
        <v>133</v>
      </c>
      <c r="M385" s="8">
        <v>-3.4E-8</v>
      </c>
      <c r="N385" s="8">
        <v>32.0</v>
      </c>
      <c r="O385" s="8" t="s">
        <v>105</v>
      </c>
      <c r="U385" s="50" t="str">
        <f t="shared" si="7"/>
        <v/>
      </c>
      <c r="V385" s="14"/>
      <c r="W385" s="8"/>
    </row>
    <row r="386">
      <c r="A386" s="62">
        <f>Scores!A396</f>
        <v>385</v>
      </c>
      <c r="B386" s="54" t="str">
        <f>Compilation!D393</f>
        <v>🥇 x28</v>
      </c>
      <c r="C386" s="54">
        <f t="shared" si="1"/>
        <v>-0.000000029</v>
      </c>
      <c r="D386" s="54">
        <f>Compilation!F393</f>
        <v>25</v>
      </c>
      <c r="E386" s="54" t="str">
        <f t="shared" si="2"/>
        <v/>
      </c>
      <c r="F386" s="54">
        <f>Compilation!E393</f>
        <v>-1</v>
      </c>
      <c r="G386" s="54">
        <f>countif(Scores!B396:AG396,D386)</f>
        <v>29</v>
      </c>
      <c r="H386" s="54">
        <f>Compilation!G393</f>
        <v>-1</v>
      </c>
      <c r="J386" s="50">
        <f t="shared" si="6"/>
        <v>232</v>
      </c>
      <c r="K386" s="21">
        <v>179.0</v>
      </c>
      <c r="L386" s="14" t="s">
        <v>134</v>
      </c>
      <c r="M386" s="8">
        <v>-3.6E-8</v>
      </c>
      <c r="N386" s="8">
        <v>21.0</v>
      </c>
      <c r="O386" s="8" t="s">
        <v>105</v>
      </c>
      <c r="U386" s="50" t="str">
        <f t="shared" si="7"/>
        <v/>
      </c>
      <c r="V386" s="14"/>
      <c r="W386" s="8"/>
    </row>
    <row r="387">
      <c r="A387" s="62">
        <f>Scores!A397</f>
        <v>386</v>
      </c>
      <c r="B387" s="54" t="str">
        <f>Compilation!D394</f>
        <v>🥇 x3</v>
      </c>
      <c r="C387" s="54">
        <f t="shared" si="1"/>
        <v>-0.000000004</v>
      </c>
      <c r="D387" s="54">
        <f>Compilation!F394</f>
        <v>50</v>
      </c>
      <c r="E387" s="54" t="str">
        <f t="shared" si="2"/>
        <v/>
      </c>
      <c r="F387" s="54">
        <f>Compilation!E394</f>
        <v>-1</v>
      </c>
      <c r="G387" s="54">
        <f>countif(Scores!B397:AG397,D387)</f>
        <v>4</v>
      </c>
      <c r="H387" s="54">
        <f>Compilation!G394</f>
        <v>-1</v>
      </c>
      <c r="J387" s="50">
        <f t="shared" si="6"/>
        <v>232</v>
      </c>
      <c r="K387" s="21">
        <v>241.0</v>
      </c>
      <c r="L387" s="14" t="s">
        <v>135</v>
      </c>
      <c r="M387" s="8">
        <v>-3.7E-8</v>
      </c>
      <c r="N387" s="8">
        <v>21.0</v>
      </c>
      <c r="O387" s="8" t="s">
        <v>105</v>
      </c>
      <c r="U387" s="50" t="str">
        <f t="shared" si="7"/>
        <v/>
      </c>
      <c r="V387" s="14"/>
      <c r="W387" s="8"/>
    </row>
    <row r="388">
      <c r="A388" s="62">
        <f>Scores!A398</f>
        <v>387</v>
      </c>
      <c r="B388" s="54" t="str">
        <f>Compilation!D395</f>
        <v>💎Code Golf International</v>
      </c>
      <c r="C388" s="54">
        <f t="shared" si="1"/>
        <v>9</v>
      </c>
      <c r="D388" s="54">
        <f>Compilation!F395</f>
        <v>192</v>
      </c>
      <c r="E388" s="54">
        <f t="shared" si="2"/>
        <v>201</v>
      </c>
      <c r="F388" s="54">
        <f>Compilation!E395</f>
        <v>192</v>
      </c>
      <c r="G388" s="54">
        <f>countif(Scores!B398:AG398,D388)</f>
        <v>1</v>
      </c>
      <c r="H388" s="54">
        <f>Compilation!G395</f>
        <v>201</v>
      </c>
      <c r="J388" s="50">
        <f t="shared" si="6"/>
        <v>232</v>
      </c>
      <c r="K388" s="21">
        <v>380.0</v>
      </c>
      <c r="L388" s="14" t="s">
        <v>135</v>
      </c>
      <c r="M388" s="8">
        <v>-3.7E-8</v>
      </c>
      <c r="N388" s="8">
        <v>27.0</v>
      </c>
      <c r="O388" s="8" t="s">
        <v>105</v>
      </c>
      <c r="U388" s="50" t="str">
        <f t="shared" si="7"/>
        <v/>
      </c>
      <c r="V388" s="14"/>
      <c r="W388" s="8"/>
    </row>
    <row r="389">
      <c r="A389" s="62">
        <f>Scores!A399</f>
        <v>388</v>
      </c>
      <c r="B389" s="54" t="str">
        <f>Compilation!D396</f>
        <v>🥇 x4</v>
      </c>
      <c r="C389" s="54">
        <f t="shared" si="1"/>
        <v>-0.000000005</v>
      </c>
      <c r="D389" s="54">
        <f>Compilation!F396</f>
        <v>61</v>
      </c>
      <c r="E389" s="54" t="str">
        <f t="shared" si="2"/>
        <v/>
      </c>
      <c r="F389" s="54">
        <f>Compilation!E396</f>
        <v>-1</v>
      </c>
      <c r="G389" s="54">
        <f>countif(Scores!B399:AG399,D389)</f>
        <v>5</v>
      </c>
      <c r="H389" s="54">
        <f>Compilation!G396</f>
        <v>-1</v>
      </c>
      <c r="J389" s="50">
        <f t="shared" si="6"/>
        <v>232</v>
      </c>
      <c r="K389" s="21">
        <v>32.0</v>
      </c>
      <c r="L389" s="14" t="s">
        <v>135</v>
      </c>
      <c r="M389" s="8">
        <v>-3.7E-8</v>
      </c>
      <c r="N389" s="8">
        <v>39.0</v>
      </c>
      <c r="O389" s="8" t="s">
        <v>105</v>
      </c>
      <c r="U389" s="50" t="str">
        <f t="shared" si="7"/>
        <v/>
      </c>
      <c r="V389" s="14"/>
      <c r="W389" s="8"/>
    </row>
    <row r="390">
      <c r="A390" s="62">
        <f>Scores!A400</f>
        <v>389</v>
      </c>
      <c r="B390" s="54" t="str">
        <f>Compilation!D397</f>
        <v>🥇 x9</v>
      </c>
      <c r="C390" s="54">
        <f t="shared" si="1"/>
        <v>-0.00000001</v>
      </c>
      <c r="D390" s="54">
        <f>Compilation!F397</f>
        <v>57</v>
      </c>
      <c r="E390" s="54" t="str">
        <f t="shared" si="2"/>
        <v/>
      </c>
      <c r="F390" s="54">
        <f>Compilation!E397</f>
        <v>-1</v>
      </c>
      <c r="G390" s="54">
        <f>countif(Scores!B400:AG400,D390)</f>
        <v>10</v>
      </c>
      <c r="H390" s="54">
        <f>Compilation!G397</f>
        <v>-1</v>
      </c>
      <c r="J390" s="50">
        <f t="shared" si="6"/>
        <v>232</v>
      </c>
      <c r="K390" s="21">
        <v>67.0</v>
      </c>
      <c r="L390" s="14" t="s">
        <v>136</v>
      </c>
      <c r="M390" s="8">
        <v>-4.0E-8</v>
      </c>
      <c r="N390" s="8">
        <v>33.0</v>
      </c>
      <c r="O390" s="8" t="s">
        <v>105</v>
      </c>
      <c r="U390" s="50" t="str">
        <f t="shared" si="7"/>
        <v/>
      </c>
      <c r="V390" s="14"/>
      <c r="W390" s="8"/>
    </row>
    <row r="391">
      <c r="A391" s="62">
        <f>Scores!A401</f>
        <v>390</v>
      </c>
      <c r="B391" s="54" t="str">
        <f>Compilation!D398</f>
        <v>🥇 x2</v>
      </c>
      <c r="C391" s="54">
        <f t="shared" si="1"/>
        <v>-0.000000003</v>
      </c>
      <c r="D391" s="54">
        <f>Compilation!F398</f>
        <v>98</v>
      </c>
      <c r="E391" s="54" t="str">
        <f t="shared" si="2"/>
        <v/>
      </c>
      <c r="F391" s="54">
        <f>Compilation!E398</f>
        <v>-1</v>
      </c>
      <c r="G391" s="54">
        <f>countif(Scores!B401:AG401,D391)</f>
        <v>3</v>
      </c>
      <c r="H391" s="54">
        <f>Compilation!G398</f>
        <v>-1</v>
      </c>
      <c r="J391" s="50">
        <f t="shared" si="6"/>
        <v>232</v>
      </c>
      <c r="K391" s="21">
        <v>83.0</v>
      </c>
      <c r="L391" s="14" t="s">
        <v>137</v>
      </c>
      <c r="M391" s="8">
        <v>-4.1E-8</v>
      </c>
      <c r="N391" s="8">
        <v>40.0</v>
      </c>
      <c r="O391" s="8" t="s">
        <v>105</v>
      </c>
      <c r="U391" s="50" t="str">
        <f t="shared" si="7"/>
        <v/>
      </c>
      <c r="V391" s="14"/>
      <c r="W391" s="8"/>
    </row>
    <row r="392">
      <c r="A392" s="62">
        <f>Scores!A402</f>
        <v>391</v>
      </c>
      <c r="B392" s="54" t="str">
        <f>Compilation!D399</f>
        <v>🥇 x15</v>
      </c>
      <c r="C392" s="54">
        <f t="shared" si="1"/>
        <v>-0.000000016</v>
      </c>
      <c r="D392" s="54">
        <f>Compilation!F399</f>
        <v>63</v>
      </c>
      <c r="E392" s="54" t="str">
        <f t="shared" si="2"/>
        <v/>
      </c>
      <c r="F392" s="54">
        <f>Compilation!E399</f>
        <v>-1</v>
      </c>
      <c r="G392" s="54">
        <f>countif(Scores!B402:AG402,D392)</f>
        <v>16</v>
      </c>
      <c r="H392" s="54">
        <f>Compilation!G399</f>
        <v>-1</v>
      </c>
      <c r="J392" s="50">
        <f t="shared" si="6"/>
        <v>232</v>
      </c>
      <c r="K392" s="21">
        <v>116.0</v>
      </c>
      <c r="L392" s="14" t="s">
        <v>138</v>
      </c>
      <c r="M392" s="8">
        <v>-4.4E-8</v>
      </c>
      <c r="N392" s="8">
        <v>20.0</v>
      </c>
      <c r="O392" s="8" t="s">
        <v>105</v>
      </c>
      <c r="U392" s="50" t="str">
        <f t="shared" si="7"/>
        <v/>
      </c>
      <c r="V392" s="14"/>
      <c r="W392" s="8"/>
    </row>
    <row r="393">
      <c r="A393" s="62">
        <f>Scores!A403</f>
        <v>392</v>
      </c>
      <c r="B393" s="54" t="str">
        <f>Compilation!D400</f>
        <v>💎Code Golf International</v>
      </c>
      <c r="C393" s="54">
        <f t="shared" si="1"/>
        <v>14</v>
      </c>
      <c r="D393" s="54">
        <f>Compilation!F400</f>
        <v>135</v>
      </c>
      <c r="E393" s="54">
        <f t="shared" si="2"/>
        <v>149</v>
      </c>
      <c r="F393" s="54">
        <f>Compilation!E400</f>
        <v>135</v>
      </c>
      <c r="G393" s="54">
        <f>countif(Scores!B403:AG403,D393)</f>
        <v>2</v>
      </c>
      <c r="H393" s="54">
        <f>Compilation!G400</f>
        <v>149</v>
      </c>
      <c r="J393" s="50">
        <f t="shared" si="6"/>
        <v>232</v>
      </c>
      <c r="K393" s="21">
        <v>249.0</v>
      </c>
      <c r="L393" s="14" t="s">
        <v>138</v>
      </c>
      <c r="M393" s="8">
        <v>-4.4E-8</v>
      </c>
      <c r="N393" s="8">
        <v>26.0</v>
      </c>
      <c r="O393" s="8" t="s">
        <v>105</v>
      </c>
      <c r="U393" s="50" t="str">
        <f t="shared" si="7"/>
        <v/>
      </c>
      <c r="V393" s="14"/>
      <c r="W393" s="8"/>
    </row>
    <row r="394">
      <c r="A394" s="62">
        <f>Scores!A404</f>
        <v>393</v>
      </c>
      <c r="B394" s="54" t="str">
        <f>Compilation!D401</f>
        <v>🥇 x16</v>
      </c>
      <c r="C394" s="54">
        <f t="shared" si="1"/>
        <v>-0.000000017</v>
      </c>
      <c r="D394" s="54">
        <f>Compilation!F401</f>
        <v>63</v>
      </c>
      <c r="E394" s="54" t="str">
        <f t="shared" si="2"/>
        <v/>
      </c>
      <c r="F394" s="54">
        <f>Compilation!E401</f>
        <v>-1</v>
      </c>
      <c r="G394" s="54">
        <f>countif(Scores!B404:AG404,D394)</f>
        <v>17</v>
      </c>
      <c r="H394" s="54">
        <f>Compilation!G401</f>
        <v>-1</v>
      </c>
      <c r="J394" s="50">
        <f t="shared" si="6"/>
        <v>232</v>
      </c>
      <c r="K394" s="21">
        <v>140.0</v>
      </c>
      <c r="L394" s="14" t="s">
        <v>138</v>
      </c>
      <c r="M394" s="8">
        <v>-4.4E-8</v>
      </c>
      <c r="N394" s="8">
        <v>36.0</v>
      </c>
      <c r="O394" s="8" t="s">
        <v>105</v>
      </c>
      <c r="U394" s="50" t="str">
        <f t="shared" si="7"/>
        <v/>
      </c>
      <c r="V394" s="14"/>
      <c r="W394" s="8"/>
    </row>
    <row r="395">
      <c r="A395" s="62">
        <f>Scores!A405</f>
        <v>394</v>
      </c>
      <c r="B395" s="54" t="str">
        <f>Compilation!D402</f>
        <v>🥇 x3</v>
      </c>
      <c r="C395" s="54">
        <f t="shared" si="1"/>
        <v>-0.000000004</v>
      </c>
      <c r="D395" s="54">
        <f>Compilation!F402</f>
        <v>85</v>
      </c>
      <c r="E395" s="54" t="str">
        <f t="shared" si="2"/>
        <v/>
      </c>
      <c r="F395" s="54">
        <f>Compilation!E402</f>
        <v>-1</v>
      </c>
      <c r="G395" s="54">
        <f>countif(Scores!B405:AG405,D395)</f>
        <v>4</v>
      </c>
      <c r="H395" s="54">
        <f>Compilation!G402</f>
        <v>-1</v>
      </c>
      <c r="J395" s="50">
        <f t="shared" si="6"/>
        <v>232</v>
      </c>
      <c r="K395" s="21">
        <v>155.0</v>
      </c>
      <c r="L395" s="14" t="s">
        <v>139</v>
      </c>
      <c r="M395" s="8">
        <v>-4.5E-8</v>
      </c>
      <c r="N395" s="8">
        <v>18.0</v>
      </c>
      <c r="O395" s="8" t="s">
        <v>105</v>
      </c>
      <c r="U395" s="50" t="str">
        <f t="shared" si="7"/>
        <v/>
      </c>
      <c r="V395" s="14"/>
      <c r="W395" s="8"/>
    </row>
    <row r="396">
      <c r="A396" s="62">
        <f>Scores!A406</f>
        <v>395</v>
      </c>
      <c r="B396" s="54" t="str">
        <f>Compilation!D403</f>
        <v>🥇 x4</v>
      </c>
      <c r="C396" s="54">
        <f t="shared" si="1"/>
        <v>-0.000000005</v>
      </c>
      <c r="D396" s="54">
        <f>Compilation!F403</f>
        <v>53</v>
      </c>
      <c r="E396" s="54" t="str">
        <f t="shared" si="2"/>
        <v/>
      </c>
      <c r="F396" s="54">
        <f>Compilation!E403</f>
        <v>-1</v>
      </c>
      <c r="G396" s="54">
        <f>countif(Scores!B406:AG406,D396)</f>
        <v>5</v>
      </c>
      <c r="H396" s="54">
        <f>Compilation!G403</f>
        <v>-1</v>
      </c>
      <c r="J396" s="50">
        <f t="shared" si="6"/>
        <v>232</v>
      </c>
      <c r="K396" s="21">
        <v>172.0</v>
      </c>
      <c r="L396" s="14" t="s">
        <v>139</v>
      </c>
      <c r="M396" s="8">
        <v>-4.5E-8</v>
      </c>
      <c r="N396" s="8">
        <v>20.0</v>
      </c>
      <c r="O396" s="8" t="s">
        <v>105</v>
      </c>
      <c r="U396" s="50" t="str">
        <f t="shared" si="7"/>
        <v/>
      </c>
      <c r="V396" s="14"/>
      <c r="W396" s="8"/>
    </row>
    <row r="397">
      <c r="A397" s="62">
        <f>Scores!A407</f>
        <v>396</v>
      </c>
      <c r="B397" s="54" t="str">
        <f>Compilation!D404</f>
        <v>💎ox jam</v>
      </c>
      <c r="C397" s="54">
        <f t="shared" si="1"/>
        <v>28</v>
      </c>
      <c r="D397" s="54">
        <f>Compilation!F404</f>
        <v>139</v>
      </c>
      <c r="E397" s="54">
        <f t="shared" si="2"/>
        <v>167</v>
      </c>
      <c r="F397" s="54">
        <f>Compilation!E404</f>
        <v>139</v>
      </c>
      <c r="G397" s="54">
        <f>countif(Scores!B407:AG407,D397)</f>
        <v>1</v>
      </c>
      <c r="H397" s="54">
        <f>Compilation!G404</f>
        <v>167</v>
      </c>
      <c r="J397" s="50">
        <f t="shared" si="6"/>
        <v>232</v>
      </c>
      <c r="K397" s="21">
        <v>210.0</v>
      </c>
      <c r="L397" s="14" t="s">
        <v>139</v>
      </c>
      <c r="M397" s="8">
        <v>-4.5E-8</v>
      </c>
      <c r="N397" s="8">
        <v>20.0</v>
      </c>
      <c r="O397" s="8" t="s">
        <v>105</v>
      </c>
      <c r="U397" s="50" t="str">
        <f t="shared" si="7"/>
        <v/>
      </c>
      <c r="V397" s="14"/>
      <c r="W397" s="8"/>
    </row>
    <row r="398">
      <c r="A398" s="62">
        <f>Scores!A408</f>
        <v>397</v>
      </c>
      <c r="B398" s="54" t="str">
        <f>Compilation!D405</f>
        <v>💎jailctf merger</v>
      </c>
      <c r="C398" s="54">
        <f t="shared" si="1"/>
        <v>3</v>
      </c>
      <c r="D398" s="54">
        <f>Compilation!F405</f>
        <v>110</v>
      </c>
      <c r="E398" s="54">
        <f t="shared" si="2"/>
        <v>113</v>
      </c>
      <c r="F398" s="54">
        <f>Compilation!E405</f>
        <v>110</v>
      </c>
      <c r="G398" s="54">
        <f>countif(Scores!B408:AG408,D398)</f>
        <v>2</v>
      </c>
      <c r="H398" s="54">
        <f>Compilation!G405</f>
        <v>113</v>
      </c>
      <c r="J398" s="50">
        <f t="shared" si="6"/>
        <v>232</v>
      </c>
      <c r="K398" s="21">
        <v>150.0</v>
      </c>
      <c r="L398" s="14" t="s">
        <v>139</v>
      </c>
      <c r="M398" s="8">
        <v>-4.5E-8</v>
      </c>
      <c r="N398" s="8">
        <v>30.0</v>
      </c>
      <c r="O398" s="8" t="s">
        <v>105</v>
      </c>
      <c r="U398" s="50" t="str">
        <f t="shared" si="7"/>
        <v/>
      </c>
      <c r="V398" s="14"/>
      <c r="W398" s="8"/>
    </row>
    <row r="399">
      <c r="A399" s="62">
        <f>Scores!A409</f>
        <v>398</v>
      </c>
      <c r="B399" s="54" t="str">
        <f>Compilation!D406</f>
        <v>🥇 x2</v>
      </c>
      <c r="C399" s="54">
        <f t="shared" si="1"/>
        <v>-0.000000003</v>
      </c>
      <c r="D399" s="54">
        <f>Compilation!F406</f>
        <v>72</v>
      </c>
      <c r="E399" s="54" t="str">
        <f t="shared" si="2"/>
        <v/>
      </c>
      <c r="F399" s="54">
        <f>Compilation!E406</f>
        <v>-1</v>
      </c>
      <c r="G399" s="54">
        <f>countif(Scores!B409:AG409,D399)</f>
        <v>3</v>
      </c>
      <c r="H399" s="54">
        <f>Compilation!G406</f>
        <v>-1</v>
      </c>
      <c r="J399" s="50">
        <f t="shared" si="6"/>
        <v>232</v>
      </c>
      <c r="K399" s="21">
        <v>164.0</v>
      </c>
      <c r="L399" s="14" t="s">
        <v>139</v>
      </c>
      <c r="M399" s="8">
        <v>-4.5E-8</v>
      </c>
      <c r="N399" s="8">
        <v>32.0</v>
      </c>
      <c r="O399" s="8" t="s">
        <v>105</v>
      </c>
      <c r="U399" s="50" t="str">
        <f t="shared" si="7"/>
        <v/>
      </c>
      <c r="V399" s="14"/>
      <c r="W399" s="8"/>
    </row>
    <row r="400">
      <c r="A400" s="62">
        <f>Scores!A410</f>
        <v>399</v>
      </c>
      <c r="B400" s="54" t="str">
        <f>Compilation!D407</f>
        <v>💎jailctf merger</v>
      </c>
      <c r="C400" s="54">
        <f t="shared" si="1"/>
        <v>1</v>
      </c>
      <c r="D400" s="54">
        <f>Compilation!F407</f>
        <v>62</v>
      </c>
      <c r="E400" s="54">
        <f t="shared" si="2"/>
        <v>63</v>
      </c>
      <c r="F400" s="54">
        <f>Compilation!E407</f>
        <v>62</v>
      </c>
      <c r="G400" s="54">
        <f>countif(Scores!B410:AG410,D400)</f>
        <v>2</v>
      </c>
      <c r="H400" s="54">
        <f>Compilation!G407</f>
        <v>63</v>
      </c>
      <c r="J400" s="50">
        <f t="shared" si="6"/>
        <v>232</v>
      </c>
      <c r="K400" s="21">
        <v>311.0</v>
      </c>
      <c r="L400" s="14" t="s">
        <v>139</v>
      </c>
      <c r="M400" s="8">
        <v>-4.5E-8</v>
      </c>
      <c r="N400" s="8">
        <v>32.0</v>
      </c>
      <c r="O400" s="8" t="s">
        <v>105</v>
      </c>
      <c r="U400" s="50" t="str">
        <f t="shared" si="7"/>
        <v/>
      </c>
      <c r="V400" s="14"/>
      <c r="W400" s="8"/>
    </row>
    <row r="401">
      <c r="A401" s="62">
        <f>Scores!A411</f>
        <v>400</v>
      </c>
      <c r="B401" s="54" t="str">
        <f>Compilation!D408</f>
        <v>💎ox jam</v>
      </c>
      <c r="C401" s="54">
        <f t="shared" si="1"/>
        <v>1</v>
      </c>
      <c r="D401" s="54">
        <f>Compilation!F408</f>
        <v>66</v>
      </c>
      <c r="E401" s="54">
        <f t="shared" si="2"/>
        <v>67</v>
      </c>
      <c r="F401" s="54">
        <f>Compilation!E408</f>
        <v>66</v>
      </c>
      <c r="G401" s="54">
        <f>countif(Scores!B411:AG411,D401)</f>
        <v>2</v>
      </c>
      <c r="H401" s="54">
        <f>Compilation!G408</f>
        <v>67</v>
      </c>
      <c r="J401" s="50">
        <f t="shared" si="6"/>
        <v>232</v>
      </c>
      <c r="K401" s="21">
        <v>87.0</v>
      </c>
      <c r="L401" s="14" t="s">
        <v>139</v>
      </c>
      <c r="M401" s="8">
        <v>-4.5E-8</v>
      </c>
      <c r="N401" s="8">
        <v>36.0</v>
      </c>
      <c r="O401" s="8" t="s">
        <v>105</v>
      </c>
      <c r="U401" s="50" t="str">
        <f t="shared" si="7"/>
        <v/>
      </c>
      <c r="V401" s="14"/>
      <c r="W401" s="8"/>
    </row>
  </sheetData>
  <hyperlinks>
    <hyperlink r:id="rId1" ref="K3"/>
    <hyperlink r:id="rId2" ref="S3"/>
    <hyperlink r:id="rId3" ref="K4"/>
    <hyperlink r:id="rId4" ref="Q4"/>
    <hyperlink r:id="rId5" location="gid=310481599" ref="S4"/>
    <hyperlink r:id="rId6" ref="K5"/>
    <hyperlink r:id="rId7" ref="K6"/>
    <hyperlink r:id="rId8" location="gid=310481599" ref="Q6"/>
    <hyperlink r:id="rId9" ref="K7"/>
    <hyperlink r:id="rId10" ref="K8"/>
    <hyperlink r:id="rId11" ref="K9"/>
    <hyperlink r:id="rId12" ref="K10"/>
    <hyperlink r:id="rId13" ref="K11"/>
    <hyperlink r:id="rId14" ref="K12"/>
    <hyperlink r:id="rId15" ref="K13"/>
    <hyperlink r:id="rId16" ref="K14"/>
    <hyperlink r:id="rId17" ref="K15"/>
    <hyperlink r:id="rId18" ref="K16"/>
    <hyperlink r:id="rId19" ref="K17"/>
    <hyperlink r:id="rId20" ref="K18"/>
    <hyperlink r:id="rId21" ref="K19"/>
    <hyperlink r:id="rId22" ref="K20"/>
    <hyperlink r:id="rId23" ref="K21"/>
    <hyperlink r:id="rId24" ref="K22"/>
    <hyperlink r:id="rId25" ref="K23"/>
    <hyperlink r:id="rId26" ref="K24"/>
    <hyperlink r:id="rId27" ref="K25"/>
    <hyperlink r:id="rId28" ref="K26"/>
    <hyperlink r:id="rId29" ref="K27"/>
    <hyperlink r:id="rId30" ref="K28"/>
    <hyperlink r:id="rId31" ref="K29"/>
    <hyperlink r:id="rId32" ref="K30"/>
    <hyperlink r:id="rId33" ref="K31"/>
    <hyperlink r:id="rId34" ref="K32"/>
    <hyperlink r:id="rId35" ref="K33"/>
    <hyperlink r:id="rId36" ref="K34"/>
    <hyperlink r:id="rId37" ref="K35"/>
    <hyperlink r:id="rId38" ref="K36"/>
    <hyperlink r:id="rId39" ref="K37"/>
    <hyperlink r:id="rId40" ref="K38"/>
    <hyperlink r:id="rId41" ref="K39"/>
    <hyperlink r:id="rId42" ref="K40"/>
    <hyperlink r:id="rId43" ref="K41"/>
    <hyperlink r:id="rId44" ref="K42"/>
    <hyperlink r:id="rId45" ref="K43"/>
    <hyperlink r:id="rId46" ref="K44"/>
    <hyperlink r:id="rId47" ref="K45"/>
    <hyperlink r:id="rId48" ref="K46"/>
    <hyperlink r:id="rId49" ref="K47"/>
    <hyperlink r:id="rId50" ref="K48"/>
    <hyperlink r:id="rId51" ref="K49"/>
    <hyperlink r:id="rId52" ref="K50"/>
    <hyperlink r:id="rId53" ref="K51"/>
    <hyperlink r:id="rId54" ref="Q51"/>
    <hyperlink r:id="rId55" ref="S51"/>
    <hyperlink r:id="rId56" ref="K52"/>
    <hyperlink r:id="rId57" ref="K53"/>
    <hyperlink r:id="rId58" ref="K54"/>
    <hyperlink r:id="rId59" ref="K55"/>
    <hyperlink r:id="rId60" ref="K56"/>
    <hyperlink r:id="rId61" ref="K57"/>
    <hyperlink r:id="rId62" ref="K58"/>
    <hyperlink r:id="rId63" ref="K59"/>
    <hyperlink r:id="rId64" ref="K60"/>
    <hyperlink r:id="rId65" ref="K61"/>
    <hyperlink r:id="rId66" ref="K62"/>
    <hyperlink r:id="rId67" ref="K63"/>
    <hyperlink r:id="rId68" ref="K64"/>
    <hyperlink r:id="rId69" ref="K65"/>
    <hyperlink r:id="rId70" ref="K66"/>
    <hyperlink r:id="rId71" ref="K67"/>
    <hyperlink r:id="rId72" ref="K68"/>
    <hyperlink r:id="rId73" ref="K69"/>
    <hyperlink r:id="rId74" ref="K70"/>
    <hyperlink r:id="rId75" ref="K71"/>
    <hyperlink r:id="rId76" ref="K72"/>
    <hyperlink r:id="rId77" ref="K73"/>
    <hyperlink r:id="rId78" ref="K74"/>
    <hyperlink r:id="rId79" ref="K75"/>
    <hyperlink r:id="rId80" ref="K76"/>
    <hyperlink r:id="rId81" ref="K77"/>
    <hyperlink r:id="rId82" ref="K78"/>
    <hyperlink r:id="rId83" ref="K79"/>
    <hyperlink r:id="rId84" ref="K80"/>
    <hyperlink r:id="rId85" ref="K81"/>
    <hyperlink r:id="rId86" ref="K82"/>
    <hyperlink r:id="rId87" ref="K83"/>
    <hyperlink r:id="rId88" ref="K84"/>
    <hyperlink r:id="rId89" ref="K85"/>
    <hyperlink r:id="rId90" ref="K86"/>
    <hyperlink r:id="rId91" ref="K87"/>
    <hyperlink r:id="rId92" ref="K88"/>
    <hyperlink r:id="rId93" ref="K89"/>
    <hyperlink r:id="rId94" ref="K90"/>
    <hyperlink r:id="rId95" ref="K91"/>
    <hyperlink r:id="rId96" ref="K92"/>
    <hyperlink r:id="rId97" ref="K93"/>
    <hyperlink r:id="rId98" ref="K94"/>
    <hyperlink r:id="rId99" ref="K95"/>
    <hyperlink r:id="rId100" ref="K96"/>
    <hyperlink r:id="rId101" ref="K97"/>
    <hyperlink r:id="rId102" ref="K98"/>
    <hyperlink r:id="rId103" ref="K99"/>
    <hyperlink r:id="rId104" ref="K100"/>
    <hyperlink r:id="rId105" ref="K101"/>
    <hyperlink r:id="rId106" ref="K102"/>
    <hyperlink r:id="rId107" ref="K103"/>
    <hyperlink r:id="rId108" ref="K104"/>
    <hyperlink r:id="rId109" ref="K105"/>
    <hyperlink r:id="rId110" ref="K106"/>
    <hyperlink r:id="rId111" ref="K107"/>
    <hyperlink r:id="rId112" ref="K108"/>
    <hyperlink r:id="rId113" ref="K109"/>
    <hyperlink r:id="rId114" ref="K110"/>
    <hyperlink r:id="rId115" ref="K111"/>
    <hyperlink r:id="rId116" ref="K112"/>
    <hyperlink r:id="rId117" ref="K113"/>
    <hyperlink r:id="rId118" ref="K114"/>
    <hyperlink r:id="rId119" ref="K115"/>
    <hyperlink r:id="rId120" ref="K116"/>
    <hyperlink r:id="rId121" ref="K117"/>
    <hyperlink r:id="rId122" ref="K118"/>
    <hyperlink r:id="rId123" ref="K119"/>
    <hyperlink r:id="rId124" ref="K120"/>
    <hyperlink r:id="rId125" ref="K121"/>
    <hyperlink r:id="rId126" ref="K122"/>
    <hyperlink r:id="rId127" ref="K123"/>
    <hyperlink r:id="rId128" ref="K124"/>
    <hyperlink r:id="rId129" ref="K125"/>
    <hyperlink r:id="rId130" ref="K126"/>
    <hyperlink r:id="rId131" ref="K127"/>
    <hyperlink r:id="rId132" ref="K128"/>
    <hyperlink r:id="rId133" ref="K129"/>
    <hyperlink r:id="rId134" ref="K130"/>
    <hyperlink r:id="rId135" ref="K131"/>
    <hyperlink r:id="rId136" ref="K132"/>
    <hyperlink r:id="rId137" ref="K133"/>
    <hyperlink r:id="rId138" ref="K134"/>
    <hyperlink r:id="rId139" ref="K135"/>
    <hyperlink r:id="rId140" ref="K136"/>
    <hyperlink r:id="rId141" ref="K137"/>
    <hyperlink r:id="rId142" ref="K138"/>
    <hyperlink r:id="rId143" ref="K139"/>
    <hyperlink r:id="rId144" ref="K140"/>
    <hyperlink r:id="rId145" ref="K141"/>
    <hyperlink r:id="rId146" ref="K142"/>
    <hyperlink r:id="rId147" ref="K143"/>
    <hyperlink r:id="rId148" ref="K144"/>
    <hyperlink r:id="rId149" ref="K145"/>
    <hyperlink r:id="rId150" ref="K146"/>
    <hyperlink r:id="rId151" ref="K147"/>
    <hyperlink r:id="rId152" ref="K148"/>
    <hyperlink r:id="rId153" ref="K149"/>
    <hyperlink r:id="rId154" ref="K150"/>
    <hyperlink r:id="rId155" ref="K151"/>
    <hyperlink r:id="rId156" ref="K152"/>
    <hyperlink r:id="rId157" ref="K153"/>
    <hyperlink r:id="rId158" ref="K154"/>
    <hyperlink r:id="rId159" ref="K155"/>
    <hyperlink r:id="rId160" ref="K156"/>
    <hyperlink r:id="rId161" ref="K157"/>
    <hyperlink r:id="rId162" ref="K158"/>
    <hyperlink r:id="rId163" ref="K159"/>
    <hyperlink r:id="rId164" ref="K160"/>
    <hyperlink r:id="rId165" ref="K161"/>
    <hyperlink r:id="rId166" ref="K162"/>
    <hyperlink r:id="rId167" ref="K163"/>
    <hyperlink r:id="rId168" ref="K164"/>
    <hyperlink r:id="rId169" ref="K165"/>
    <hyperlink r:id="rId170" ref="K166"/>
    <hyperlink r:id="rId171" ref="K167"/>
    <hyperlink r:id="rId172" ref="K168"/>
    <hyperlink r:id="rId173" ref="K169"/>
    <hyperlink r:id="rId174" ref="K170"/>
    <hyperlink r:id="rId175" ref="K171"/>
    <hyperlink r:id="rId176" ref="K172"/>
    <hyperlink r:id="rId177" ref="K173"/>
    <hyperlink r:id="rId178" ref="K174"/>
    <hyperlink r:id="rId179" ref="K175"/>
    <hyperlink r:id="rId180" ref="K176"/>
    <hyperlink r:id="rId181" ref="K177"/>
    <hyperlink r:id="rId182" ref="K178"/>
    <hyperlink r:id="rId183" ref="K179"/>
    <hyperlink r:id="rId184" ref="K180"/>
    <hyperlink r:id="rId185" ref="K181"/>
    <hyperlink r:id="rId186" ref="K182"/>
    <hyperlink r:id="rId187" ref="K183"/>
    <hyperlink r:id="rId188" ref="K184"/>
    <hyperlink r:id="rId189" ref="K185"/>
    <hyperlink r:id="rId190" ref="K186"/>
    <hyperlink r:id="rId191" ref="K187"/>
    <hyperlink r:id="rId192" ref="K188"/>
    <hyperlink r:id="rId193" ref="K189"/>
    <hyperlink r:id="rId194" ref="K190"/>
    <hyperlink r:id="rId195" ref="K191"/>
    <hyperlink r:id="rId196" ref="K192"/>
    <hyperlink r:id="rId197" ref="K193"/>
    <hyperlink r:id="rId198" ref="K194"/>
    <hyperlink r:id="rId199" ref="K195"/>
    <hyperlink r:id="rId200" ref="K196"/>
    <hyperlink r:id="rId201" ref="K197"/>
    <hyperlink r:id="rId202" ref="K198"/>
    <hyperlink r:id="rId203" ref="K199"/>
    <hyperlink r:id="rId204" ref="K200"/>
    <hyperlink r:id="rId205" ref="K201"/>
    <hyperlink r:id="rId206" ref="K202"/>
    <hyperlink r:id="rId207" ref="K203"/>
    <hyperlink r:id="rId208" ref="K204"/>
    <hyperlink r:id="rId209" ref="K205"/>
    <hyperlink r:id="rId210" ref="K206"/>
    <hyperlink r:id="rId211" ref="K207"/>
    <hyperlink r:id="rId212" ref="K208"/>
    <hyperlink r:id="rId213" ref="K209"/>
    <hyperlink r:id="rId214" ref="K210"/>
    <hyperlink r:id="rId215" ref="K211"/>
    <hyperlink r:id="rId216" ref="K212"/>
    <hyperlink r:id="rId217" ref="K213"/>
    <hyperlink r:id="rId218" ref="K214"/>
    <hyperlink r:id="rId219" ref="K215"/>
    <hyperlink r:id="rId220" ref="K216"/>
    <hyperlink r:id="rId221" ref="K217"/>
    <hyperlink r:id="rId222" ref="K218"/>
    <hyperlink r:id="rId223" ref="K219"/>
    <hyperlink r:id="rId224" ref="K220"/>
    <hyperlink r:id="rId225" ref="K221"/>
    <hyperlink r:id="rId226" ref="K222"/>
    <hyperlink r:id="rId227" ref="K223"/>
    <hyperlink r:id="rId228" ref="K224"/>
    <hyperlink r:id="rId229" ref="K225"/>
    <hyperlink r:id="rId230" ref="K226"/>
    <hyperlink r:id="rId231" ref="K227"/>
    <hyperlink r:id="rId232" ref="K228"/>
    <hyperlink r:id="rId233" ref="K229"/>
    <hyperlink r:id="rId234" ref="K230"/>
    <hyperlink r:id="rId235" ref="K231"/>
    <hyperlink r:id="rId236" ref="K232"/>
    <hyperlink r:id="rId237" ref="K233"/>
    <hyperlink r:id="rId238" ref="K234"/>
    <hyperlink r:id="rId239" ref="K235"/>
    <hyperlink r:id="rId240" ref="K236"/>
    <hyperlink r:id="rId241" ref="K237"/>
    <hyperlink r:id="rId242" ref="K238"/>
    <hyperlink r:id="rId243" ref="K239"/>
    <hyperlink r:id="rId244" ref="K240"/>
    <hyperlink r:id="rId245" ref="K241"/>
    <hyperlink r:id="rId246" ref="K242"/>
    <hyperlink r:id="rId247" ref="K243"/>
    <hyperlink r:id="rId248" ref="K244"/>
    <hyperlink r:id="rId249" ref="K245"/>
    <hyperlink r:id="rId250" ref="K246"/>
    <hyperlink r:id="rId251" ref="K247"/>
    <hyperlink r:id="rId252" ref="K248"/>
    <hyperlink r:id="rId253" ref="K249"/>
    <hyperlink r:id="rId254" ref="K250"/>
    <hyperlink r:id="rId255" ref="K251"/>
    <hyperlink r:id="rId256" ref="K252"/>
    <hyperlink r:id="rId257" ref="K253"/>
    <hyperlink r:id="rId258" ref="K254"/>
    <hyperlink r:id="rId259" ref="K255"/>
    <hyperlink r:id="rId260" ref="K256"/>
    <hyperlink r:id="rId261" ref="K257"/>
    <hyperlink r:id="rId262" ref="K258"/>
    <hyperlink r:id="rId263" ref="K259"/>
    <hyperlink r:id="rId264" ref="K260"/>
    <hyperlink r:id="rId265" ref="K261"/>
    <hyperlink r:id="rId266" ref="K262"/>
    <hyperlink r:id="rId267" ref="K263"/>
    <hyperlink r:id="rId268" ref="K264"/>
    <hyperlink r:id="rId269" ref="K265"/>
    <hyperlink r:id="rId270" ref="K266"/>
    <hyperlink r:id="rId271" ref="K267"/>
    <hyperlink r:id="rId272" ref="K268"/>
    <hyperlink r:id="rId273" ref="K269"/>
    <hyperlink r:id="rId274" ref="K270"/>
    <hyperlink r:id="rId275" ref="K271"/>
    <hyperlink r:id="rId276" ref="K272"/>
    <hyperlink r:id="rId277" ref="K273"/>
    <hyperlink r:id="rId278" ref="K274"/>
    <hyperlink r:id="rId279" ref="K275"/>
    <hyperlink r:id="rId280" ref="K276"/>
    <hyperlink r:id="rId281" ref="K277"/>
    <hyperlink r:id="rId282" ref="K278"/>
    <hyperlink r:id="rId283" ref="K279"/>
    <hyperlink r:id="rId284" ref="K280"/>
    <hyperlink r:id="rId285" ref="K281"/>
    <hyperlink r:id="rId286" ref="K282"/>
    <hyperlink r:id="rId287" ref="K283"/>
    <hyperlink r:id="rId288" ref="K284"/>
    <hyperlink r:id="rId289" ref="K285"/>
    <hyperlink r:id="rId290" ref="K286"/>
    <hyperlink r:id="rId291" ref="K287"/>
    <hyperlink r:id="rId292" ref="K288"/>
    <hyperlink r:id="rId293" ref="K289"/>
    <hyperlink r:id="rId294" ref="K290"/>
    <hyperlink r:id="rId295" ref="K291"/>
    <hyperlink r:id="rId296" ref="K292"/>
    <hyperlink r:id="rId297" ref="K293"/>
    <hyperlink r:id="rId298" ref="K294"/>
    <hyperlink r:id="rId299" ref="K295"/>
    <hyperlink r:id="rId300" ref="K296"/>
    <hyperlink r:id="rId301" ref="K297"/>
    <hyperlink r:id="rId302" ref="K298"/>
    <hyperlink r:id="rId303" ref="K299"/>
    <hyperlink r:id="rId304" ref="K300"/>
    <hyperlink r:id="rId305" ref="K301"/>
    <hyperlink r:id="rId306" ref="K302"/>
    <hyperlink r:id="rId307" ref="K303"/>
    <hyperlink r:id="rId308" ref="K304"/>
    <hyperlink r:id="rId309" ref="K305"/>
    <hyperlink r:id="rId310" ref="K306"/>
    <hyperlink r:id="rId311" ref="K307"/>
    <hyperlink r:id="rId312" ref="K308"/>
    <hyperlink r:id="rId313" ref="K309"/>
    <hyperlink r:id="rId314" ref="K310"/>
    <hyperlink r:id="rId315" ref="K311"/>
    <hyperlink r:id="rId316" ref="K312"/>
    <hyperlink r:id="rId317" ref="K313"/>
    <hyperlink r:id="rId318" ref="K314"/>
    <hyperlink r:id="rId319" ref="K315"/>
    <hyperlink r:id="rId320" ref="K316"/>
    <hyperlink r:id="rId321" ref="K317"/>
    <hyperlink r:id="rId322" ref="K318"/>
    <hyperlink r:id="rId323" ref="K319"/>
    <hyperlink r:id="rId324" ref="K320"/>
    <hyperlink r:id="rId325" ref="K321"/>
    <hyperlink r:id="rId326" ref="K322"/>
    <hyperlink r:id="rId327" ref="K323"/>
    <hyperlink r:id="rId328" ref="K324"/>
    <hyperlink r:id="rId329" ref="K325"/>
    <hyperlink r:id="rId330" ref="K326"/>
    <hyperlink r:id="rId331" ref="K327"/>
    <hyperlink r:id="rId332" ref="K328"/>
    <hyperlink r:id="rId333" ref="K329"/>
    <hyperlink r:id="rId334" ref="K330"/>
    <hyperlink r:id="rId335" ref="K331"/>
    <hyperlink r:id="rId336" ref="K332"/>
    <hyperlink r:id="rId337" ref="K333"/>
    <hyperlink r:id="rId338" ref="K334"/>
    <hyperlink r:id="rId339" ref="K335"/>
    <hyperlink r:id="rId340" ref="K336"/>
    <hyperlink r:id="rId341" ref="K337"/>
    <hyperlink r:id="rId342" ref="K338"/>
    <hyperlink r:id="rId343" ref="K339"/>
    <hyperlink r:id="rId344" ref="K340"/>
    <hyperlink r:id="rId345" ref="K341"/>
    <hyperlink r:id="rId346" ref="K342"/>
    <hyperlink r:id="rId347" ref="K343"/>
    <hyperlink r:id="rId348" ref="K344"/>
    <hyperlink r:id="rId349" ref="K345"/>
    <hyperlink r:id="rId350" ref="K346"/>
    <hyperlink r:id="rId351" ref="K347"/>
    <hyperlink r:id="rId352" ref="K348"/>
    <hyperlink r:id="rId353" ref="K349"/>
    <hyperlink r:id="rId354" ref="K350"/>
    <hyperlink r:id="rId355" ref="K351"/>
    <hyperlink r:id="rId356" ref="K352"/>
    <hyperlink r:id="rId357" ref="K353"/>
    <hyperlink r:id="rId358" ref="K354"/>
    <hyperlink r:id="rId359" ref="K355"/>
    <hyperlink r:id="rId360" ref="K356"/>
    <hyperlink r:id="rId361" ref="K357"/>
    <hyperlink r:id="rId362" ref="K358"/>
    <hyperlink r:id="rId363" ref="K359"/>
    <hyperlink r:id="rId364" ref="K360"/>
    <hyperlink r:id="rId365" ref="K361"/>
    <hyperlink r:id="rId366" ref="K362"/>
    <hyperlink r:id="rId367" ref="K363"/>
    <hyperlink r:id="rId368" ref="K364"/>
    <hyperlink r:id="rId369" ref="K365"/>
    <hyperlink r:id="rId370" ref="K366"/>
    <hyperlink r:id="rId371" ref="K367"/>
    <hyperlink r:id="rId372" ref="K368"/>
    <hyperlink r:id="rId373" ref="K369"/>
    <hyperlink r:id="rId374" ref="K370"/>
    <hyperlink r:id="rId375" ref="K371"/>
    <hyperlink r:id="rId376" ref="K372"/>
    <hyperlink r:id="rId377" ref="K373"/>
    <hyperlink r:id="rId378" ref="K374"/>
    <hyperlink r:id="rId379" ref="K375"/>
    <hyperlink r:id="rId380" ref="K376"/>
    <hyperlink r:id="rId381" ref="K377"/>
    <hyperlink r:id="rId382" ref="K378"/>
    <hyperlink r:id="rId383" ref="K379"/>
    <hyperlink r:id="rId384" ref="K380"/>
    <hyperlink r:id="rId385" ref="K381"/>
    <hyperlink r:id="rId386" ref="K382"/>
    <hyperlink r:id="rId387" ref="K383"/>
    <hyperlink r:id="rId388" ref="K384"/>
    <hyperlink r:id="rId389" ref="K385"/>
    <hyperlink r:id="rId390" ref="K386"/>
    <hyperlink r:id="rId391" ref="K387"/>
    <hyperlink r:id="rId392" ref="K388"/>
    <hyperlink r:id="rId393" ref="K389"/>
    <hyperlink r:id="rId394" ref="K390"/>
    <hyperlink r:id="rId395" ref="K391"/>
    <hyperlink r:id="rId396" ref="K392"/>
    <hyperlink r:id="rId397" ref="K393"/>
    <hyperlink r:id="rId398" ref="K394"/>
    <hyperlink r:id="rId399" ref="K395"/>
    <hyperlink r:id="rId400" ref="K396"/>
    <hyperlink r:id="rId401" ref="K397"/>
    <hyperlink r:id="rId402" ref="K398"/>
    <hyperlink r:id="rId403" ref="K399"/>
    <hyperlink r:id="rId404" ref="K400"/>
    <hyperlink r:id="rId405" ref="K401"/>
  </hyperlinks>
  <drawing r:id="rId40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63"/>
    <col customWidth="1" min="4" max="4" width="15.88"/>
    <col customWidth="1" min="5" max="5" width="7.25"/>
    <col customWidth="1" min="6" max="6" width="15.63"/>
    <col customWidth="1" min="7" max="7" width="17.88"/>
    <col hidden="1" min="10" max="11" width="12.63"/>
  </cols>
  <sheetData>
    <row r="1">
      <c r="A1" s="7"/>
      <c r="B1" s="7" t="s">
        <v>84</v>
      </c>
      <c r="C1" s="7" t="s">
        <v>140</v>
      </c>
      <c r="D1" s="7" t="s">
        <v>69</v>
      </c>
      <c r="E1" s="63" t="s">
        <v>141</v>
      </c>
      <c r="F1" s="7" t="s">
        <v>142</v>
      </c>
      <c r="G1" s="7" t="s">
        <v>143</v>
      </c>
      <c r="H1" s="64" t="s">
        <v>144</v>
      </c>
      <c r="I1" s="7" t="s">
        <v>145</v>
      </c>
    </row>
    <row r="2">
      <c r="A2" s="65" t="s">
        <v>146</v>
      </c>
      <c r="B2" s="57" t="str">
        <f>IFERROR(__xludf.DUMMYFUNCTION("filter(sort({transpose(Scores!B1:Z1),transpose(Scores!B2:Z2),transpose(Scores!B4:Z4)},2,false),sort(transpose(Scores!B2:Z2)&lt;&gt;""""))"),"The Ultimate Golfer")</f>
        <v>The Ultimate Golfer</v>
      </c>
      <c r="C2" s="46">
        <f>IFERROR(__xludf.DUMMYFUNCTION("""COMPUTED_VALUE"""),963477.0)</f>
        <v>963477</v>
      </c>
      <c r="D2" s="46">
        <f>IFERROR(__xludf.DUMMYFUNCTION("""COMPUTED_VALUE"""),400.0)</f>
        <v>400</v>
      </c>
      <c r="E2" s="66" t="s">
        <v>147</v>
      </c>
      <c r="F2" s="46">
        <f t="shared" ref="F2:F56" si="1">IFERROR(round(C2/D2*400,0),"")</f>
        <v>963477</v>
      </c>
      <c r="G2" s="46">
        <f t="array" ref="G2">iferror(1000000-(1000000-Compilation!$B$3)*sum(xlookup(B2,Scores!$B$1:Z$1,Scores!$B$12:Z$411))/SUMPRODUCT(Compilation!$B$9:$B$409,xlookup(B2,Scores!$B$1:Z$1,Scores!$B$12:Z$411)&lt;&gt;0),"")</f>
        <v>963477</v>
      </c>
      <c r="H2" s="46">
        <f t="array" ref="H2">IFERROR(let(a,xlookup(B2,Scores!$B$1:Z$1,Scores!$B$12:Z$411),1000000-SUMPRODUCT(Compilation!$B$9:$B$409,a=0)-sumproduct(a,a&lt;&gt;0)),"")</f>
        <v>963477</v>
      </c>
      <c r="I2" s="10">
        <f t="array" ref="I2">iferror(xlookup(B2:B1000,Scores!$B$1:Z$1,Scores!$B$5:Z$5),"")</f>
        <v>36523</v>
      </c>
      <c r="J2" s="67">
        <f t="shared" ref="J2:J43" si="2">if(D2="","",if(D2=400,I2,""))</f>
        <v>36523</v>
      </c>
      <c r="K2" s="26" t="str">
        <f t="shared" ref="K2:K43" si="3">if(D2="","",if(D2&lt;400,I2,""))</f>
        <v/>
      </c>
    </row>
    <row r="3">
      <c r="A3" s="65">
        <f t="shared" ref="A3:A56" si="4">if(ISBLANK(B3),"",A2+1)</f>
        <v>2</v>
      </c>
      <c r="B3" s="58" t="str">
        <f>IFERROR(__xludf.DUMMYFUNCTION("""COMPUTED_VALUE"""),"Code Golf International")</f>
        <v>Code Golf International</v>
      </c>
      <c r="C3" s="46">
        <f>IFERROR(__xludf.DUMMYFUNCTION("""COMPUTED_VALUE"""),962070.0)</f>
        <v>962070</v>
      </c>
      <c r="D3" s="46">
        <f>IFERROR(__xludf.DUMMYFUNCTION("""COMPUTED_VALUE"""),400.0)</f>
        <v>400</v>
      </c>
      <c r="E3" s="66">
        <f t="shared" ref="E3:E56" si="5">IF(C2,C2-C3,"")</f>
        <v>1407</v>
      </c>
      <c r="F3" s="46">
        <f t="shared" si="1"/>
        <v>962070</v>
      </c>
      <c r="G3" s="46">
        <f t="array" ref="G3">iferror(1000000-(1000000-Compilation!$B$3)*sum(xlookup(B3,Scores!$B$1:Z$1,Scores!$B$12:Z$411))/SUMPRODUCT(Compilation!$B$9:$B$409,xlookup(B3,Scores!$B$1:Z$1,Scores!$B$12:Z$411)&lt;&gt;0),"")</f>
        <v>962070</v>
      </c>
      <c r="H3" s="46">
        <f t="array" ref="H3">IFERROR(let(a,xlookup(B3,Scores!$B$1:Z$1,Scores!$B$12:Z$411),1000000-SUMPRODUCT(Compilation!$B$9:$B$409,a=0)-sumproduct(a,a&lt;&gt;0)),"")</f>
        <v>962070</v>
      </c>
      <c r="I3" s="10">
        <f t="array" ref="I3">iferror(xlookup(B3:B1000,Scores!$B$1:Z$1,Scores!$B$5:Z$5),"")</f>
        <v>37930</v>
      </c>
      <c r="J3" s="67">
        <f t="shared" si="2"/>
        <v>37930</v>
      </c>
      <c r="K3" s="26" t="str">
        <f t="shared" si="3"/>
        <v/>
      </c>
    </row>
    <row r="4">
      <c r="A4" s="65">
        <f t="shared" si="4"/>
        <v>3</v>
      </c>
      <c r="B4" s="59" t="str">
        <f>IFERROR(__xludf.DUMMYFUNCTION("""COMPUTED_VALUE"""),"jailctf merger")</f>
        <v>jailctf merger</v>
      </c>
      <c r="C4" s="46">
        <f>IFERROR(__xludf.DUMMYFUNCTION("""COMPUTED_VALUE"""),961805.0)</f>
        <v>961805</v>
      </c>
      <c r="D4" s="46">
        <f>IFERROR(__xludf.DUMMYFUNCTION("""COMPUTED_VALUE"""),400.0)</f>
        <v>400</v>
      </c>
      <c r="E4" s="66">
        <f t="shared" si="5"/>
        <v>265</v>
      </c>
      <c r="F4" s="46">
        <f t="shared" si="1"/>
        <v>961805</v>
      </c>
      <c r="G4" s="46">
        <f t="array" ref="G4">iferror(1000000-(1000000-Compilation!$B$3)*sum(xlookup(B4,Scores!$B$1:Z$1,Scores!$B$12:Z$411))/SUMPRODUCT(Compilation!$B$9:$B$409,xlookup(B4,Scores!$B$1:Z$1,Scores!$B$12:Z$411)&lt;&gt;0),"")</f>
        <v>961805</v>
      </c>
      <c r="H4" s="46">
        <f t="array" ref="H4">IFERROR(let(a,xlookup(B4,Scores!$B$1:Z$1,Scores!$B$12:Z$411),1000000-SUMPRODUCT(Compilation!$B$9:$B$409,a=0)-sumproduct(a,a&lt;&gt;0)),"")</f>
        <v>961805</v>
      </c>
      <c r="I4" s="10">
        <f t="array" ref="I4">iferror(xlookup(B4:B1000,Scores!$B$1:Z$1,Scores!$B$5:Z$5),"")</f>
        <v>38195</v>
      </c>
      <c r="J4" s="67">
        <f t="shared" si="2"/>
        <v>38195</v>
      </c>
      <c r="K4" s="26" t="str">
        <f t="shared" si="3"/>
        <v/>
      </c>
    </row>
    <row r="5">
      <c r="A5" s="65">
        <f t="shared" si="4"/>
        <v>4</v>
      </c>
      <c r="B5" s="61" t="str">
        <f>IFERROR(__xludf.DUMMYFUNCTION("""COMPUTED_VALUE"""),"ox jam")</f>
        <v>ox jam</v>
      </c>
      <c r="C5" s="46">
        <f>IFERROR(__xludf.DUMMYFUNCTION("""COMPUTED_VALUE"""),961784.0)</f>
        <v>961784</v>
      </c>
      <c r="D5" s="46">
        <f>IFERROR(__xludf.DUMMYFUNCTION("""COMPUTED_VALUE"""),400.0)</f>
        <v>400</v>
      </c>
      <c r="E5" s="66">
        <f t="shared" si="5"/>
        <v>21</v>
      </c>
      <c r="F5" s="46">
        <f t="shared" si="1"/>
        <v>961784</v>
      </c>
      <c r="G5" s="46">
        <f t="array" ref="G5">iferror(1000000-(1000000-Compilation!$B$3)*sum(xlookup(B5,Scores!$B$1:Z$1,Scores!$B$12:Z$411))/SUMPRODUCT(Compilation!$B$9:$B$409,xlookup(B5,Scores!$B$1:Z$1,Scores!$B$12:Z$411)&lt;&gt;0),"")</f>
        <v>961784</v>
      </c>
      <c r="H5" s="46">
        <f t="array" ref="H5">IFERROR(let(a,xlookup(B5,Scores!$B$1:Z$1,Scores!$B$12:Z$411),1000000-SUMPRODUCT(Compilation!$B$9:$B$409,a=0)-sumproduct(a,a&lt;&gt;0)),"")</f>
        <v>961784</v>
      </c>
      <c r="I5" s="10">
        <f t="array" ref="I5">iferror(xlookup(B5:B1000,Scores!$B$1:Z$1,Scores!$B$5:Z$5),"")</f>
        <v>38216</v>
      </c>
      <c r="J5" s="67">
        <f t="shared" si="2"/>
        <v>38216</v>
      </c>
      <c r="K5" s="26" t="str">
        <f t="shared" si="3"/>
        <v/>
      </c>
    </row>
    <row r="6">
      <c r="A6" s="65">
        <f t="shared" si="4"/>
        <v>5</v>
      </c>
      <c r="B6" s="14" t="str">
        <f>IFERROR(__xludf.DUMMYFUNCTION("""COMPUTED_VALUE"""),"FuunAgent")</f>
        <v>FuunAgent</v>
      </c>
      <c r="C6" s="46">
        <f>IFERROR(__xludf.DUMMYFUNCTION("""COMPUTED_VALUE"""),957810.0)</f>
        <v>957810</v>
      </c>
      <c r="D6" s="46">
        <f>IFERROR(__xludf.DUMMYFUNCTION("""COMPUTED_VALUE"""),400.0)</f>
        <v>400</v>
      </c>
      <c r="E6" s="66">
        <f t="shared" si="5"/>
        <v>3974</v>
      </c>
      <c r="F6" s="46">
        <f t="shared" si="1"/>
        <v>957810</v>
      </c>
      <c r="G6" s="46">
        <f t="array" ref="G6">iferror(1000000-(1000000-Compilation!$B$3)*sum(xlookup(B6,Scores!$B$1:Z$1,Scores!$B$12:Z$411))/SUMPRODUCT(Compilation!$B$9:$B$409,xlookup(B6,Scores!$B$1:Z$1,Scores!$B$12:Z$411)&lt;&gt;0),"")</f>
        <v>957810</v>
      </c>
      <c r="H6" s="46">
        <f t="array" ref="H6">IFERROR(let(a,xlookup(B6,Scores!$B$1:Z$1,Scores!$B$12:Z$411),1000000-SUMPRODUCT(Compilation!$B$9:$B$409,a=0)-sumproduct(a,a&lt;&gt;0)),"")</f>
        <v>957810</v>
      </c>
      <c r="I6" s="10">
        <f t="array" ref="I6">iferror(xlookup(B6:B1000,Scores!$B$1:Z$1,Scores!$B$5:Z$5),"")</f>
        <v>42190</v>
      </c>
      <c r="J6" s="67">
        <f t="shared" si="2"/>
        <v>42190</v>
      </c>
      <c r="K6" s="26" t="str">
        <f t="shared" si="3"/>
        <v/>
      </c>
    </row>
    <row r="7">
      <c r="A7" s="65">
        <f t="shared" si="4"/>
        <v>6</v>
      </c>
      <c r="B7" s="14" t="str">
        <f>IFERROR(__xludf.DUMMYFUNCTION("""COMPUTED_VALUE"""),"HIMAGINE THE FUTURE.")</f>
        <v>HIMAGINE THE FUTURE.</v>
      </c>
      <c r="C7" s="46">
        <f>IFERROR(__xludf.DUMMYFUNCTION("""COMPUTED_VALUE"""),957568.0)</f>
        <v>957568</v>
      </c>
      <c r="D7" s="46">
        <f>IFERROR(__xludf.DUMMYFUNCTION("""COMPUTED_VALUE"""),400.0)</f>
        <v>400</v>
      </c>
      <c r="E7" s="66">
        <f t="shared" si="5"/>
        <v>242</v>
      </c>
      <c r="F7" s="46">
        <f t="shared" si="1"/>
        <v>957568</v>
      </c>
      <c r="G7" s="46">
        <f t="array" ref="G7">iferror(1000000-(1000000-Compilation!$B$3)*sum(xlookup(B7,Scores!$B$1:Z$1,Scores!$B$12:Z$411))/SUMPRODUCT(Compilation!$B$9:$B$409,xlookup(B7,Scores!$B$1:Z$1,Scores!$B$12:Z$411)&lt;&gt;0),"")</f>
        <v>957568</v>
      </c>
      <c r="H7" s="46">
        <f t="array" ref="H7">IFERROR(let(a,xlookup(B7,Scores!$B$1:Z$1,Scores!$B$12:Z$411),1000000-SUMPRODUCT(Compilation!$B$9:$B$409,a=0)-sumproduct(a,a&lt;&gt;0)),"")</f>
        <v>957568</v>
      </c>
      <c r="I7" s="10">
        <f t="array" ref="I7">iferror(xlookup(B7:B1000,Scores!$B$1:Z$1,Scores!$B$5:Z$5),"")</f>
        <v>42432</v>
      </c>
      <c r="J7" s="67">
        <f t="shared" si="2"/>
        <v>42432</v>
      </c>
      <c r="K7" s="26" t="str">
        <f t="shared" si="3"/>
        <v/>
      </c>
    </row>
    <row r="8">
      <c r="A8" s="65">
        <f t="shared" si="4"/>
        <v>7</v>
      </c>
      <c r="B8" s="14" t="str">
        <f>IFERROR(__xludf.DUMMYFUNCTION("""COMPUTED_VALUE"""),"LogicLynx")</f>
        <v>LogicLynx</v>
      </c>
      <c r="C8" s="46">
        <f>IFERROR(__xludf.DUMMYFUNCTION("""COMPUTED_VALUE"""),957513.0)</f>
        <v>957513</v>
      </c>
      <c r="D8" s="46">
        <f>IFERROR(__xludf.DUMMYFUNCTION("""COMPUTED_VALUE"""),400.0)</f>
        <v>400</v>
      </c>
      <c r="E8" s="66">
        <f t="shared" si="5"/>
        <v>55</v>
      </c>
      <c r="F8" s="46">
        <f t="shared" si="1"/>
        <v>957513</v>
      </c>
      <c r="G8" s="46">
        <f t="array" ref="G8">iferror(1000000-(1000000-Compilation!$B$3)*sum(xlookup(B8,Scores!$B$1:Z$1,Scores!$B$12:Z$411))/SUMPRODUCT(Compilation!$B$9:$B$409,xlookup(B8,Scores!$B$1:Z$1,Scores!$B$12:Z$411)&lt;&gt;0),"")</f>
        <v>957513</v>
      </c>
      <c r="H8" s="46">
        <f t="array" ref="H8">IFERROR(let(a,xlookup(B8,Scores!$B$1:Z$1,Scores!$B$12:Z$411),1000000-SUMPRODUCT(Compilation!$B$9:$B$409,a=0)-sumproduct(a,a&lt;&gt;0)),"")</f>
        <v>957513</v>
      </c>
      <c r="I8" s="10">
        <f t="array" ref="I8">iferror(xlookup(B8:B1000,Scores!$B$1:Z$1,Scores!$B$5:Z$5),"")</f>
        <v>42487</v>
      </c>
      <c r="J8" s="67">
        <f t="shared" si="2"/>
        <v>42487</v>
      </c>
      <c r="K8" s="26" t="str">
        <f t="shared" si="3"/>
        <v/>
      </c>
    </row>
    <row r="9">
      <c r="A9" s="65">
        <f t="shared" si="4"/>
        <v>8</v>
      </c>
      <c r="B9" s="14" t="str">
        <f>IFERROR(__xludf.DUMMYFUNCTION("""COMPUTED_VALUE"""),"import itertools")</f>
        <v>import itertools</v>
      </c>
      <c r="C9" s="46">
        <f>IFERROR(__xludf.DUMMYFUNCTION("""COMPUTED_VALUE"""),957177.0)</f>
        <v>957177</v>
      </c>
      <c r="D9" s="46">
        <f>IFERROR(__xludf.DUMMYFUNCTION("""COMPUTED_VALUE"""),400.0)</f>
        <v>400</v>
      </c>
      <c r="E9" s="66">
        <f t="shared" si="5"/>
        <v>336</v>
      </c>
      <c r="F9" s="46">
        <f t="shared" si="1"/>
        <v>957177</v>
      </c>
      <c r="G9" s="46">
        <f t="array" ref="G9">iferror(1000000-(1000000-Compilation!$B$3)*sum(xlookup(B9,Scores!$B$1:Z$1,Scores!$B$12:Z$411))/SUMPRODUCT(Compilation!$B$9:$B$409,xlookup(B9,Scores!$B$1:Z$1,Scores!$B$12:Z$411)&lt;&gt;0),"")</f>
        <v>957177</v>
      </c>
      <c r="H9" s="46">
        <f t="array" ref="H9">IFERROR(let(a,xlookup(B9,Scores!$B$1:Z$1,Scores!$B$12:Z$411),1000000-SUMPRODUCT(Compilation!$B$9:$B$409,a=0)-sumproduct(a,a&lt;&gt;0)),"")</f>
        <v>957177</v>
      </c>
      <c r="I9" s="10">
        <f t="array" ref="I9">iferror(xlookup(B9:B1000,Scores!$B$1:Z$1,Scores!$B$5:Z$5),"")</f>
        <v>42823</v>
      </c>
      <c r="J9" s="67">
        <f t="shared" si="2"/>
        <v>42823</v>
      </c>
      <c r="K9" s="26" t="str">
        <f t="shared" si="3"/>
        <v/>
      </c>
    </row>
    <row r="10">
      <c r="A10" s="65">
        <f t="shared" si="4"/>
        <v>9</v>
      </c>
      <c r="B10" s="14" t="str">
        <f>IFERROR(__xludf.DUMMYFUNCTION("""COMPUTED_VALUE"""),"lv1.dev")</f>
        <v>lv1.dev</v>
      </c>
      <c r="C10" s="46">
        <f>IFERROR(__xludf.DUMMYFUNCTION("""COMPUTED_VALUE"""),956458.0)</f>
        <v>956458</v>
      </c>
      <c r="D10" s="46">
        <f>IFERROR(__xludf.DUMMYFUNCTION("""COMPUTED_VALUE"""),400.0)</f>
        <v>400</v>
      </c>
      <c r="E10" s="66">
        <f t="shared" si="5"/>
        <v>719</v>
      </c>
      <c r="F10" s="46">
        <f t="shared" si="1"/>
        <v>956458</v>
      </c>
      <c r="G10" s="46">
        <f t="array" ref="G10">iferror(1000000-(1000000-Compilation!$B$3)*sum(xlookup(B10,Scores!$B$1:Z$1,Scores!$B$12:Z$411))/SUMPRODUCT(Compilation!$B$9:$B$409,xlookup(B10,Scores!$B$1:Z$1,Scores!$B$12:Z$411)&lt;&gt;0),"")</f>
        <v>956458</v>
      </c>
      <c r="H10" s="46">
        <f t="array" ref="H10">IFERROR(let(a,xlookup(B10,Scores!$B$1:Z$1,Scores!$B$12:Z$411),1000000-SUMPRODUCT(Compilation!$B$9:$B$409,a=0)-sumproduct(a,a&lt;&gt;0)),"")</f>
        <v>956458</v>
      </c>
      <c r="I10" s="10">
        <f t="array" ref="I10">iferror(xlookup(B10:B1000,Scores!$B$1:Z$1,Scores!$B$5:Z$5),"")</f>
        <v>43542</v>
      </c>
      <c r="J10" s="67">
        <f t="shared" si="2"/>
        <v>43542</v>
      </c>
      <c r="K10" s="26" t="str">
        <f t="shared" si="3"/>
        <v/>
      </c>
    </row>
    <row r="11">
      <c r="A11" s="65">
        <f t="shared" si="4"/>
        <v>10</v>
      </c>
      <c r="B11" s="14" t="str">
        <f>IFERROR(__xludf.DUMMYFUNCTION("""COMPUTED_VALUE"""),"intgrah jimboko awu macaque sammyuri")</f>
        <v>intgrah jimboko awu macaque sammyuri</v>
      </c>
      <c r="C11" s="46">
        <f>IFERROR(__xludf.DUMMYFUNCTION("""COMPUTED_VALUE"""),956015.0)</f>
        <v>956015</v>
      </c>
      <c r="D11" s="46">
        <f>IFERROR(__xludf.DUMMYFUNCTION("""COMPUTED_VALUE"""),400.0)</f>
        <v>400</v>
      </c>
      <c r="E11" s="66">
        <f t="shared" si="5"/>
        <v>443</v>
      </c>
      <c r="F11" s="46">
        <f t="shared" si="1"/>
        <v>956015</v>
      </c>
      <c r="G11" s="46">
        <f t="array" ref="G11">iferror(1000000-(1000000-Compilation!$B$3)*sum(xlookup(B11,Scores!$B$1:Z$1,Scores!$B$12:Z$411))/SUMPRODUCT(Compilation!$B$9:$B$409,xlookup(B11,Scores!$B$1:Z$1,Scores!$B$12:Z$411)&lt;&gt;0),"")</f>
        <v>956015</v>
      </c>
      <c r="H11" s="46">
        <f t="array" ref="H11">IFERROR(let(a,xlookup(B11,Scores!$B$1:Z$1,Scores!$B$12:Z$411),1000000-SUMPRODUCT(Compilation!$B$9:$B$409,a=0)-sumproduct(a,a&lt;&gt;0)),"")</f>
        <v>956015</v>
      </c>
      <c r="I11" s="10">
        <f t="array" ref="I11">iferror(xlookup(B11:B1000,Scores!$B$1:Z$1,Scores!$B$5:Z$5),"")</f>
        <v>43985</v>
      </c>
      <c r="J11" s="67">
        <f t="shared" si="2"/>
        <v>43985</v>
      </c>
      <c r="K11" s="26" t="str">
        <f t="shared" si="3"/>
        <v/>
      </c>
    </row>
    <row r="12">
      <c r="A12" s="65">
        <f t="shared" si="4"/>
        <v>11</v>
      </c>
      <c r="B12" s="14" t="str">
        <f>IFERROR(__xludf.DUMMYFUNCTION("""COMPUTED_VALUE"""),"ﾀｲｽｹﾝｻﾝﾊﾞII")</f>
        <v>ﾀｲｽｹﾝｻﾝﾊﾞII</v>
      </c>
      <c r="C12" s="46">
        <f>IFERROR(__xludf.DUMMYFUNCTION("""COMPUTED_VALUE"""),955424.0)</f>
        <v>955424</v>
      </c>
      <c r="D12" s="46">
        <f>IFERROR(__xludf.DUMMYFUNCTION("""COMPUTED_VALUE"""),400.0)</f>
        <v>400</v>
      </c>
      <c r="E12" s="66">
        <f t="shared" si="5"/>
        <v>591</v>
      </c>
      <c r="F12" s="46">
        <f t="shared" si="1"/>
        <v>955424</v>
      </c>
      <c r="G12" s="46">
        <f t="array" ref="G12">iferror(1000000-(1000000-Compilation!$B$3)*sum(xlookup(B12,Scores!$B$1:Z$1,Scores!$B$12:Z$411))/SUMPRODUCT(Compilation!$B$9:$B$409,xlookup(B12,Scores!$B$1:Z$1,Scores!$B$12:Z$411)&lt;&gt;0),"")</f>
        <v>955424</v>
      </c>
      <c r="H12" s="46">
        <f t="array" ref="H12">IFERROR(let(a,xlookup(B12,Scores!$B$1:Z$1,Scores!$B$12:Z$411),1000000-SUMPRODUCT(Compilation!$B$9:$B$409,a=0)-sumproduct(a,a&lt;&gt;0)),"")</f>
        <v>955424</v>
      </c>
      <c r="I12" s="10">
        <f t="array" ref="I12">iferror(xlookup(B12:B1000,Scores!$B$1:Z$1,Scores!$B$5:Z$5),"")</f>
        <v>44576</v>
      </c>
      <c r="J12" s="67">
        <f t="shared" si="2"/>
        <v>44576</v>
      </c>
      <c r="K12" s="26" t="str">
        <f t="shared" si="3"/>
        <v/>
      </c>
    </row>
    <row r="13">
      <c r="A13" s="65">
        <f t="shared" si="4"/>
        <v>12</v>
      </c>
      <c r="B13" s="14" t="str">
        <f>IFERROR(__xludf.DUMMYFUNCTION("""COMPUTED_VALUE"""),"ALE-Agent")</f>
        <v>ALE-Agent</v>
      </c>
      <c r="C13" s="46">
        <f>IFERROR(__xludf.DUMMYFUNCTION("""COMPUTED_VALUE"""),954571.0)</f>
        <v>954571</v>
      </c>
      <c r="D13" s="46">
        <f>IFERROR(__xludf.DUMMYFUNCTION("""COMPUTED_VALUE"""),400.0)</f>
        <v>400</v>
      </c>
      <c r="E13" s="66">
        <f t="shared" si="5"/>
        <v>853</v>
      </c>
      <c r="F13" s="46">
        <f t="shared" si="1"/>
        <v>954571</v>
      </c>
      <c r="G13" s="46">
        <f t="array" ref="G13">iferror(1000000-(1000000-Compilation!$B$3)*sum(xlookup(B13,Scores!$B$1:Z$1,Scores!$B$12:Z$411))/SUMPRODUCT(Compilation!$B$9:$B$409,xlookup(B13,Scores!$B$1:Z$1,Scores!$B$12:Z$411)&lt;&gt;0),"")</f>
        <v>954571</v>
      </c>
      <c r="H13" s="46">
        <f t="array" ref="H13">IFERROR(let(a,xlookup(B13,Scores!$B$1:Z$1,Scores!$B$12:Z$411),1000000-SUMPRODUCT(Compilation!$B$9:$B$409,a=0)-sumproduct(a,a&lt;&gt;0)),"")</f>
        <v>954571</v>
      </c>
      <c r="I13" s="10">
        <f t="array" ref="I13">iferror(xlookup(B13:B1000,Scores!$B$1:Z$1,Scores!$B$5:Z$5),"")</f>
        <v>45429</v>
      </c>
      <c r="J13" s="67">
        <f t="shared" si="2"/>
        <v>45429</v>
      </c>
      <c r="K13" s="26" t="str">
        <f t="shared" si="3"/>
        <v/>
      </c>
    </row>
    <row r="14">
      <c r="A14" s="65">
        <f t="shared" si="4"/>
        <v>13</v>
      </c>
      <c r="B14" s="14" t="str">
        <f>IFERROR(__xludf.DUMMYFUNCTION("""COMPUTED_VALUE"""),"santa2024")</f>
        <v>santa2024</v>
      </c>
      <c r="C14" s="46">
        <f>IFERROR(__xludf.DUMMYFUNCTION("""COMPUTED_VALUE"""),954246.0)</f>
        <v>954246</v>
      </c>
      <c r="D14" s="46">
        <f>IFERROR(__xludf.DUMMYFUNCTION("""COMPUTED_VALUE"""),400.0)</f>
        <v>400</v>
      </c>
      <c r="E14" s="66">
        <f t="shared" si="5"/>
        <v>325</v>
      </c>
      <c r="F14" s="46">
        <f t="shared" si="1"/>
        <v>954246</v>
      </c>
      <c r="G14" s="46">
        <f t="array" ref="G14">iferror(1000000-(1000000-Compilation!$B$3)*sum(xlookup(B14,Scores!$B$1:Z$1,Scores!$B$12:Z$411))/SUMPRODUCT(Compilation!$B$9:$B$409,xlookup(B14,Scores!$B$1:Z$1,Scores!$B$12:Z$411)&lt;&gt;0),"")</f>
        <v>954246</v>
      </c>
      <c r="H14" s="46">
        <f t="array" ref="H14">IFERROR(let(a,xlookup(B14,Scores!$B$1:Z$1,Scores!$B$12:Z$411),1000000-SUMPRODUCT(Compilation!$B$9:$B$409,a=0)-sumproduct(a,a&lt;&gt;0)),"")</f>
        <v>954246</v>
      </c>
      <c r="I14" s="10">
        <f t="array" ref="I14">iferror(xlookup(B14:B1000,Scores!$B$1:Z$1,Scores!$B$5:Z$5),"")</f>
        <v>45754</v>
      </c>
      <c r="J14" s="67">
        <f t="shared" si="2"/>
        <v>45754</v>
      </c>
      <c r="K14" s="26" t="str">
        <f t="shared" si="3"/>
        <v/>
      </c>
    </row>
    <row r="15">
      <c r="A15" s="65">
        <f t="shared" si="4"/>
        <v>14</v>
      </c>
      <c r="B15" s="14" t="str">
        <f>IFERROR(__xludf.DUMMYFUNCTION("""COMPUTED_VALUE"""),"
Team JYCDT")</f>
        <v>
Team JYCDT</v>
      </c>
      <c r="C15" s="46">
        <f>IFERROR(__xludf.DUMMYFUNCTION("""COMPUTED_VALUE"""),953336.0)</f>
        <v>953336</v>
      </c>
      <c r="D15" s="46">
        <f>IFERROR(__xludf.DUMMYFUNCTION("""COMPUTED_VALUE"""),400.0)</f>
        <v>400</v>
      </c>
      <c r="E15" s="66">
        <f t="shared" si="5"/>
        <v>910</v>
      </c>
      <c r="F15" s="46">
        <f t="shared" si="1"/>
        <v>953336</v>
      </c>
      <c r="G15" s="46">
        <f t="array" ref="G15">iferror(1000000-(1000000-Compilation!$B$3)*sum(xlookup(B15,Scores!$B$1:Z$1,Scores!$B$12:Z$411))/SUMPRODUCT(Compilation!$B$9:$B$409,xlookup(B15,Scores!$B$1:Z$1,Scores!$B$12:Z$411)&lt;&gt;0),"")</f>
        <v>953336</v>
      </c>
      <c r="H15" s="46">
        <f t="array" ref="H15">IFERROR(let(a,xlookup(B15,Scores!$B$1:Z$1,Scores!$B$12:Z$411),1000000-SUMPRODUCT(Compilation!$B$9:$B$409,a=0)-sumproduct(a,a&lt;&gt;0)),"")</f>
        <v>953336</v>
      </c>
      <c r="I15" s="10">
        <f t="array" ref="I15">iferror(xlookup(B15:B1000,Scores!$B$1:Z$1,Scores!$B$5:Z$5),"")</f>
        <v>46664</v>
      </c>
      <c r="J15" s="67">
        <f t="shared" si="2"/>
        <v>46664</v>
      </c>
      <c r="K15" s="26" t="str">
        <f t="shared" si="3"/>
        <v/>
      </c>
    </row>
    <row r="16">
      <c r="A16" s="65">
        <f t="shared" si="4"/>
        <v>15</v>
      </c>
      <c r="B16" s="14" t="str">
        <f>IFERROR(__xludf.DUMMYFUNCTION("""COMPUTED_VALUE"""),"THUNDER THUNDER")</f>
        <v>THUNDER THUNDER</v>
      </c>
      <c r="C16" s="46">
        <f>IFERROR(__xludf.DUMMYFUNCTION("""COMPUTED_VALUE"""),951260.0)</f>
        <v>951260</v>
      </c>
      <c r="D16" s="46">
        <f>IFERROR(__xludf.DUMMYFUNCTION("""COMPUTED_VALUE"""),400.0)</f>
        <v>400</v>
      </c>
      <c r="E16" s="66">
        <f t="shared" si="5"/>
        <v>2076</v>
      </c>
      <c r="F16" s="46">
        <f t="shared" si="1"/>
        <v>951260</v>
      </c>
      <c r="G16" s="46">
        <f t="array" ref="G16">iferror(1000000-(1000000-Compilation!$B$3)*sum(xlookup(B16,Scores!$B$1:Z$1,Scores!$B$12:Z$411))/SUMPRODUCT(Compilation!$B$9:$B$409,xlookup(B16,Scores!$B$1:Z$1,Scores!$B$12:Z$411)&lt;&gt;0),"")</f>
        <v>951260</v>
      </c>
      <c r="H16" s="46">
        <f t="array" ref="H16">IFERROR(let(a,xlookup(B16,Scores!$B$1:Z$1,Scores!$B$12:Z$411),1000000-SUMPRODUCT(Compilation!$B$9:$B$409,a=0)-sumproduct(a,a&lt;&gt;0)),"")</f>
        <v>951260</v>
      </c>
      <c r="I16" s="10">
        <f t="array" ref="I16">iferror(xlookup(B16:B1000,Scores!$B$1:Z$1,Scores!$B$5:Z$5),"")</f>
        <v>48740</v>
      </c>
      <c r="J16" s="67">
        <f t="shared" si="2"/>
        <v>48740</v>
      </c>
      <c r="K16" s="26" t="str">
        <f t="shared" si="3"/>
        <v/>
      </c>
    </row>
    <row r="17">
      <c r="A17" s="65">
        <f t="shared" si="4"/>
        <v>16</v>
      </c>
      <c r="B17" s="14" t="str">
        <f>IFERROR(__xludf.DUMMYFUNCTION("""COMPUTED_VALUE"""),"JRKKX")</f>
        <v>JRKKX</v>
      </c>
      <c r="C17" s="46">
        <f>IFERROR(__xludf.DUMMYFUNCTION("""COMPUTED_VALUE"""),949303.0)</f>
        <v>949303</v>
      </c>
      <c r="D17" s="46">
        <f>IFERROR(__xludf.DUMMYFUNCTION("""COMPUTED_VALUE"""),400.0)</f>
        <v>400</v>
      </c>
      <c r="E17" s="66">
        <f t="shared" si="5"/>
        <v>1957</v>
      </c>
      <c r="F17" s="46">
        <f t="shared" si="1"/>
        <v>949303</v>
      </c>
      <c r="G17" s="46">
        <f t="array" ref="G17">iferror(1000000-(1000000-Compilation!$B$3)*sum(xlookup(B17,Scores!$B$1:Z$1,Scores!$B$12:Z$411))/SUMPRODUCT(Compilation!$B$9:$B$409,xlookup(B17,Scores!$B$1:Z$1,Scores!$B$12:Z$411)&lt;&gt;0),"")</f>
        <v>949303</v>
      </c>
      <c r="H17" s="46">
        <f t="array" ref="H17">IFERROR(let(a,xlookup(B17,Scores!$B$1:Z$1,Scores!$B$12:Z$411),1000000-SUMPRODUCT(Compilation!$B$9:$B$409,a=0)-sumproduct(a,a&lt;&gt;0)),"")</f>
        <v>949303</v>
      </c>
      <c r="I17" s="10">
        <f t="array" ref="I17">iferror(xlookup(B17:B1000,Scores!$B$1:Z$1,Scores!$B$5:Z$5),"")</f>
        <v>50697</v>
      </c>
      <c r="J17" s="67">
        <f t="shared" si="2"/>
        <v>50697</v>
      </c>
      <c r="K17" s="26" t="str">
        <f t="shared" si="3"/>
        <v/>
      </c>
    </row>
    <row r="18">
      <c r="A18" s="65">
        <f t="shared" si="4"/>
        <v>17</v>
      </c>
      <c r="B18" s="14" t="str">
        <f>IFERROR(__xludf.DUMMYFUNCTION("""COMPUTED_VALUE"""),"Ravi Annaswamy")</f>
        <v>Ravi Annaswamy</v>
      </c>
      <c r="C18" s="46">
        <f>IFERROR(__xludf.DUMMYFUNCTION("""COMPUTED_VALUE"""),945772.0)</f>
        <v>945772</v>
      </c>
      <c r="D18" s="46">
        <f>IFERROR(__xludf.DUMMYFUNCTION("""COMPUTED_VALUE"""),400.0)</f>
        <v>400</v>
      </c>
      <c r="E18" s="66">
        <f t="shared" si="5"/>
        <v>3531</v>
      </c>
      <c r="F18" s="46">
        <f t="shared" si="1"/>
        <v>945772</v>
      </c>
      <c r="G18" s="46">
        <f t="array" ref="G18">iferror(1000000-(1000000-Compilation!$B$3)*sum(xlookup(B18,Scores!$B$1:Z$1,Scores!$B$12:Z$411))/SUMPRODUCT(Compilation!$B$9:$B$409,xlookup(B18,Scores!$B$1:Z$1,Scores!$B$12:Z$411)&lt;&gt;0),"")</f>
        <v>945772</v>
      </c>
      <c r="H18" s="46">
        <f t="array" ref="H18">IFERROR(let(a,xlookup(B18,Scores!$B$1:Z$1,Scores!$B$12:Z$411),1000000-SUMPRODUCT(Compilation!$B$9:$B$409,a=0)-sumproduct(a,a&lt;&gt;0)),"")</f>
        <v>945772</v>
      </c>
      <c r="I18" s="10">
        <f t="array" ref="I18">iferror(xlookup(B18:B1000,Scores!$B$1:Z$1,Scores!$B$5:Z$5),"")</f>
        <v>54228</v>
      </c>
      <c r="J18" s="67">
        <f t="shared" si="2"/>
        <v>54228</v>
      </c>
      <c r="K18" s="26" t="str">
        <f t="shared" si="3"/>
        <v/>
      </c>
    </row>
    <row r="19">
      <c r="A19" s="65">
        <f t="shared" si="4"/>
        <v>18</v>
      </c>
      <c r="B19" s="14" t="str">
        <f>IFERROR(__xludf.DUMMYFUNCTION("""COMPUTED_VALUE"""),"cg-klogw-sekken")</f>
        <v>cg-klogw-sekken</v>
      </c>
      <c r="C19" s="46">
        <f>IFERROR(__xludf.DUMMYFUNCTION("""COMPUTED_VALUE"""),944525.0)</f>
        <v>944525</v>
      </c>
      <c r="D19" s="46">
        <f>IFERROR(__xludf.DUMMYFUNCTION("""COMPUTED_VALUE"""),400.0)</f>
        <v>400</v>
      </c>
      <c r="E19" s="66">
        <f t="shared" si="5"/>
        <v>1247</v>
      </c>
      <c r="F19" s="46">
        <f t="shared" si="1"/>
        <v>944525</v>
      </c>
      <c r="G19" s="46">
        <f t="array" ref="G19">iferror(1000000-(1000000-Compilation!$B$3)*sum(xlookup(B19,Scores!$B$1:Z$1,Scores!$B$12:Z$411))/SUMPRODUCT(Compilation!$B$9:$B$409,xlookup(B19,Scores!$B$1:Z$1,Scores!$B$12:Z$411)&lt;&gt;0),"")</f>
        <v>944525</v>
      </c>
      <c r="H19" s="46">
        <f t="array" ref="H19">IFERROR(let(a,xlookup(B19,Scores!$B$1:Z$1,Scores!$B$12:Z$411),1000000-SUMPRODUCT(Compilation!$B$9:$B$409,a=0)-sumproduct(a,a&lt;&gt;0)),"")</f>
        <v>944525</v>
      </c>
      <c r="I19" s="10">
        <f t="array" ref="I19">iferror(xlookup(B19:B1000,Scores!$B$1:Z$1,Scores!$B$5:Z$5),"")</f>
        <v>55475</v>
      </c>
      <c r="J19" s="67">
        <f t="shared" si="2"/>
        <v>55475</v>
      </c>
      <c r="K19" s="26" t="str">
        <f t="shared" si="3"/>
        <v/>
      </c>
    </row>
    <row r="20">
      <c r="A20" s="65">
        <f t="shared" si="4"/>
        <v>19</v>
      </c>
      <c r="B20" s="14" t="str">
        <f>IFERROR(__xludf.DUMMYFUNCTION("""COMPUTED_VALUE"""),"ShadowPrompt Labs")</f>
        <v>ShadowPrompt Labs</v>
      </c>
      <c r="C20" s="46">
        <f>IFERROR(__xludf.DUMMYFUNCTION("""COMPUTED_VALUE"""),944204.0)</f>
        <v>944204</v>
      </c>
      <c r="D20" s="46">
        <f>IFERROR(__xludf.DUMMYFUNCTION("""COMPUTED_VALUE"""),400.0)</f>
        <v>400</v>
      </c>
      <c r="E20" s="66">
        <f t="shared" si="5"/>
        <v>321</v>
      </c>
      <c r="F20" s="46">
        <f t="shared" si="1"/>
        <v>944204</v>
      </c>
      <c r="G20" s="46">
        <f t="array" ref="G20">iferror(1000000-(1000000-Compilation!$B$3)*sum(xlookup(B20,Scores!$B$1:Z$1,Scores!$B$12:Z$411))/SUMPRODUCT(Compilation!$B$9:$B$409,xlookup(B20,Scores!$B$1:Z$1,Scores!$B$12:Z$411)&lt;&gt;0),"")</f>
        <v>944204</v>
      </c>
      <c r="H20" s="46">
        <f t="array" ref="H20">IFERROR(let(a,xlookup(B20,Scores!$B$1:Z$1,Scores!$B$12:Z$411),1000000-SUMPRODUCT(Compilation!$B$9:$B$409,a=0)-sumproduct(a,a&lt;&gt;0)),"")</f>
        <v>944204</v>
      </c>
      <c r="I20" s="10">
        <f t="array" ref="I20">iferror(xlookup(B20:B1000,Scores!$B$1:Z$1,Scores!$B$5:Z$5),"")</f>
        <v>55796</v>
      </c>
      <c r="J20" s="67">
        <f t="shared" si="2"/>
        <v>55796</v>
      </c>
      <c r="K20" s="26" t="str">
        <f t="shared" si="3"/>
        <v/>
      </c>
    </row>
    <row r="21">
      <c r="A21" s="65">
        <f t="shared" si="4"/>
        <v>20</v>
      </c>
      <c r="B21" s="14" t="str">
        <f>IFERROR(__xludf.DUMMYFUNCTION("""COMPUTED_VALUE"""),"Yuchen20")</f>
        <v>Yuchen20</v>
      </c>
      <c r="C21" s="46">
        <f>IFERROR(__xludf.DUMMYFUNCTION("""COMPUTED_VALUE"""),941084.0)</f>
        <v>941084</v>
      </c>
      <c r="D21" s="46">
        <f>IFERROR(__xludf.DUMMYFUNCTION("""COMPUTED_VALUE"""),400.0)</f>
        <v>400</v>
      </c>
      <c r="E21" s="66">
        <f t="shared" si="5"/>
        <v>3120</v>
      </c>
      <c r="F21" s="46">
        <f t="shared" si="1"/>
        <v>941084</v>
      </c>
      <c r="G21" s="46">
        <f t="array" ref="G21">iferror(1000000-(1000000-Compilation!$B$3)*sum(xlookup(B21,Scores!$B$1:Z$1,Scores!$B$12:Z$411))/SUMPRODUCT(Compilation!$B$9:$B$409,xlookup(B21,Scores!$B$1:Z$1,Scores!$B$12:Z$411)&lt;&gt;0),"")</f>
        <v>941084</v>
      </c>
      <c r="H21" s="46">
        <f t="array" ref="H21">IFERROR(let(a,xlookup(B21,Scores!$B$1:Z$1,Scores!$B$12:Z$411),1000000-SUMPRODUCT(Compilation!$B$9:$B$409,a=0)-sumproduct(a,a&lt;&gt;0)),"")</f>
        <v>941084</v>
      </c>
      <c r="I21" s="10">
        <f t="array" ref="I21">iferror(xlookup(B21:B1000,Scores!$B$1:Z$1,Scores!$B$5:Z$5),"")</f>
        <v>58916</v>
      </c>
      <c r="J21" s="67">
        <f t="shared" si="2"/>
        <v>58916</v>
      </c>
      <c r="K21" s="26" t="str">
        <f t="shared" si="3"/>
        <v/>
      </c>
    </row>
    <row r="22">
      <c r="A22" s="65">
        <f t="shared" si="4"/>
        <v>21</v>
      </c>
      <c r="B22" s="14" t="str">
        <f>IFERROR(__xludf.DUMMYFUNCTION("""COMPUTED_VALUE"""),"kambarakun")</f>
        <v>kambarakun</v>
      </c>
      <c r="C22" s="46">
        <f>IFERROR(__xludf.DUMMYFUNCTION("""COMPUTED_VALUE"""),937943.0)</f>
        <v>937943</v>
      </c>
      <c r="D22" s="46">
        <f>IFERROR(__xludf.DUMMYFUNCTION("""COMPUTED_VALUE"""),400.0)</f>
        <v>400</v>
      </c>
      <c r="E22" s="66">
        <f t="shared" si="5"/>
        <v>3141</v>
      </c>
      <c r="F22" s="46">
        <f t="shared" si="1"/>
        <v>937943</v>
      </c>
      <c r="G22" s="46">
        <f t="array" ref="G22">iferror(1000000-(1000000-Compilation!$B$3)*sum(xlookup(B22,Scores!$B$1:Z$1,Scores!$B$12:Z$411))/SUMPRODUCT(Compilation!$B$9:$B$409,xlookup(B22,Scores!$B$1:Z$1,Scores!$B$12:Z$411)&lt;&gt;0),"")</f>
        <v>937943</v>
      </c>
      <c r="H22" s="46">
        <f t="array" ref="H22">IFERROR(let(a,xlookup(B22,Scores!$B$1:Z$1,Scores!$B$12:Z$411),1000000-SUMPRODUCT(Compilation!$B$9:$B$409,a=0)-sumproduct(a,a&lt;&gt;0)),"")</f>
        <v>937943</v>
      </c>
      <c r="I22" s="10">
        <f t="array" ref="I22">iferror(xlookup(B22:B1000,Scores!$B$1:Z$1,Scores!$B$5:Z$5),"")</f>
        <v>62057</v>
      </c>
      <c r="J22" s="67">
        <f t="shared" si="2"/>
        <v>62057</v>
      </c>
      <c r="K22" s="26" t="str">
        <f t="shared" si="3"/>
        <v/>
      </c>
    </row>
    <row r="23">
      <c r="A23" s="65">
        <f t="shared" si="4"/>
        <v>22</v>
      </c>
      <c r="B23" s="14" t="str">
        <f>IFERROR(__xludf.DUMMYFUNCTION("""COMPUTED_VALUE"""),"Ty Woods")</f>
        <v>Ty Woods</v>
      </c>
      <c r="C23" s="46">
        <f>IFERROR(__xludf.DUMMYFUNCTION("""COMPUTED_VALUE"""),931043.0)</f>
        <v>931043</v>
      </c>
      <c r="D23" s="46">
        <f>IFERROR(__xludf.DUMMYFUNCTION("""COMPUTED_VALUE"""),400.0)</f>
        <v>400</v>
      </c>
      <c r="E23" s="66">
        <f t="shared" si="5"/>
        <v>6900</v>
      </c>
      <c r="F23" s="46">
        <f t="shared" si="1"/>
        <v>931043</v>
      </c>
      <c r="G23" s="46">
        <f t="array" ref="G23">iferror(1000000-(1000000-Compilation!$B$3)*sum(xlookup(B23,Scores!$B$1:Z$1,Scores!$B$12:Z$411))/SUMPRODUCT(Compilation!$B$9:$B$409,xlookup(B23,Scores!$B$1:Z$1,Scores!$B$12:Z$411)&lt;&gt;0),"")</f>
        <v>931043</v>
      </c>
      <c r="H23" s="46">
        <f t="array" ref="H23">IFERROR(let(a,xlookup(B23,Scores!$B$1:Z$1,Scores!$B$12:Z$411),1000000-SUMPRODUCT(Compilation!$B$9:$B$409,a=0)-sumproduct(a,a&lt;&gt;0)),"")</f>
        <v>931043</v>
      </c>
      <c r="I23" s="10">
        <f t="array" ref="I23">iferror(xlookup(B23:B1000,Scores!$B$1:Z$1,Scores!$B$5:Z$5),"")</f>
        <v>68957</v>
      </c>
      <c r="J23" s="67">
        <f t="shared" si="2"/>
        <v>68957</v>
      </c>
      <c r="K23" s="26" t="str">
        <f t="shared" si="3"/>
        <v/>
      </c>
    </row>
    <row r="24">
      <c r="A24" s="65">
        <f t="shared" si="4"/>
        <v>23</v>
      </c>
      <c r="B24" s="14" t="str">
        <f>IFERROR(__xludf.DUMMYFUNCTION("""COMPUTED_VALUE"""),"sekken")</f>
        <v>sekken</v>
      </c>
      <c r="C24" s="46">
        <f>IFERROR(__xludf.DUMMYFUNCTION("""COMPUTED_VALUE"""),927316.0)</f>
        <v>927316</v>
      </c>
      <c r="D24" s="46">
        <f>IFERROR(__xludf.DUMMYFUNCTION("""COMPUTED_VALUE"""),400.0)</f>
        <v>400</v>
      </c>
      <c r="E24" s="66">
        <f t="shared" si="5"/>
        <v>3727</v>
      </c>
      <c r="F24" s="46">
        <f t="shared" si="1"/>
        <v>927316</v>
      </c>
      <c r="G24" s="46">
        <f t="array" ref="G24">iferror(1000000-(1000000-Compilation!$B$3)*sum(xlookup(B24,Scores!$B$1:Z$1,Scores!$B$12:Z$411))/SUMPRODUCT(Compilation!$B$9:$B$409,xlookup(B24,Scores!$B$1:Z$1,Scores!$B$12:Z$411)&lt;&gt;0),"")</f>
        <v>927316</v>
      </c>
      <c r="H24" s="46">
        <f t="array" ref="H24">IFERROR(let(a,xlookup(B24,Scores!$B$1:Z$1,Scores!$B$12:Z$411),1000000-SUMPRODUCT(Compilation!$B$9:$B$409,a=0)-sumproduct(a,a&lt;&gt;0)),"")</f>
        <v>927316</v>
      </c>
      <c r="I24" s="10">
        <f t="array" ref="I24">iferror(xlookup(B24:B1000,Scores!$B$1:Z$1,Scores!$B$5:Z$5),"")</f>
        <v>72684</v>
      </c>
      <c r="J24" s="67">
        <f t="shared" si="2"/>
        <v>72684</v>
      </c>
      <c r="K24" s="26" t="str">
        <f t="shared" si="3"/>
        <v/>
      </c>
    </row>
    <row r="25">
      <c r="A25" s="65">
        <f t="shared" si="4"/>
        <v>24</v>
      </c>
      <c r="B25" s="14" t="str">
        <f>IFERROR(__xludf.DUMMYFUNCTION("""COMPUTED_VALUE"""),"Krige")</f>
        <v>Krige</v>
      </c>
      <c r="C25" s="46">
        <f>IFERROR(__xludf.DUMMYFUNCTION("""COMPUTED_VALUE"""),925835.0)</f>
        <v>925835</v>
      </c>
      <c r="D25" s="46">
        <f>IFERROR(__xludf.DUMMYFUNCTION("""COMPUTED_VALUE"""),400.0)</f>
        <v>400</v>
      </c>
      <c r="E25" s="66">
        <f t="shared" si="5"/>
        <v>1481</v>
      </c>
      <c r="F25" s="46">
        <f t="shared" si="1"/>
        <v>925835</v>
      </c>
      <c r="G25" s="46">
        <f t="array" ref="G25">iferror(1000000-(1000000-Compilation!$B$3)*sum(xlookup(B25,Scores!$B$1:Z$1,Scores!$B$12:Z$411))/SUMPRODUCT(Compilation!$B$9:$B$409,xlookup(B25,Scores!$B$1:Z$1,Scores!$B$12:Z$411)&lt;&gt;0),"")</f>
        <v>925835</v>
      </c>
      <c r="H25" s="46">
        <f t="array" ref="H25">IFERROR(let(a,xlookup(B25,Scores!$B$1:Z$1,Scores!$B$12:Z$411),1000000-SUMPRODUCT(Compilation!$B$9:$B$409,a=0)-sumproduct(a,a&lt;&gt;0)),"")</f>
        <v>925835</v>
      </c>
      <c r="I25" s="10">
        <f t="array" ref="I25">iferror(xlookup(B25:B1000,Scores!$B$1:Z$1,Scores!$B$5:Z$5),"")</f>
        <v>74165</v>
      </c>
      <c r="J25" s="67">
        <f t="shared" si="2"/>
        <v>74165</v>
      </c>
      <c r="K25" s="26" t="str">
        <f t="shared" si="3"/>
        <v/>
      </c>
    </row>
    <row r="26">
      <c r="A26" s="65">
        <f t="shared" si="4"/>
        <v>25</v>
      </c>
      <c r="B26" s="14" t="str">
        <f>IFERROR(__xludf.DUMMYFUNCTION("""COMPUTED_VALUE"""),"kdmitrie")</f>
        <v>kdmitrie</v>
      </c>
      <c r="C26" s="46">
        <f>IFERROR(__xludf.DUMMYFUNCTION("""COMPUTED_VALUE"""),924381.0)</f>
        <v>924381</v>
      </c>
      <c r="D26" s="46">
        <f>IFERROR(__xludf.DUMMYFUNCTION("""COMPUTED_VALUE"""),400.0)</f>
        <v>400</v>
      </c>
      <c r="E26" s="66">
        <f t="shared" si="5"/>
        <v>1454</v>
      </c>
      <c r="F26" s="46">
        <f t="shared" si="1"/>
        <v>924381</v>
      </c>
      <c r="G26" s="46">
        <f t="array" ref="G26">iferror(1000000-(1000000-Compilation!$B$3)*sum(xlookup(B26,Scores!$B$1:Z$1,Scores!$B$12:Z$411))/SUMPRODUCT(Compilation!$B$9:$B$409,xlookup(B26,Scores!$B$1:Z$1,Scores!$B$12:Z$411)&lt;&gt;0),"")</f>
        <v>924381</v>
      </c>
      <c r="H26" s="46">
        <f t="array" ref="H26">IFERROR(let(a,xlookup(B26,Scores!$B$1:Z$1,Scores!$B$12:Z$411),1000000-SUMPRODUCT(Compilation!$B$9:$B$409,a=0)-sumproduct(a,a&lt;&gt;0)),"")</f>
        <v>924381</v>
      </c>
      <c r="I26" s="10">
        <f t="array" ref="I26">iferror(xlookup(B26:B1000,Scores!$B$1:Z$1,Scores!$B$5:Z$5),"")</f>
        <v>75619</v>
      </c>
      <c r="J26" s="67">
        <f t="shared" si="2"/>
        <v>75619</v>
      </c>
      <c r="K26" s="26" t="str">
        <f t="shared" si="3"/>
        <v/>
      </c>
    </row>
    <row r="27">
      <c r="A27" s="65">
        <f t="shared" si="4"/>
        <v>26</v>
      </c>
      <c r="B27" s="14" t="str">
        <f>IFERROR(__xludf.DUMMYFUNCTION("""COMPUTED_VALUE"""),"azakhtyamov")</f>
        <v>azakhtyamov</v>
      </c>
      <c r="C27" s="46">
        <f>IFERROR(__xludf.DUMMYFUNCTION("""COMPUTED_VALUE"""),916667.0)</f>
        <v>916667</v>
      </c>
      <c r="D27" s="46">
        <f>IFERROR(__xludf.DUMMYFUNCTION("""COMPUTED_VALUE"""),400.0)</f>
        <v>400</v>
      </c>
      <c r="E27" s="66">
        <f t="shared" si="5"/>
        <v>7714</v>
      </c>
      <c r="F27" s="46">
        <f t="shared" si="1"/>
        <v>916667</v>
      </c>
      <c r="G27" s="46">
        <f t="array" ref="G27">iferror(1000000-(1000000-Compilation!$B$3)*sum(xlookup(B27,Scores!$B$1:Z$1,Scores!$B$12:Z$411))/SUMPRODUCT(Compilation!$B$9:$B$409,xlookup(B27,Scores!$B$1:Z$1,Scores!$B$12:Z$411)&lt;&gt;0),"")</f>
        <v>916667</v>
      </c>
      <c r="H27" s="46">
        <f t="array" ref="H27">IFERROR(let(a,xlookup(B27,Scores!$B$1:Z$1,Scores!$B$12:Z$411),1000000-SUMPRODUCT(Compilation!$B$9:$B$409,a=0)-sumproduct(a,a&lt;&gt;0)),"")</f>
        <v>916667</v>
      </c>
      <c r="I27" s="10">
        <f t="array" ref="I27">iferror(xlookup(B27:B1000,Scores!$B$1:Z$1,Scores!$B$5:Z$5),"")</f>
        <v>83333</v>
      </c>
      <c r="J27" s="67">
        <f t="shared" si="2"/>
        <v>83333</v>
      </c>
      <c r="K27" s="26" t="str">
        <f t="shared" si="3"/>
        <v/>
      </c>
    </row>
    <row r="28">
      <c r="A28" s="65">
        <f t="shared" si="4"/>
        <v>27</v>
      </c>
      <c r="B28" s="14" t="str">
        <f>IFERROR(__xludf.DUMMYFUNCTION("""COMPUTED_VALUE"""),"rucin93")</f>
        <v>rucin93</v>
      </c>
      <c r="C28" s="46">
        <f>IFERROR(__xludf.DUMMYFUNCTION("""COMPUTED_VALUE"""),913684.0)</f>
        <v>913684</v>
      </c>
      <c r="D28" s="46">
        <f>IFERROR(__xludf.DUMMYFUNCTION("""COMPUTED_VALUE"""),400.0)</f>
        <v>400</v>
      </c>
      <c r="E28" s="66">
        <f t="shared" si="5"/>
        <v>2983</v>
      </c>
      <c r="F28" s="46">
        <f t="shared" si="1"/>
        <v>913684</v>
      </c>
      <c r="G28" s="46">
        <f t="array" ref="G28">iferror(1000000-(1000000-Compilation!$B$3)*sum(xlookup(B28,Scores!$B$1:Z$1,Scores!$B$12:Z$411))/SUMPRODUCT(Compilation!$B$9:$B$409,xlookup(B28,Scores!$B$1:Z$1,Scores!$B$12:Z$411)&lt;&gt;0),"")</f>
        <v>913684</v>
      </c>
      <c r="H28" s="46">
        <f t="array" ref="H28">IFERROR(let(a,xlookup(B28,Scores!$B$1:Z$1,Scores!$B$12:Z$411),1000000-SUMPRODUCT(Compilation!$B$9:$B$409,a=0)-sumproduct(a,a&lt;&gt;0)),"")</f>
        <v>913684</v>
      </c>
      <c r="I28" s="10">
        <f t="array" ref="I28">iferror(xlookup(B28:B1000,Scores!$B$1:Z$1,Scores!$B$5:Z$5),"")</f>
        <v>86316</v>
      </c>
      <c r="J28" s="67">
        <f t="shared" si="2"/>
        <v>86316</v>
      </c>
      <c r="K28" s="26" t="str">
        <f t="shared" si="3"/>
        <v/>
      </c>
    </row>
    <row r="29">
      <c r="A29" s="65">
        <f t="shared" si="4"/>
        <v>28</v>
      </c>
      <c r="B29" s="14" t="str">
        <f>IFERROR(__xludf.DUMMYFUNCTION("""COMPUTED_VALUE"""),"open source")</f>
        <v>open source</v>
      </c>
      <c r="C29" s="46">
        <f>IFERROR(__xludf.DUMMYFUNCTION("""COMPUTED_VALUE"""),913549.0)</f>
        <v>913549</v>
      </c>
      <c r="D29" s="46">
        <f>IFERROR(__xludf.DUMMYFUNCTION("""COMPUTED_VALUE"""),400.0)</f>
        <v>400</v>
      </c>
      <c r="E29" s="66">
        <f t="shared" si="5"/>
        <v>135</v>
      </c>
      <c r="F29" s="46">
        <f t="shared" si="1"/>
        <v>913549</v>
      </c>
      <c r="G29" s="46">
        <f t="array" ref="G29">iferror(1000000-(1000000-Compilation!$B$3)*sum(xlookup(B29,Scores!$B$1:Z$1,Scores!$B$12:Z$411))/SUMPRODUCT(Compilation!$B$9:$B$409,xlookup(B29,Scores!$B$1:Z$1,Scores!$B$12:Z$411)&lt;&gt;0),"")</f>
        <v>913549</v>
      </c>
      <c r="H29" s="46">
        <f t="array" ref="H29">IFERROR(let(a,xlookup(B29,Scores!$B$1:Z$1,Scores!$B$12:Z$411),1000000-SUMPRODUCT(Compilation!$B$9:$B$409,a=0)-sumproduct(a,a&lt;&gt;0)),"")</f>
        <v>913549</v>
      </c>
      <c r="I29" s="10">
        <f t="array" ref="I29">iferror(xlookup(B29:B1000,Scores!$B$1:Z$1,Scores!$B$5:Z$5),"")</f>
        <v>86451</v>
      </c>
      <c r="J29" s="67">
        <f t="shared" si="2"/>
        <v>86451</v>
      </c>
      <c r="K29" s="26" t="str">
        <f t="shared" si="3"/>
        <v/>
      </c>
    </row>
    <row r="30">
      <c r="A30" s="65">
        <f t="shared" si="4"/>
        <v>29</v>
      </c>
      <c r="B30" s="14" t="str">
        <f>IFERROR(__xludf.DUMMYFUNCTION("""COMPUTED_VALUE"""),"today")</f>
        <v>today</v>
      </c>
      <c r="C30" s="46">
        <f>IFERROR(__xludf.DUMMYFUNCTION("""COMPUTED_VALUE"""),913322.0)</f>
        <v>913322</v>
      </c>
      <c r="D30" s="46">
        <f>IFERROR(__xludf.DUMMYFUNCTION("""COMPUTED_VALUE"""),400.0)</f>
        <v>400</v>
      </c>
      <c r="E30" s="66">
        <f t="shared" si="5"/>
        <v>227</v>
      </c>
      <c r="F30" s="46">
        <f t="shared" si="1"/>
        <v>913322</v>
      </c>
      <c r="G30" s="46">
        <f t="array" ref="G30">iferror(1000000-(1000000-Compilation!$B$3)*sum(xlookup(B30,Scores!$B$1:Z$1,Scores!$B$12:Z$411))/SUMPRODUCT(Compilation!$B$9:$B$409,xlookup(B30,Scores!$B$1:Z$1,Scores!$B$12:Z$411)&lt;&gt;0),"")</f>
        <v>913322</v>
      </c>
      <c r="H30" s="46">
        <f t="array" ref="H30">IFERROR(let(a,xlookup(B30,Scores!$B$1:Z$1,Scores!$B$12:Z$411),1000000-SUMPRODUCT(Compilation!$B$9:$B$409,a=0)-sumproduct(a,a&lt;&gt;0)),"")</f>
        <v>913322</v>
      </c>
      <c r="I30" s="10">
        <f t="array" ref="I30">iferror(xlookup(B30:B1000,Scores!$B$1:Z$1,Scores!$B$5:Z$5),"")</f>
        <v>86678</v>
      </c>
      <c r="J30" s="67">
        <f t="shared" si="2"/>
        <v>86678</v>
      </c>
      <c r="K30" s="26" t="str">
        <f t="shared" si="3"/>
        <v/>
      </c>
    </row>
    <row r="31">
      <c r="A31" s="65">
        <f t="shared" si="4"/>
        <v>30</v>
      </c>
      <c r="B31" s="14" t="str">
        <f>IFERROR(__xludf.DUMMYFUNCTION("""COMPUTED_VALUE"""),"Ali")</f>
        <v>Ali</v>
      </c>
      <c r="C31" s="46">
        <f>IFERROR(__xludf.DUMMYFUNCTION("""COMPUTED_VALUE"""),912476.0)</f>
        <v>912476</v>
      </c>
      <c r="D31" s="46">
        <f>IFERROR(__xludf.DUMMYFUNCTION("""COMPUTED_VALUE"""),400.0)</f>
        <v>400</v>
      </c>
      <c r="E31" s="66">
        <f t="shared" si="5"/>
        <v>846</v>
      </c>
      <c r="F31" s="46">
        <f t="shared" si="1"/>
        <v>912476</v>
      </c>
      <c r="G31" s="46">
        <f t="array" ref="G31">iferror(1000000-(1000000-Compilation!$B$3)*sum(xlookup(B31,Scores!$B$1:Z$1,Scores!$B$12:Z$411))/SUMPRODUCT(Compilation!$B$9:$B$409,xlookup(B31,Scores!$B$1:Z$1,Scores!$B$12:Z$411)&lt;&gt;0),"")</f>
        <v>912476</v>
      </c>
      <c r="H31" s="46">
        <f t="array" ref="H31">IFERROR(let(a,xlookup(B31,Scores!$B$1:Z$1,Scores!$B$12:Z$411),1000000-SUMPRODUCT(Compilation!$B$9:$B$409,a=0)-sumproduct(a,a&lt;&gt;0)),"")</f>
        <v>912476</v>
      </c>
      <c r="I31" s="10">
        <f t="array" ref="I31">iferror(xlookup(B31:B1000,Scores!$B$1:Z$1,Scores!$B$5:Z$5),"")</f>
        <v>87524</v>
      </c>
      <c r="J31" s="67">
        <f t="shared" si="2"/>
        <v>87524</v>
      </c>
      <c r="K31" s="26" t="str">
        <f t="shared" si="3"/>
        <v/>
      </c>
    </row>
    <row r="32">
      <c r="A32" s="65">
        <f t="shared" si="4"/>
        <v>31</v>
      </c>
      <c r="B32" s="14" t="str">
        <f>IFERROR(__xludf.DUMMYFUNCTION("""COMPUTED_VALUE"""),"Rafael Pooja")</f>
        <v>Rafael Pooja</v>
      </c>
      <c r="C32" s="46">
        <f>IFERROR(__xludf.DUMMYFUNCTION("""COMPUTED_VALUE"""),906884.0)</f>
        <v>906884</v>
      </c>
      <c r="D32" s="46">
        <f>IFERROR(__xludf.DUMMYFUNCTION("""COMPUTED_VALUE"""),400.0)</f>
        <v>400</v>
      </c>
      <c r="E32" s="66">
        <f t="shared" si="5"/>
        <v>5592</v>
      </c>
      <c r="F32" s="46">
        <f t="shared" si="1"/>
        <v>906884</v>
      </c>
      <c r="G32" s="46">
        <f t="array" ref="G32">iferror(1000000-(1000000-Compilation!$B$3)*sum(xlookup(B32,Scores!$B$1:Z$1,Scores!$B$12:Z$411))/SUMPRODUCT(Compilation!$B$9:$B$409,xlookup(B32,Scores!$B$1:Z$1,Scores!$B$12:Z$411)&lt;&gt;0),"")</f>
        <v>906884</v>
      </c>
      <c r="H32" s="46">
        <f t="array" ref="H32">IFERROR(let(a,xlookup(B32,Scores!$B$1:Z$1,Scores!$B$12:Z$411),1000000-SUMPRODUCT(Compilation!$B$9:$B$409,a=0)-sumproduct(a,a&lt;&gt;0)),"")</f>
        <v>906884</v>
      </c>
      <c r="I32" s="10">
        <f t="array" ref="I32">iferror(xlookup(B32:B1000,Scores!$B$1:Z$1,Scores!$B$5:Z$5),"")</f>
        <v>93116</v>
      </c>
      <c r="J32" s="67">
        <f t="shared" si="2"/>
        <v>93116</v>
      </c>
      <c r="K32" s="26" t="str">
        <f t="shared" si="3"/>
        <v/>
      </c>
    </row>
    <row r="33">
      <c r="A33" s="65">
        <f t="shared" si="4"/>
        <v>32</v>
      </c>
      <c r="B33" s="14" t="str">
        <f>IFERROR(__xludf.DUMMYFUNCTION("""COMPUTED_VALUE"""),"el_presidente")</f>
        <v>el_presidente</v>
      </c>
      <c r="C33" s="46">
        <f>IFERROR(__xludf.DUMMYFUNCTION("""COMPUTED_VALUE"""),897188.0)</f>
        <v>897188</v>
      </c>
      <c r="D33" s="46">
        <f>IFERROR(__xludf.DUMMYFUNCTION("""COMPUTED_VALUE"""),400.0)</f>
        <v>400</v>
      </c>
      <c r="E33" s="66">
        <f t="shared" si="5"/>
        <v>9696</v>
      </c>
      <c r="F33" s="46">
        <f t="shared" si="1"/>
        <v>897188</v>
      </c>
      <c r="G33" s="46">
        <f t="array" ref="G33">iferror(1000000-(1000000-Compilation!$B$3)*sum(xlookup(B33,Scores!$B$1:Z$1,Scores!$B$12:Z$411))/SUMPRODUCT(Compilation!$B$9:$B$409,xlookup(B33,Scores!$B$1:Z$1,Scores!$B$12:Z$411)&lt;&gt;0),"")</f>
        <v>897188</v>
      </c>
      <c r="H33" s="46">
        <f t="array" ref="H33">IFERROR(let(a,xlookup(B33,Scores!$B$1:Z$1,Scores!$B$12:Z$411),1000000-SUMPRODUCT(Compilation!$B$9:$B$409,a=0)-sumproduct(a,a&lt;&gt;0)),"")</f>
        <v>897188</v>
      </c>
      <c r="I33" s="10">
        <f t="array" ref="I33">iferror(xlookup(B33:B1000,Scores!$B$1:Z$1,Scores!$B$5:Z$5),"")</f>
        <v>102812</v>
      </c>
      <c r="J33" s="67">
        <f t="shared" si="2"/>
        <v>102812</v>
      </c>
      <c r="K33" s="26" t="str">
        <f t="shared" si="3"/>
        <v/>
      </c>
    </row>
    <row r="34">
      <c r="A34" s="65">
        <f t="shared" si="4"/>
        <v>33</v>
      </c>
      <c r="B34" s="14" t="str">
        <f>IFERROR(__xludf.DUMMYFUNCTION("""COMPUTED_VALUE"""),"MKRC")</f>
        <v>MKRC</v>
      </c>
      <c r="C34" s="46">
        <f>IFERROR(__xludf.DUMMYFUNCTION("""COMPUTED_VALUE"""),894624.0)</f>
        <v>894624</v>
      </c>
      <c r="D34" s="46">
        <f>IFERROR(__xludf.DUMMYFUNCTION("""COMPUTED_VALUE"""),398.0)</f>
        <v>398</v>
      </c>
      <c r="E34" s="66">
        <f t="shared" si="5"/>
        <v>2564</v>
      </c>
      <c r="F34" s="46">
        <f t="shared" si="1"/>
        <v>899120</v>
      </c>
      <c r="G34" s="46">
        <f t="array" ref="G34">iferror(1000000-(1000000-Compilation!$B$3)*sum(xlookup(B34,Scores!$B$1:Z$1,Scores!$B$12:Z$411))/SUMPRODUCT(Compilation!$B$9:$B$409,xlookup(B34,Scores!$B$1:Z$1,Scores!$B$12:Z$411)&lt;&gt;0),"")</f>
        <v>898373.0969</v>
      </c>
      <c r="H34" s="46">
        <f t="array" ref="H34">IFERROR(let(a,xlookup(B34,Scores!$B$1:Z$1,Scores!$B$12:Z$411),1000000-SUMPRODUCT(Compilation!$B$9:$B$409,a=0)-sumproduct(a,a&lt;&gt;0)),"")</f>
        <v>899171</v>
      </c>
      <c r="I34" s="10">
        <f t="array" ref="I34">iferror(xlookup(B34:B1000,Scores!$B$1:Z$1,Scores!$B$5:Z$5),"")</f>
        <v>100376</v>
      </c>
      <c r="J34" s="54" t="str">
        <f t="shared" si="2"/>
        <v/>
      </c>
      <c r="K34" s="68">
        <f t="shared" si="3"/>
        <v>100376</v>
      </c>
    </row>
    <row r="35">
      <c r="A35" s="65">
        <f t="shared" si="4"/>
        <v>34</v>
      </c>
      <c r="B35" s="14" t="str">
        <f>IFERROR(__xludf.DUMMYFUNCTION("""COMPUTED_VALUE"""),"cg")</f>
        <v>cg</v>
      </c>
      <c r="C35" s="46">
        <f>IFERROR(__xludf.DUMMYFUNCTION("""COMPUTED_VALUE"""),874327.0)</f>
        <v>874327</v>
      </c>
      <c r="D35" s="46">
        <f>IFERROR(__xludf.DUMMYFUNCTION("""COMPUTED_VALUE"""),377.0)</f>
        <v>377</v>
      </c>
      <c r="E35" s="66">
        <f t="shared" si="5"/>
        <v>20297</v>
      </c>
      <c r="F35" s="46">
        <f t="shared" si="1"/>
        <v>927668</v>
      </c>
      <c r="G35" s="46">
        <f t="array" ref="G35">iferror(1000000-(1000000-Compilation!$B$3)*sum(xlookup(B35,Scores!$B$1:Z$1,Scores!$B$12:Z$411))/SUMPRODUCT(Compilation!$B$9:$B$409,xlookup(B35,Scores!$B$1:Z$1,Scores!$B$12:Z$411)&lt;&gt;0),"")</f>
        <v>922933.686</v>
      </c>
      <c r="H35" s="46">
        <f t="array" ref="H35">IFERROR(let(a,xlookup(B35,Scores!$B$1:Z$1,Scores!$B$12:Z$411),1000000-SUMPRODUCT(Compilation!$B$9:$B$409,a=0)-sumproduct(a,a&lt;&gt;0)),"")</f>
        <v>927580</v>
      </c>
      <c r="I35" s="10">
        <f t="array" ref="I35">iferror(xlookup(B35:B1000,Scores!$B$1:Z$1,Scores!$B$5:Z$5),"")</f>
        <v>68173</v>
      </c>
      <c r="J35" s="54" t="str">
        <f t="shared" si="2"/>
        <v/>
      </c>
      <c r="K35" s="68">
        <f t="shared" si="3"/>
        <v>68173</v>
      </c>
    </row>
    <row r="36">
      <c r="A36" s="65">
        <f t="shared" si="4"/>
        <v>35</v>
      </c>
      <c r="B36" s="14" t="str">
        <f>IFERROR(__xludf.DUMMYFUNCTION("""COMPUTED_VALUE"""),"biz")</f>
        <v>biz</v>
      </c>
      <c r="C36" s="46">
        <f>IFERROR(__xludf.DUMMYFUNCTION("""COMPUTED_VALUE"""),752260.0)</f>
        <v>752260</v>
      </c>
      <c r="D36" s="46">
        <f>IFERROR(__xludf.DUMMYFUNCTION("""COMPUTED_VALUE"""),312.0)</f>
        <v>312</v>
      </c>
      <c r="E36" s="66">
        <f t="shared" si="5"/>
        <v>122067</v>
      </c>
      <c r="F36" s="46">
        <f t="shared" si="1"/>
        <v>964436</v>
      </c>
      <c r="G36" s="46">
        <f t="array" ref="G36">iferror(1000000-(1000000-Compilation!$B$3)*sum(xlookup(B36,Scores!$B$1:Z$1,Scores!$B$12:Z$411))/SUMPRODUCT(Compilation!$B$9:$B$409,xlookup(B36,Scores!$B$1:Z$1,Scores!$B$12:Z$411)&lt;&gt;0),"")</f>
        <v>956830.5121</v>
      </c>
      <c r="H36" s="46">
        <f t="array" ref="H36">IFERROR(let(a,xlookup(B36,Scores!$B$1:Z$1,Scores!$B$12:Z$411),1000000-SUMPRODUCT(Compilation!$B$9:$B$409,a=0)-sumproduct(a,a&lt;&gt;0)),"")</f>
        <v>959106</v>
      </c>
      <c r="I36" s="10">
        <f t="array" ref="I36">iferror(xlookup(B36:B1000,Scores!$B$1:Z$1,Scores!$B$5:Z$5),"")</f>
        <v>27740</v>
      </c>
      <c r="J36" s="54" t="str">
        <f t="shared" si="2"/>
        <v/>
      </c>
      <c r="K36" s="68">
        <f t="shared" si="3"/>
        <v>27740</v>
      </c>
    </row>
    <row r="37">
      <c r="A37" s="65">
        <f t="shared" si="4"/>
        <v>36</v>
      </c>
      <c r="B37" s="14" t="str">
        <f>IFERROR(__xludf.DUMMYFUNCTION("""COMPUTED_VALUE"""),"KN")</f>
        <v>KN</v>
      </c>
      <c r="C37" s="46">
        <f>IFERROR(__xludf.DUMMYFUNCTION("""COMPUTED_VALUE"""),655906.0)</f>
        <v>655906</v>
      </c>
      <c r="D37" s="46">
        <f>IFERROR(__xludf.DUMMYFUNCTION("""COMPUTED_VALUE"""),288.0)</f>
        <v>288</v>
      </c>
      <c r="E37" s="66">
        <f t="shared" si="5"/>
        <v>96354</v>
      </c>
      <c r="F37" s="46">
        <f t="shared" si="1"/>
        <v>910981</v>
      </c>
      <c r="G37" s="46">
        <f t="array" ref="G37">iferror(1000000-(1000000-Compilation!$B$3)*sum(xlookup(B37,Scores!$B$1:Z$1,Scores!$B$12:Z$411))/SUMPRODUCT(Compilation!$B$9:$B$409,xlookup(B37,Scores!$B$1:Z$1,Scores!$B$12:Z$411)&lt;&gt;0),"")</f>
        <v>888486.1967</v>
      </c>
      <c r="H37" s="46">
        <f t="array" ref="H37">IFERROR(let(a,xlookup(B37,Scores!$B$1:Z$1,Scores!$B$12:Z$411),1000000-SUMPRODUCT(Compilation!$B$9:$B$409,a=0)-sumproduct(a,a&lt;&gt;0)),"")</f>
        <v>920256</v>
      </c>
      <c r="I37" s="10">
        <f t="array" ref="I37">iferror(xlookup(B37:B1000,Scores!$B$1:Z$1,Scores!$B$5:Z$5),"")</f>
        <v>64094</v>
      </c>
      <c r="J37" s="54" t="str">
        <f t="shared" si="2"/>
        <v/>
      </c>
      <c r="K37" s="68">
        <f t="shared" si="3"/>
        <v>64094</v>
      </c>
    </row>
    <row r="38">
      <c r="A38" s="65">
        <f t="shared" si="4"/>
        <v>37</v>
      </c>
      <c r="B38" s="14" t="str">
        <f>IFERROR(__xludf.DUMMYFUNCTION("""COMPUTED_VALUE"""),"Afordancja")</f>
        <v>Afordancja</v>
      </c>
      <c r="C38" s="46">
        <f>IFERROR(__xludf.DUMMYFUNCTION("""COMPUTED_VALUE"""),610357.0)</f>
        <v>610357</v>
      </c>
      <c r="D38" s="46">
        <f>IFERROR(__xludf.DUMMYFUNCTION("""COMPUTED_VALUE"""),263.0)</f>
        <v>263</v>
      </c>
      <c r="E38" s="66">
        <f t="shared" si="5"/>
        <v>45549</v>
      </c>
      <c r="F38" s="46">
        <f t="shared" si="1"/>
        <v>928300</v>
      </c>
      <c r="G38" s="46">
        <f t="array" ref="G38">iferror(1000000-(1000000-Compilation!$B$3)*sum(xlookup(B38,Scores!$B$1:Z$1,Scores!$B$12:Z$411))/SUMPRODUCT(Compilation!$B$9:$B$409,xlookup(B38,Scores!$B$1:Z$1,Scores!$B$12:Z$411)&lt;&gt;0),"")</f>
        <v>911520.025</v>
      </c>
      <c r="H38" s="46">
        <f t="array" ref="H38">IFERROR(let(a,xlookup(B38,Scores!$B$1:Z$1,Scores!$B$12:Z$411),1000000-SUMPRODUCT(Compilation!$B$9:$B$409,a=0)-sumproduct(a,a&lt;&gt;0)),"")</f>
        <v>935663</v>
      </c>
      <c r="I38" s="10">
        <f t="array" ref="I38">iferror(xlookup(B38:B1000,Scores!$B$1:Z$1,Scores!$B$5:Z$5),"")</f>
        <v>47143</v>
      </c>
      <c r="J38" s="54" t="str">
        <f t="shared" si="2"/>
        <v/>
      </c>
      <c r="K38" s="68">
        <f t="shared" si="3"/>
        <v>47143</v>
      </c>
    </row>
    <row r="39">
      <c r="A39" s="65">
        <f t="shared" si="4"/>
        <v>38</v>
      </c>
      <c r="B39" s="14" t="str">
        <f>IFERROR(__xludf.DUMMYFUNCTION("""COMPUTED_VALUE"""),"scpchicken")</f>
        <v>scpchicken</v>
      </c>
      <c r="C39" s="46">
        <f>IFERROR(__xludf.DUMMYFUNCTION("""COMPUTED_VALUE"""),604366.0)</f>
        <v>604366</v>
      </c>
      <c r="D39" s="46">
        <f>IFERROR(__xludf.DUMMYFUNCTION("""COMPUTED_VALUE"""),263.0)</f>
        <v>263</v>
      </c>
      <c r="E39" s="66">
        <f t="shared" si="5"/>
        <v>5991</v>
      </c>
      <c r="F39" s="46">
        <f t="shared" si="1"/>
        <v>919188</v>
      </c>
      <c r="G39" s="46">
        <f t="array" ref="G39">iferror(1000000-(1000000-Compilation!$B$3)*sum(xlookup(B39,Scores!$B$1:Z$1,Scores!$B$12:Z$411))/SUMPRODUCT(Compilation!$B$9:$B$409,xlookup(B39,Scores!$B$1:Z$1,Scores!$B$12:Z$411)&lt;&gt;0),"")</f>
        <v>893709.8527</v>
      </c>
      <c r="H39" s="46">
        <f t="array" ref="H39">IFERROR(let(a,xlookup(B39,Scores!$B$1:Z$1,Scores!$B$12:Z$411),1000000-SUMPRODUCT(Compilation!$B$9:$B$409,a=0)-sumproduct(a,a&lt;&gt;0)),"")</f>
        <v>927499</v>
      </c>
      <c r="I39" s="10">
        <f t="array" ref="I39">iferror(xlookup(B39:B1000,Scores!$B$1:Z$1,Scores!$B$5:Z$5),"")</f>
        <v>54605</v>
      </c>
      <c r="J39" s="54" t="str">
        <f t="shared" si="2"/>
        <v/>
      </c>
      <c r="K39" s="68">
        <f t="shared" si="3"/>
        <v>54605</v>
      </c>
    </row>
    <row r="40">
      <c r="A40" s="65">
        <f t="shared" si="4"/>
        <v>39</v>
      </c>
      <c r="B40" s="14" t="str">
        <f>IFERROR(__xludf.DUMMYFUNCTION("""COMPUTED_VALUE"""),"kabutack")</f>
        <v>kabutack</v>
      </c>
      <c r="C40" s="46">
        <f>IFERROR(__xludf.DUMMYFUNCTION("""COMPUTED_VALUE"""),520740.0)</f>
        <v>520740</v>
      </c>
      <c r="D40" s="46">
        <f>IFERROR(__xludf.DUMMYFUNCTION("""COMPUTED_VALUE"""),215.0)</f>
        <v>215</v>
      </c>
      <c r="E40" s="66">
        <f t="shared" si="5"/>
        <v>83626</v>
      </c>
      <c r="F40" s="46">
        <f t="shared" si="1"/>
        <v>968819</v>
      </c>
      <c r="G40" s="46">
        <f t="array" ref="G40">iferror(1000000-(1000000-Compilation!$B$3)*sum(xlookup(B40,Scores!$B$1:Z$1,Scores!$B$12:Z$411))/SUMPRODUCT(Compilation!$B$9:$B$409,xlookup(B40,Scores!$B$1:Z$1,Scores!$B$12:Z$411)&lt;&gt;0),"")</f>
        <v>953115.0593</v>
      </c>
      <c r="H40" s="46">
        <f t="array" ref="H40">IFERROR(let(a,xlookup(B40,Scores!$B$1:Z$1,Scores!$B$12:Z$411),1000000-SUMPRODUCT(Compilation!$B$9:$B$409,a=0)-sumproduct(a,a&lt;&gt;0)),"")</f>
        <v>959593</v>
      </c>
      <c r="I40" s="10">
        <f t="array" ref="I40">iferror(xlookup(B40:B1000,Scores!$B$1:Z$1,Scores!$B$5:Z$5),"")</f>
        <v>16760</v>
      </c>
      <c r="J40" s="54" t="str">
        <f t="shared" si="2"/>
        <v/>
      </c>
      <c r="K40" s="68">
        <f t="shared" si="3"/>
        <v>16760</v>
      </c>
    </row>
    <row r="41">
      <c r="A41" s="65">
        <f t="shared" si="4"/>
        <v>40</v>
      </c>
      <c r="B41" s="14" t="str">
        <f>IFERROR(__xludf.DUMMYFUNCTION("""COMPUTED_VALUE"""),"dbdr")</f>
        <v>dbdr</v>
      </c>
      <c r="C41" s="46">
        <f>IFERROR(__xludf.DUMMYFUNCTION("""COMPUTED_VALUE"""),457334.0)</f>
        <v>457334</v>
      </c>
      <c r="D41" s="46">
        <f>IFERROR(__xludf.DUMMYFUNCTION("""COMPUTED_VALUE"""),191.0)</f>
        <v>191</v>
      </c>
      <c r="E41" s="66">
        <f t="shared" si="5"/>
        <v>63406</v>
      </c>
      <c r="F41" s="46">
        <f t="shared" si="1"/>
        <v>957768</v>
      </c>
      <c r="G41" s="46">
        <f t="array" ref="G41">iferror(1000000-(1000000-Compilation!$B$3)*sum(xlookup(B41,Scores!$B$1:Z$1,Scores!$B$12:Z$411))/SUMPRODUCT(Compilation!$B$9:$B$409,xlookup(B41,Scores!$B$1:Z$1,Scores!$B$12:Z$411)&lt;&gt;0),"")</f>
        <v>937653.7888</v>
      </c>
      <c r="H41" s="46">
        <f t="array" ref="H41">IFERROR(let(a,xlookup(B41,Scores!$B$1:Z$1,Scores!$B$12:Z$411),1000000-SUMPRODUCT(Compilation!$B$9:$B$409,a=0)-sumproduct(a,a&lt;&gt;0)),"")</f>
        <v>954935</v>
      </c>
      <c r="I41" s="10">
        <f t="array" ref="I41">iferror(xlookup(B41:B1000,Scores!$B$1:Z$1,Scores!$B$5:Z$5),"")</f>
        <v>20166</v>
      </c>
      <c r="J41" s="54" t="str">
        <f t="shared" si="2"/>
        <v/>
      </c>
      <c r="K41" s="68">
        <f t="shared" si="3"/>
        <v>20166</v>
      </c>
    </row>
    <row r="42">
      <c r="A42" s="65">
        <f t="shared" si="4"/>
        <v>41</v>
      </c>
      <c r="B42" s="14" t="str">
        <f>IFERROR(__xludf.DUMMYFUNCTION("""COMPUTED_VALUE"""),"duckyluuk")</f>
        <v>duckyluuk</v>
      </c>
      <c r="C42" s="46">
        <f>IFERROR(__xludf.DUMMYFUNCTION("""COMPUTED_VALUE"""),431944.0)</f>
        <v>431944</v>
      </c>
      <c r="D42" s="46">
        <f>IFERROR(__xludf.DUMMYFUNCTION("""COMPUTED_VALUE"""),180.0)</f>
        <v>180</v>
      </c>
      <c r="E42" s="66">
        <f t="shared" si="5"/>
        <v>25390</v>
      </c>
      <c r="F42" s="46">
        <f t="shared" si="1"/>
        <v>959876</v>
      </c>
      <c r="G42" s="46">
        <f t="array" ref="G42">iferror(1000000-(1000000-Compilation!$B$3)*sum(xlookup(B42,Scores!$B$1:Z$1,Scores!$B$12:Z$411))/SUMPRODUCT(Compilation!$B$9:$B$409,xlookup(B42,Scores!$B$1:Z$1,Scores!$B$12:Z$411)&lt;&gt;0),"")</f>
        <v>947118.0194</v>
      </c>
      <c r="H42" s="46">
        <f t="array" ref="H42">IFERROR(let(a,xlookup(B42,Scores!$B$1:Z$1,Scores!$B$12:Z$411),1000000-SUMPRODUCT(Compilation!$B$9:$B$409,a=0)-sumproduct(a,a&lt;&gt;0)),"")</f>
        <v>957707</v>
      </c>
      <c r="I42" s="10">
        <f t="array" ref="I42">iferror(xlookup(B42:B1000,Scores!$B$1:Z$1,Scores!$B$5:Z$5),"")</f>
        <v>18056</v>
      </c>
      <c r="J42" s="54" t="str">
        <f t="shared" si="2"/>
        <v/>
      </c>
      <c r="K42" s="68">
        <f t="shared" si="3"/>
        <v>18056</v>
      </c>
    </row>
    <row r="43">
      <c r="A43" s="65">
        <f t="shared" si="4"/>
        <v>42</v>
      </c>
      <c r="B43" s="14" t="str">
        <f>IFERROR(__xludf.DUMMYFUNCTION("""COMPUTED_VALUE"""),"Bulmenisaurus")</f>
        <v>Bulmenisaurus</v>
      </c>
      <c r="C43" s="46">
        <f>IFERROR(__xludf.DUMMYFUNCTION("""COMPUTED_VALUE"""),393322.0)</f>
        <v>393322</v>
      </c>
      <c r="D43" s="46">
        <f>IFERROR(__xludf.DUMMYFUNCTION("""COMPUTED_VALUE"""),165.0)</f>
        <v>165</v>
      </c>
      <c r="E43" s="66">
        <f t="shared" si="5"/>
        <v>38622</v>
      </c>
      <c r="F43" s="46">
        <f t="shared" si="1"/>
        <v>953508</v>
      </c>
      <c r="G43" s="46">
        <f t="array" ref="G43">iferror(1000000-(1000000-Compilation!$B$3)*sum(xlookup(B43,Scores!$B$1:Z$1,Scores!$B$12:Z$411))/SUMPRODUCT(Compilation!$B$9:$B$409,xlookup(B43,Scores!$B$1:Z$1,Scores!$B$12:Z$411)&lt;&gt;0),"")</f>
        <v>936505.2236</v>
      </c>
      <c r="H43" s="46">
        <f t="array" ref="H43">IFERROR(let(a,xlookup(B43,Scores!$B$1:Z$1,Scores!$B$12:Z$411),1000000-SUMPRODUCT(Compilation!$B$9:$B$409,a=0)-sumproduct(a,a&lt;&gt;0)),"")</f>
        <v>955135</v>
      </c>
      <c r="I43" s="10">
        <f t="array" ref="I43">iferror(xlookup(B43:B1000,Scores!$B$1:Z$1,Scores!$B$5:Z$5),"")</f>
        <v>19178</v>
      </c>
      <c r="J43" s="54" t="str">
        <f t="shared" si="2"/>
        <v/>
      </c>
      <c r="K43" s="68">
        <f t="shared" si="3"/>
        <v>19178</v>
      </c>
    </row>
    <row r="44">
      <c r="A44" s="65">
        <f t="shared" si="4"/>
        <v>43</v>
      </c>
      <c r="B44" s="14" t="str">
        <f>IFERROR(__xludf.DUMMYFUNCTION("""COMPUTED_VALUE"""),"HETHAT")</f>
        <v>HETHAT</v>
      </c>
      <c r="C44" s="46">
        <f>IFERROR(__xludf.DUMMYFUNCTION("""COMPUTED_VALUE"""),370321.0)</f>
        <v>370321</v>
      </c>
      <c r="D44" s="46">
        <f>IFERROR(__xludf.DUMMYFUNCTION("""COMPUTED_VALUE"""),152.0)</f>
        <v>152</v>
      </c>
      <c r="E44" s="66">
        <f t="shared" si="5"/>
        <v>23001</v>
      </c>
      <c r="F44" s="46">
        <f t="shared" si="1"/>
        <v>974529</v>
      </c>
      <c r="G44" s="46">
        <f t="array" ref="G44">iferror(1000000-(1000000-Compilation!$B$3)*sum(xlookup(B44,Scores!$B$1:Z$1,Scores!$B$12:Z$411))/SUMPRODUCT(Compilation!$B$9:$B$409,xlookup(B44,Scores!$B$1:Z$1,Scores!$B$12:Z$411)&lt;&gt;0),"")</f>
        <v>956569.5883</v>
      </c>
      <c r="H44" s="46">
        <f t="array" ref="H44">IFERROR(let(a,xlookup(B44,Scores!$B$1:Z$1,Scores!$B$12:Z$411),1000000-SUMPRODUCT(Compilation!$B$9:$B$409,a=0)-sumproduct(a,a&lt;&gt;0)),"")</f>
        <v>961720</v>
      </c>
      <c r="I44" s="10">
        <f t="array" ref="I44">iferror(xlookup(B44:B1000,Scores!$B$1:Z$1,Scores!$B$5:Z$5),"")</f>
        <v>9679</v>
      </c>
    </row>
    <row r="45">
      <c r="A45" s="65">
        <f t="shared" si="4"/>
        <v>44</v>
      </c>
      <c r="B45" s="14" t="str">
        <f>IFERROR(__xludf.DUMMYFUNCTION("""COMPUTED_VALUE"""),"blob2822")</f>
        <v>blob2822</v>
      </c>
      <c r="C45" s="46">
        <f>IFERROR(__xludf.DUMMYFUNCTION("""COMPUTED_VALUE"""),241721.0)</f>
        <v>241721</v>
      </c>
      <c r="D45" s="46">
        <f>IFERROR(__xludf.DUMMYFUNCTION("""COMPUTED_VALUE"""),100.0)</f>
        <v>100</v>
      </c>
      <c r="E45" s="66">
        <f t="shared" si="5"/>
        <v>128600</v>
      </c>
      <c r="F45" s="46">
        <f t="shared" si="1"/>
        <v>966884</v>
      </c>
      <c r="G45" s="46">
        <f t="array" ref="G45">iferror(1000000-(1000000-Compilation!$B$3)*sum(xlookup(B45,Scores!$B$1:Z$1,Scores!$B$12:Z$411))/SUMPRODUCT(Compilation!$B$9:$B$409,xlookup(B45,Scores!$B$1:Z$1,Scores!$B$12:Z$411)&lt;&gt;0),"")</f>
        <v>950958.9511</v>
      </c>
      <c r="H45" s="46">
        <f t="array" ref="H45">IFERROR(let(a,xlookup(B45,Scores!$B$1:Z$1,Scores!$B$12:Z$411),1000000-SUMPRODUCT(Compilation!$B$9:$B$409,a=0)-sumproduct(a,a&lt;&gt;0)),"")</f>
        <v>961131</v>
      </c>
      <c r="I45" s="10">
        <f t="array" ref="I45">iferror(xlookup(B45:B1000,Scores!$B$1:Z$1,Scores!$B$5:Z$5),"")</f>
        <v>8279</v>
      </c>
    </row>
    <row r="46">
      <c r="A46" s="65">
        <f t="shared" si="4"/>
        <v>45</v>
      </c>
      <c r="B46" s="14" t="str">
        <f>IFERROR(__xludf.DUMMYFUNCTION("""COMPUTED_VALUE"""),"cubbus")</f>
        <v>cubbus</v>
      </c>
      <c r="C46" s="46">
        <f>IFERROR(__xludf.DUMMYFUNCTION("""COMPUTED_VALUE"""),241578.0)</f>
        <v>241578</v>
      </c>
      <c r="D46" s="46">
        <f>IFERROR(__xludf.DUMMYFUNCTION("""COMPUTED_VALUE"""),99.0)</f>
        <v>99</v>
      </c>
      <c r="E46" s="66">
        <f t="shared" si="5"/>
        <v>143</v>
      </c>
      <c r="F46" s="46">
        <f t="shared" si="1"/>
        <v>976073</v>
      </c>
      <c r="G46" s="46">
        <f t="array" ref="G46">iferror(1000000-(1000000-Compilation!$B$3)*sum(xlookup(B46,Scores!$B$1:Z$1,Scores!$B$12:Z$411))/SUMPRODUCT(Compilation!$B$9:$B$409,xlookup(B46,Scores!$B$1:Z$1,Scores!$B$12:Z$411)&lt;&gt;0),"")</f>
        <v>958038.628</v>
      </c>
      <c r="H46" s="46">
        <f t="array" ref="H46">IFERROR(let(a,xlookup(B46,Scores!$B$1:Z$1,Scores!$B$12:Z$411),1000000-SUMPRODUCT(Compilation!$B$9:$B$409,a=0)-sumproduct(a,a&lt;&gt;0)),"")</f>
        <v>962469</v>
      </c>
      <c r="I46" s="10">
        <f t="array" ref="I46">iferror(xlookup(B46:B1000,Scores!$B$1:Z$1,Scores!$B$5:Z$5),"")</f>
        <v>5922</v>
      </c>
    </row>
    <row r="47">
      <c r="A47" s="65">
        <f t="shared" si="4"/>
        <v>46</v>
      </c>
      <c r="B47" s="14" t="str">
        <f>IFERROR(__xludf.DUMMYFUNCTION("""COMPUTED_VALUE"""),"hyacinth")</f>
        <v>hyacinth</v>
      </c>
      <c r="C47" s="46">
        <f>IFERROR(__xludf.DUMMYFUNCTION("""COMPUTED_VALUE"""),78588.0)</f>
        <v>78588</v>
      </c>
      <c r="D47" s="46">
        <f>IFERROR(__xludf.DUMMYFUNCTION("""COMPUTED_VALUE"""),33.0)</f>
        <v>33</v>
      </c>
      <c r="E47" s="66">
        <f t="shared" si="5"/>
        <v>162990</v>
      </c>
      <c r="F47" s="46">
        <f t="shared" si="1"/>
        <v>952582</v>
      </c>
      <c r="G47" s="46">
        <f t="array" ref="G47">iferror(1000000-(1000000-Compilation!$B$3)*sum(xlookup(B47,Scores!$B$1:Z$1,Scores!$B$12:Z$411))/SUMPRODUCT(Compilation!$B$9:$B$409,xlookup(B47,Scores!$B$1:Z$1,Scores!$B$12:Z$411)&lt;&gt;0),"")</f>
        <v>920324.6619</v>
      </c>
      <c r="H47" s="46">
        <f t="array" ref="H47">IFERROR(let(a,xlookup(B47,Scores!$B$1:Z$1,Scores!$B$12:Z$411),1000000-SUMPRODUCT(Compilation!$B$9:$B$409,a=0)-sumproduct(a,a&lt;&gt;0)),"")</f>
        <v>961092</v>
      </c>
      <c r="I47" s="10">
        <f t="array" ref="I47">iferror(xlookup(B47:B1000,Scores!$B$1:Z$1,Scores!$B$5:Z$5),"")</f>
        <v>3912</v>
      </c>
    </row>
    <row r="48">
      <c r="A48" s="65">
        <f t="shared" si="4"/>
        <v>47</v>
      </c>
      <c r="B48" s="14" t="str">
        <f>IFERROR(__xludf.DUMMYFUNCTION("""COMPUTED_VALUE"""),"mji")</f>
        <v>mji</v>
      </c>
      <c r="C48" s="46">
        <f>IFERROR(__xludf.DUMMYFUNCTION("""COMPUTED_VALUE"""),28848.0)</f>
        <v>28848</v>
      </c>
      <c r="D48" s="46">
        <f>IFERROR(__xludf.DUMMYFUNCTION("""COMPUTED_VALUE"""),12.0)</f>
        <v>12</v>
      </c>
      <c r="E48" s="66">
        <f t="shared" si="5"/>
        <v>49740</v>
      </c>
      <c r="F48" s="46">
        <f t="shared" si="1"/>
        <v>961600</v>
      </c>
      <c r="G48" s="46">
        <f t="array" ref="G48">iferror(1000000-(1000000-Compilation!$B$3)*sum(xlookup(B48,Scores!$B$1:Z$1,Scores!$B$12:Z$411))/SUMPRODUCT(Compilation!$B$9:$B$409,xlookup(B48,Scores!$B$1:Z$1,Scores!$B$12:Z$411)&lt;&gt;0),"")</f>
        <v>944506.4712</v>
      </c>
      <c r="H48" s="46">
        <f t="array" ref="H48">IFERROR(let(a,xlookup(B48,Scores!$B$1:Z$1,Scores!$B$12:Z$411),1000000-SUMPRODUCT(Compilation!$B$9:$B$409,a=0)-sumproduct(a,a&lt;&gt;0)),"")</f>
        <v>962809</v>
      </c>
      <c r="I48" s="10">
        <f t="array" ref="I48">iferror(xlookup(B48:B1000,Scores!$B$1:Z$1,Scores!$B$5:Z$5),"")</f>
        <v>1152</v>
      </c>
    </row>
    <row r="49">
      <c r="A49" s="65">
        <f t="shared" si="4"/>
        <v>48</v>
      </c>
      <c r="B49" s="14" t="str">
        <f>IFERROR(__xludf.DUMMYFUNCTION("""COMPUTED_VALUE"""),"garrymoss")</f>
        <v>garrymoss</v>
      </c>
      <c r="C49" s="46">
        <f>IFERROR(__xludf.DUMMYFUNCTION("""COMPUTED_VALUE"""),22314.0)</f>
        <v>22314</v>
      </c>
      <c r="D49" s="46">
        <f>IFERROR(__xludf.DUMMYFUNCTION("""COMPUTED_VALUE"""),10.0)</f>
        <v>10</v>
      </c>
      <c r="E49" s="66">
        <f t="shared" si="5"/>
        <v>6534</v>
      </c>
      <c r="F49" s="46">
        <f t="shared" si="1"/>
        <v>892560</v>
      </c>
      <c r="G49" s="46">
        <f t="array" ref="G49">iferror(1000000-(1000000-Compilation!$B$3)*sum(xlookup(B49,Scores!$B$1:Z$1,Scores!$B$12:Z$411))/SUMPRODUCT(Compilation!$B$9:$B$409,xlookup(B49,Scores!$B$1:Z$1,Scores!$B$12:Z$411)&lt;&gt;0),"")</f>
        <v>955790.314</v>
      </c>
      <c r="H49" s="46">
        <f t="array" ref="H49">IFERROR(let(a,xlookup(B49,Scores!$B$1:Z$1,Scores!$B$12:Z$411),1000000-SUMPRODUCT(Compilation!$B$9:$B$409,a=0)-sumproduct(a,a&lt;&gt;0)),"")</f>
        <v>962747</v>
      </c>
      <c r="I49" s="10">
        <f t="array" ref="I49">iferror(xlookup(B49:B1000,Scores!$B$1:Z$1,Scores!$B$5:Z$5),"")</f>
        <v>2686</v>
      </c>
    </row>
    <row r="50">
      <c r="A50" s="65">
        <f t="shared" si="4"/>
        <v>49</v>
      </c>
      <c r="B50" s="14" t="str">
        <f>IFERROR(__xludf.DUMMYFUNCTION("""COMPUTED_VALUE"""),"cefqrn")</f>
        <v>cefqrn</v>
      </c>
      <c r="C50" s="46">
        <f>IFERROR(__xludf.DUMMYFUNCTION("""COMPUTED_VALUE"""),12089.0)</f>
        <v>12089</v>
      </c>
      <c r="D50" s="46">
        <f>IFERROR(__xludf.DUMMYFUNCTION("""COMPUTED_VALUE"""),5.0)</f>
        <v>5</v>
      </c>
      <c r="E50" s="66">
        <f t="shared" si="5"/>
        <v>10225</v>
      </c>
      <c r="F50" s="46">
        <f t="shared" si="1"/>
        <v>967120</v>
      </c>
      <c r="G50" s="46">
        <f t="array" ref="G50">iferror(1000000-(1000000-Compilation!$B$3)*sum(xlookup(B50,Scores!$B$1:Z$1,Scores!$B$12:Z$411))/SUMPRODUCT(Compilation!$B$9:$B$409,xlookup(B50,Scores!$B$1:Z$1,Scores!$B$12:Z$411)&lt;&gt;0),"")</f>
        <v>948550.9082</v>
      </c>
      <c r="H50" s="46">
        <f t="array" ref="H50">IFERROR(let(a,xlookup(B50,Scores!$B$1:Z$1,Scores!$B$12:Z$411),1000000-SUMPRODUCT(Compilation!$B$9:$B$409,a=0)-sumproduct(a,a&lt;&gt;0)),"")</f>
        <v>963080</v>
      </c>
      <c r="I50" s="10">
        <f t="array" ref="I50">iferror(xlookup(B50:B1000,Scores!$B$1:Z$1,Scores!$B$5:Z$5),"")</f>
        <v>411</v>
      </c>
    </row>
    <row r="51">
      <c r="A51" s="65" t="str">
        <f t="shared" si="4"/>
        <v/>
      </c>
      <c r="B51" s="14"/>
      <c r="C51" s="46"/>
      <c r="D51" s="46"/>
      <c r="E51" s="66">
        <f t="shared" si="5"/>
        <v>12089</v>
      </c>
      <c r="F51" s="46" t="str">
        <f t="shared" si="1"/>
        <v/>
      </c>
      <c r="G51" s="46" t="str">
        <f t="array" ref="G51">iferror(1000000-(1000000-Compilation!$B$3)*sum(xlookup(B51,Scores!$B$1:Z$1,Scores!$B$12:Z$411))/SUMPRODUCT(Compilation!$B$9:$B$409,xlookup(B51,Scores!$B$1:Z$1,Scores!$B$12:Z$411)&lt;&gt;0),"")</f>
        <v/>
      </c>
      <c r="H51" s="46" t="str">
        <f t="array" ref="H51">IFERROR(let(a,xlookup(B51,Scores!$B$1:Z$1,Scores!$B$12:Z$411),1000000-SUMPRODUCT(Compilation!$B$9:$B$409,a=0)-sumproduct(a,a&lt;&gt;0)),"")</f>
        <v/>
      </c>
      <c r="I51" s="10" t="str">
        <f t="array" ref="I51">iferror(xlookup(B51:B1000,Scores!$B$1:Z$1,Scores!$B$5:Z$5),"")</f>
        <v/>
      </c>
    </row>
    <row r="52">
      <c r="A52" s="65" t="str">
        <f t="shared" si="4"/>
        <v/>
      </c>
      <c r="B52" s="14"/>
      <c r="C52" s="46"/>
      <c r="D52" s="46"/>
      <c r="E52" s="66" t="str">
        <f t="shared" si="5"/>
        <v/>
      </c>
      <c r="F52" s="46" t="str">
        <f t="shared" si="1"/>
        <v/>
      </c>
      <c r="G52" s="46" t="str">
        <f t="array" ref="G52">iferror(1000000-(1000000-Compilation!$B$3)*sum(xlookup(B52,Scores!$B$1:Z$1,Scores!$B$12:Z$411))/SUMPRODUCT(Compilation!$B$9:$B$409,xlookup(B52,Scores!$B$1:Z$1,Scores!$B$12:Z$411)&lt;&gt;0),"")</f>
        <v/>
      </c>
      <c r="H52" s="46" t="str">
        <f t="array" ref="H52">IFERROR(let(a,xlookup(B52,Scores!$B$1:Z$1,Scores!$B$12:Z$411),1000000-SUMPRODUCT(Compilation!$B$9:$B$409,a=0)-sumproduct(a,a&lt;&gt;0)),"")</f>
        <v/>
      </c>
      <c r="I52" s="10" t="str">
        <f t="array" ref="I52">iferror(xlookup(B52:B1000,Scores!$B$1:Z$1,Scores!$B$5:Z$5),"")</f>
        <v/>
      </c>
    </row>
    <row r="53">
      <c r="A53" s="65" t="str">
        <f t="shared" si="4"/>
        <v/>
      </c>
      <c r="B53" s="14"/>
      <c r="C53" s="46"/>
      <c r="D53" s="46"/>
      <c r="E53" s="66" t="str">
        <f t="shared" si="5"/>
        <v/>
      </c>
      <c r="F53" s="46" t="str">
        <f t="shared" si="1"/>
        <v/>
      </c>
      <c r="G53" s="46" t="str">
        <f t="array" ref="G53">iferror(1000000-(1000000-Compilation!$B$3)*sum(xlookup(B53,Scores!$B$1:Z$1,Scores!$B$12:Z$411))/SUMPRODUCT(Compilation!$B$9:$B$409,xlookup(B53,Scores!$B$1:Z$1,Scores!$B$12:Z$411)&lt;&gt;0),"")</f>
        <v/>
      </c>
      <c r="H53" s="46" t="str">
        <f t="array" ref="H53">IFERROR(let(a,xlookup(B53,Scores!$B$1:Z$1,Scores!$B$12:Z$411),1000000-SUMPRODUCT(Compilation!$B$9:$B$409,a=0)-sumproduct(a,a&lt;&gt;0)),"")</f>
        <v/>
      </c>
      <c r="I53" s="10" t="str">
        <f t="array" ref="I53">iferror(xlookup(B53:B1000,Scores!$B$1:Z$1,Scores!$B$5:Z$5),"")</f>
        <v/>
      </c>
    </row>
    <row r="54">
      <c r="A54" s="65" t="str">
        <f t="shared" si="4"/>
        <v/>
      </c>
      <c r="B54" s="14"/>
      <c r="C54" s="46"/>
      <c r="D54" s="46"/>
      <c r="E54" s="66" t="str">
        <f t="shared" si="5"/>
        <v/>
      </c>
      <c r="F54" s="46" t="str">
        <f t="shared" si="1"/>
        <v/>
      </c>
      <c r="G54" s="46" t="str">
        <f t="array" ref="G54">iferror(1000000-(1000000-Compilation!$B$3)*sum(xlookup(B54,Scores!$B$1:Z$1,Scores!$B$12:Z$411))/SUMPRODUCT(Compilation!$B$9:$B$409,xlookup(B54,Scores!$B$1:Z$1,Scores!$B$12:Z$411)&lt;&gt;0),"")</f>
        <v/>
      </c>
      <c r="H54" s="46" t="str">
        <f t="array" ref="H54">IFERROR(let(a,xlookup(B54,Scores!$B$1:Z$1,Scores!$B$12:Z$411),1000000-SUMPRODUCT(Compilation!$B$9:$B$409,a=0)-sumproduct(a,a&lt;&gt;0)),"")</f>
        <v/>
      </c>
      <c r="I54" s="10" t="str">
        <f t="array" ref="I54">iferror(xlookup(B54:B1000,Scores!$B$1:Z$1,Scores!$B$5:Z$5),"")</f>
        <v/>
      </c>
    </row>
    <row r="55">
      <c r="A55" s="65" t="str">
        <f t="shared" si="4"/>
        <v/>
      </c>
      <c r="B55" s="14"/>
      <c r="C55" s="46"/>
      <c r="D55" s="46"/>
      <c r="E55" s="66" t="str">
        <f t="shared" si="5"/>
        <v/>
      </c>
      <c r="F55" s="46" t="str">
        <f t="shared" si="1"/>
        <v/>
      </c>
      <c r="G55" s="46" t="str">
        <f t="array" ref="G55">iferror(1000000-(1000000-Compilation!$B$3)*sum(xlookup(B55,Scores!$B$1:Z$1,Scores!$B$12:Z$411))/SUMPRODUCT(Compilation!$B$9:$B$409,xlookup(B55,Scores!$B$1:Z$1,Scores!$B$12:Z$411)&lt;&gt;0),"")</f>
        <v/>
      </c>
      <c r="H55" s="46" t="str">
        <f t="array" ref="H55">IFERROR(let(a,xlookup(B55,Scores!$B$1:Z$1,Scores!$B$12:Z$411),1000000-SUMPRODUCT(Compilation!$B$9:$B$409,a=0)-sumproduct(a,a&lt;&gt;0)),"")</f>
        <v/>
      </c>
      <c r="I55" s="10" t="str">
        <f t="array" ref="I55">iferror(xlookup(B55:B1000,Scores!$B$1:Z$1,Scores!$B$5:Z$5),"")</f>
        <v/>
      </c>
    </row>
    <row r="56">
      <c r="A56" s="65" t="str">
        <f t="shared" si="4"/>
        <v/>
      </c>
      <c r="B56" s="14"/>
      <c r="C56" s="46"/>
      <c r="D56" s="46"/>
      <c r="E56" s="66" t="str">
        <f t="shared" si="5"/>
        <v/>
      </c>
      <c r="F56" s="46" t="str">
        <f t="shared" si="1"/>
        <v/>
      </c>
      <c r="G56" s="46" t="str">
        <f t="array" ref="G56">iferror(1000000-(1000000-Compilation!$B$3)*sum(xlookup(B56,Scores!$B$1:Z$1,Scores!$B$12:Z$411))/SUMPRODUCT(Compilation!$B$9:$B$409,xlookup(B56,Scores!$B$1:Z$1,Scores!$B$12:Z$411)&lt;&gt;0),"")</f>
        <v/>
      </c>
      <c r="H56" s="46" t="str">
        <f t="array" ref="H56">IFERROR(let(a,xlookup(B56,Scores!$B$1:Z$1,Scores!$B$12:Z$411),1000000-SUMPRODUCT(Compilation!$B$9:$B$409,a=0)-sumproduct(a,a&lt;&gt;0)),"")</f>
        <v/>
      </c>
      <c r="I56" s="10" t="str">
        <f t="array" ref="I56">iferror(xlookup(B56:B1000,Scores!$B$1:Z$1,Scores!$B$5:Z$5),"")</f>
        <v/>
      </c>
    </row>
  </sheetData>
  <autoFilter ref="$A$1:$G$30"/>
  <conditionalFormatting sqref="G2:H56">
    <cfRule type="colorScale" priority="1">
      <colorScale>
        <cfvo type="formula" val="925000"/>
        <cfvo type="formula" val="945000"/>
        <cfvo type="formula" val="955000"/>
        <color rgb="FFFFFFFF"/>
        <color rgb="FFD9D9D9"/>
        <color rgb="FFABDDC5"/>
      </colorScale>
    </cfRule>
  </conditionalFormatting>
  <hyperlinks>
    <hyperlink r:id="rId2" ref="B3"/>
    <hyperlink r:id="rId3" location="gid=310481599" ref="B4"/>
    <hyperlink r:id="rId4" ref="B5"/>
  </hyperlinks>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15.0"/>
  </cols>
  <sheetData>
    <row r="1">
      <c r="A1" s="26" t="s">
        <v>148</v>
      </c>
    </row>
    <row r="2">
      <c r="A2" s="69" t="s">
        <v>7</v>
      </c>
      <c r="C2" s="44" t="s">
        <v>70</v>
      </c>
      <c r="D2" s="45">
        <f>A9/400</f>
        <v>0.45</v>
      </c>
      <c r="E2" s="44" t="s">
        <v>71</v>
      </c>
    </row>
    <row r="3">
      <c r="B3" s="36" t="s">
        <v>145</v>
      </c>
      <c r="C3" s="36" t="s">
        <v>49</v>
      </c>
    </row>
    <row r="4">
      <c r="A4" s="36" t="s">
        <v>65</v>
      </c>
      <c r="B4" s="10">
        <f>sum(B11:B410)</f>
        <v>18056</v>
      </c>
      <c r="C4" s="8">
        <f>IFERROR(__xludf.DUMMYFUNCTION("let(a,filter(B11:B410,B11:B410),sum(map(a,lambda(p,max(1,2500-p)))))"),431944.0)</f>
        <v>431944</v>
      </c>
    </row>
    <row r="5">
      <c r="A5" s="36" t="s">
        <v>64</v>
      </c>
      <c r="B5" s="11">
        <f>B4/A9</f>
        <v>100.3111111</v>
      </c>
      <c r="C5" s="8">
        <f>C4/A9</f>
        <v>2399.688889</v>
      </c>
      <c r="T5" s="44"/>
    </row>
    <row r="6">
      <c r="A6" s="36" t="s">
        <v>142</v>
      </c>
      <c r="B6" s="8">
        <f>B4/A9*400</f>
        <v>40124.44444</v>
      </c>
      <c r="C6" s="8">
        <f>C4/A9*400</f>
        <v>959875.5556</v>
      </c>
      <c r="P6" s="70" t="s">
        <v>149</v>
      </c>
      <c r="Q6" s="26" t="b">
        <v>0</v>
      </c>
    </row>
    <row r="8">
      <c r="A8" s="36" t="s">
        <v>72</v>
      </c>
      <c r="D8" s="36" t="s">
        <v>150</v>
      </c>
      <c r="E8" s="36" t="s">
        <v>151</v>
      </c>
      <c r="F8" s="42" t="s">
        <v>73</v>
      </c>
      <c r="H8" s="36" t="s">
        <v>152</v>
      </c>
      <c r="L8" s="36" t="s">
        <v>79</v>
      </c>
      <c r="P8" s="70" t="s">
        <v>153</v>
      </c>
      <c r="Q8" s="70" t="s">
        <v>154</v>
      </c>
      <c r="R8" s="70" t="s">
        <v>155</v>
      </c>
      <c r="S8" s="70" t="s">
        <v>155</v>
      </c>
      <c r="U8" s="36" t="s">
        <v>156</v>
      </c>
    </row>
    <row r="9">
      <c r="A9" s="14">
        <f>IFERROR(__xludf.DUMMYFUNCTION("let(a,XLOOKUP(A2,Scores!B1:AA1,Scores!B12:AA411),ROWS(filter(Compilation!A9:AA408,a&lt;&gt;"""")))"),180.0)</f>
        <v>180</v>
      </c>
      <c r="D9" s="71">
        <f>IFERROR(AVERAGE(D11:D410),"")</f>
        <v>30.5</v>
      </c>
      <c r="E9" s="8">
        <f>IFERROR(SUM(D11:D410),"")</f>
        <v>5490</v>
      </c>
      <c r="F9" s="14">
        <f>IFERROR(__xludf.DUMMYFUNCTION("IFERROR(rows(FILTER(F11:F410,F11:F410)),0)"),220.0)</f>
        <v>220</v>
      </c>
      <c r="H9" s="72" t="str">
        <f>IFERROR(__xludf.DUMMYFUNCTION("IFERROR(rows(filter(A11:A410,B11:B410=Compilation!E9:E410)),""0"")"),"0")</f>
        <v>0</v>
      </c>
      <c r="L9" s="73">
        <f>IFERROR(__xludf.DUMMYFUNCTION("IFERROR(rows(filter(A11:A410,B11:B410=Compilation!B9:B410,B11:B410&lt;&gt;Compilation!E9:E410)),0)"),24.0)</f>
        <v>24</v>
      </c>
      <c r="M9" s="14" t="str">
        <f>IFERROR(IF(H9,"( +"&amp;H9&amp;" )",""),"")</f>
        <v/>
      </c>
      <c r="P9" s="14">
        <f>IFERROR(__xludf.DUMMYFUNCTION("IFERROR(rows(filter(Compilation!A9:A410,B11:B410&lt;&gt;Compilation!B9:B410,Compilation!E9:E410&lt;IF(Q6,999999,0),Compilation!J9:J410&gt;=R9)),""You got all the gold"")"),145.0)</f>
        <v>145</v>
      </c>
      <c r="Q9" s="69" t="s">
        <v>157</v>
      </c>
      <c r="R9" s="69">
        <v>2.0</v>
      </c>
      <c r="S9" s="69">
        <v>1.0</v>
      </c>
      <c r="U9" s="38"/>
    </row>
    <row r="10">
      <c r="A10" s="36" t="s">
        <v>56</v>
      </c>
      <c r="B10" s="36" t="s">
        <v>82</v>
      </c>
      <c r="C10" s="36" t="s">
        <v>63</v>
      </c>
      <c r="D10" s="36" t="s">
        <v>158</v>
      </c>
      <c r="F10" s="36" t="s">
        <v>56</v>
      </c>
      <c r="H10" s="36" t="s">
        <v>56</v>
      </c>
      <c r="I10" s="36" t="s">
        <v>82</v>
      </c>
      <c r="J10" s="36" t="s">
        <v>69</v>
      </c>
      <c r="L10" s="36" t="s">
        <v>56</v>
      </c>
      <c r="M10" s="36" t="s">
        <v>82</v>
      </c>
      <c r="N10" s="36" t="s">
        <v>79</v>
      </c>
      <c r="P10" s="36" t="s">
        <v>56</v>
      </c>
      <c r="Q10" s="36" t="s">
        <v>82</v>
      </c>
      <c r="R10" s="36" t="s">
        <v>79</v>
      </c>
      <c r="S10" s="36" t="s">
        <v>158</v>
      </c>
      <c r="U10" s="36" t="s">
        <v>56</v>
      </c>
      <c r="V10" s="36" t="s">
        <v>82</v>
      </c>
      <c r="W10" s="36" t="s">
        <v>63</v>
      </c>
      <c r="X10" s="36" t="s">
        <v>158</v>
      </c>
    </row>
    <row r="11">
      <c r="A11" s="21">
        <f>Scores!A12</f>
        <v>1</v>
      </c>
      <c r="B11" s="14">
        <f t="array" ref="B11:B410">xlookup(A2,Scores!B1:AA1,Scores!B12:AA411)</f>
        <v>61</v>
      </c>
      <c r="C11" s="14">
        <f t="array" ref="C11:C410">Compilation!B9:B410</f>
        <v>58</v>
      </c>
      <c r="D11" s="14">
        <f t="shared" ref="D11:D410" si="1">IF(B11&lt;&gt;"",B11-C11,"")</f>
        <v>3</v>
      </c>
      <c r="F11" s="21">
        <f>IFERROR(__xludf.DUMMYFUNCTION("let(a,xlookup(A2,Scores!B1:AA1,Scores!B12:AA411),IFERROR(filter(Compilation!A9:A410,a=""""),""""))"),76.0)</f>
        <v>76</v>
      </c>
      <c r="H11" s="36" t="str">
        <f>IFERROR(__xludf.DUMMYFUNCTION("IFERROR(filter(A11:A410,B11:B410=Compilation!E9:E410),"""")"),"")</f>
        <v/>
      </c>
      <c r="I11" s="14" t="str">
        <f>IFERROR(__xludf.DUMMYFUNCTION("IFERROR(filter(B11:B410,B11:B410=Compilation!E9:E410),"""")"),"")</f>
        <v/>
      </c>
      <c r="J11" s="14" t="str">
        <f>IFERROR(__xludf.DUMMYFUNCTION("IFERROR(filter(Compilation!I9:I410,B11:B410=Compilation!E9:E410),"""")"),"")</f>
        <v/>
      </c>
      <c r="L11" s="21">
        <f>IFERROR(__xludf.DUMMYFUNCTION("IFERROR(filter(A11:A410,B11:B410=Compilation!B9:B410,B11:B410&lt;&gt;Compilation!E9:E410),"""")"),32.0)</f>
        <v>32</v>
      </c>
      <c r="M11" s="14">
        <f>IFERROR(__xludf.DUMMYFUNCTION("IFERROR(filter(B11:B410,B11:B410=Compilation!B9:B410,B11:B410&lt;&gt;Compilation!E9:E410),""get go[ol]d"")"),39.0)</f>
        <v>39</v>
      </c>
      <c r="N11" s="14" t="str">
        <f>IFERROR(__xludf.DUMMYFUNCTION("IFERROR(filter(Compilation!J9:J410&amp;""/""&amp;Compilation!I9:I410,B11:B410=Compilation!B9:B410,B11:B410&lt;&gt;Compilation!E9:E410),"""")"),"36/46")</f>
        <v>36/46</v>
      </c>
      <c r="P11" s="21">
        <f>IFERROR(__xludf.DUMMYFUNCTION("sort(filter({Compilation!A9:A410,Compilation!B9:B410,Compilation!J9:J410&amp;""/""&amp;Compilation!I9:I410,D11:D410},B11:B410&lt;&gt;Compilation!B9:B410,Compilation!E9:E410&lt;IF(Q6,999999,0),Compilation!J9:J410&gt;=R9,D11:D410&gt;=S9),IF(Q9=""task"",1,IF(Q9=""length"",2,IF(Q9="&amp;"""golds"",3,4))),Q9&lt;&gt;""diff"")"),304.0)</f>
        <v>304</v>
      </c>
      <c r="Q11" s="14">
        <f>IFERROR(__xludf.DUMMYFUNCTION("""COMPUTED_VALUE"""),92.0)</f>
        <v>92</v>
      </c>
      <c r="R11" s="14" t="str">
        <f>IFERROR(__xludf.DUMMYFUNCTION("""COMPUTED_VALUE"""),"10/41")</f>
        <v>10/41</v>
      </c>
      <c r="S11" s="14">
        <f>IFERROR(__xludf.DUMMYFUNCTION("""COMPUTED_VALUE"""),9.0)</f>
        <v>9</v>
      </c>
      <c r="U11" s="21">
        <f>IFERROR(__xludf.DUMMYFUNCTION("sort(filter(A11:D410,B11:B410&gt;0),4,false)"),54.0)</f>
        <v>54</v>
      </c>
      <c r="V11" s="14">
        <f>IFERROR(__xludf.DUMMYFUNCTION("""COMPUTED_VALUE"""),612.0)</f>
        <v>612</v>
      </c>
      <c r="W11" s="14">
        <f>IFERROR(__xludf.DUMMYFUNCTION("""COMPUTED_VALUE"""),266.0)</f>
        <v>266</v>
      </c>
      <c r="X11" s="14">
        <f>IFERROR(__xludf.DUMMYFUNCTION("""COMPUTED_VALUE"""),346.0)</f>
        <v>346</v>
      </c>
    </row>
    <row r="12">
      <c r="A12" s="21">
        <f>Scores!A13</f>
        <v>2</v>
      </c>
      <c r="B12" s="14">
        <v>217.0</v>
      </c>
      <c r="C12" s="14">
        <v>86.0</v>
      </c>
      <c r="D12" s="14">
        <f t="shared" si="1"/>
        <v>131</v>
      </c>
      <c r="F12" s="21">
        <f>IFERROR(__xludf.DUMMYFUNCTION("""COMPUTED_VALUE"""),77.0)</f>
        <v>77</v>
      </c>
      <c r="H12" s="36"/>
      <c r="I12" s="14"/>
      <c r="J12" s="14"/>
      <c r="L12" s="21">
        <f>IFERROR(__xludf.DUMMYFUNCTION("""COMPUTED_VALUE"""),67.0)</f>
        <v>67</v>
      </c>
      <c r="M12" s="14">
        <f>IFERROR(__xludf.DUMMYFUNCTION("""COMPUTED_VALUE"""),33.0)</f>
        <v>33</v>
      </c>
      <c r="N12" s="14" t="str">
        <f>IFERROR(__xludf.DUMMYFUNCTION("""COMPUTED_VALUE"""),"39/47")</f>
        <v>39/47</v>
      </c>
      <c r="P12" s="21">
        <f>IFERROR(__xludf.DUMMYFUNCTION("""COMPUTED_VALUE"""),24.0)</f>
        <v>24</v>
      </c>
      <c r="Q12" s="14">
        <f>IFERROR(__xludf.DUMMYFUNCTION("""COMPUTED_VALUE"""),62.0)</f>
        <v>62</v>
      </c>
      <c r="R12" s="14" t="str">
        <f>IFERROR(__xludf.DUMMYFUNCTION("""COMPUTED_VALUE"""),"10/44")</f>
        <v>10/44</v>
      </c>
      <c r="S12" s="14">
        <f>IFERROR(__xludf.DUMMYFUNCTION("""COMPUTED_VALUE"""),28.0)</f>
        <v>28</v>
      </c>
      <c r="U12" s="21">
        <f>IFERROR(__xludf.DUMMYFUNCTION("""COMPUTED_VALUE"""),18.0)</f>
        <v>18</v>
      </c>
      <c r="V12" s="14">
        <f>IFERROR(__xludf.DUMMYFUNCTION("""COMPUTED_VALUE"""),519.0)</f>
        <v>519</v>
      </c>
      <c r="W12" s="14">
        <f>IFERROR(__xludf.DUMMYFUNCTION("""COMPUTED_VALUE"""),275.0)</f>
        <v>275</v>
      </c>
      <c r="X12" s="14">
        <f>IFERROR(__xludf.DUMMYFUNCTION("""COMPUTED_VALUE"""),244.0)</f>
        <v>244</v>
      </c>
    </row>
    <row r="13">
      <c r="A13" s="21">
        <f>Scores!A14</f>
        <v>3</v>
      </c>
      <c r="B13" s="14">
        <v>65.0</v>
      </c>
      <c r="C13" s="14">
        <v>58.0</v>
      </c>
      <c r="D13" s="14">
        <f t="shared" si="1"/>
        <v>7</v>
      </c>
      <c r="F13" s="21">
        <f>IFERROR(__xludf.DUMMYFUNCTION("""COMPUTED_VALUE"""),80.0)</f>
        <v>80</v>
      </c>
      <c r="H13" s="36"/>
      <c r="I13" s="14"/>
      <c r="J13" s="14"/>
      <c r="L13" s="21">
        <f>IFERROR(__xludf.DUMMYFUNCTION("""COMPUTED_VALUE"""),73.0)</f>
        <v>73</v>
      </c>
      <c r="M13" s="14">
        <f>IFERROR(__xludf.DUMMYFUNCTION("""COMPUTED_VALUE"""),46.0)</f>
        <v>46</v>
      </c>
      <c r="N13" s="14" t="str">
        <f>IFERROR(__xludf.DUMMYFUNCTION("""COMPUTED_VALUE"""),"21/45")</f>
        <v>21/45</v>
      </c>
      <c r="P13" s="21">
        <f>IFERROR(__xludf.DUMMYFUNCTION("""COMPUTED_VALUE"""),75.0)</f>
        <v>75</v>
      </c>
      <c r="Q13" s="14">
        <f>IFERROR(__xludf.DUMMYFUNCTION("""COMPUTED_VALUE"""),86.0)</f>
        <v>86</v>
      </c>
      <c r="R13" s="14" t="str">
        <f>IFERROR(__xludf.DUMMYFUNCTION("""COMPUTED_VALUE"""),"11/40")</f>
        <v>11/40</v>
      </c>
      <c r="S13" s="14">
        <f>IFERROR(__xludf.DUMMYFUNCTION("""COMPUTED_VALUE"""),13.0)</f>
        <v>13</v>
      </c>
      <c r="U13" s="21">
        <f>IFERROR(__xludf.DUMMYFUNCTION("""COMPUTED_VALUE"""),44.0)</f>
        <v>44</v>
      </c>
      <c r="V13" s="14">
        <f>IFERROR(__xludf.DUMMYFUNCTION("""COMPUTED_VALUE"""),383.0)</f>
        <v>383</v>
      </c>
      <c r="W13" s="14">
        <f>IFERROR(__xludf.DUMMYFUNCTION("""COMPUTED_VALUE"""),195.0)</f>
        <v>195</v>
      </c>
      <c r="X13" s="14">
        <f>IFERROR(__xludf.DUMMYFUNCTION("""COMPUTED_VALUE"""),188.0)</f>
        <v>188</v>
      </c>
    </row>
    <row r="14">
      <c r="A14" s="21">
        <f>Scores!A15</f>
        <v>4</v>
      </c>
      <c r="B14" s="14">
        <v>139.0</v>
      </c>
      <c r="C14" s="14">
        <v>73.0</v>
      </c>
      <c r="D14" s="14">
        <f t="shared" si="1"/>
        <v>66</v>
      </c>
      <c r="F14" s="21">
        <f>IFERROR(__xludf.DUMMYFUNCTION("""COMPUTED_VALUE"""),86.0)</f>
        <v>86</v>
      </c>
      <c r="H14" s="36"/>
      <c r="I14" s="14"/>
      <c r="J14" s="14"/>
      <c r="L14" s="21">
        <f>IFERROR(__xludf.DUMMYFUNCTION("""COMPUTED_VALUE"""),83.0)</f>
        <v>83</v>
      </c>
      <c r="M14" s="14">
        <f>IFERROR(__xludf.DUMMYFUNCTION("""COMPUTED_VALUE"""),40.0)</f>
        <v>40</v>
      </c>
      <c r="N14" s="14" t="str">
        <f>IFERROR(__xludf.DUMMYFUNCTION("""COMPUTED_VALUE"""),"40/47")</f>
        <v>40/47</v>
      </c>
      <c r="P14" s="21">
        <f>IFERROR(__xludf.DUMMYFUNCTION("""COMPUTED_VALUE"""),229.0)</f>
        <v>229</v>
      </c>
      <c r="Q14" s="14">
        <f>IFERROR(__xludf.DUMMYFUNCTION("""COMPUTED_VALUE"""),73.0)</f>
        <v>73</v>
      </c>
      <c r="R14" s="14" t="str">
        <f>IFERROR(__xludf.DUMMYFUNCTION("""COMPUTED_VALUE"""),"11/42")</f>
        <v>11/42</v>
      </c>
      <c r="S14" s="14">
        <f>IFERROR(__xludf.DUMMYFUNCTION("""COMPUTED_VALUE"""),10.0)</f>
        <v>10</v>
      </c>
      <c r="U14" s="21">
        <f>IFERROR(__xludf.DUMMYFUNCTION("""COMPUTED_VALUE"""),5.0)</f>
        <v>5</v>
      </c>
      <c r="V14" s="14">
        <f>IFERROR(__xludf.DUMMYFUNCTION("""COMPUTED_VALUE"""),346.0)</f>
        <v>346</v>
      </c>
      <c r="W14" s="14">
        <f>IFERROR(__xludf.DUMMYFUNCTION("""COMPUTED_VALUE"""),166.0)</f>
        <v>166</v>
      </c>
      <c r="X14" s="14">
        <f>IFERROR(__xludf.DUMMYFUNCTION("""COMPUTED_VALUE"""),180.0)</f>
        <v>180</v>
      </c>
    </row>
    <row r="15">
      <c r="A15" s="21">
        <f>Scores!A16</f>
        <v>5</v>
      </c>
      <c r="B15" s="14">
        <v>346.0</v>
      </c>
      <c r="C15" s="14">
        <v>166.0</v>
      </c>
      <c r="D15" s="14">
        <f t="shared" si="1"/>
        <v>180</v>
      </c>
      <c r="F15" s="21">
        <f>IFERROR(__xludf.DUMMYFUNCTION("""COMPUTED_VALUE"""),88.0)</f>
        <v>88</v>
      </c>
      <c r="H15" s="36"/>
      <c r="I15" s="14"/>
      <c r="J15" s="14"/>
      <c r="L15" s="21">
        <f>IFERROR(__xludf.DUMMYFUNCTION("""COMPUTED_VALUE"""),87.0)</f>
        <v>87</v>
      </c>
      <c r="M15" s="14">
        <f>IFERROR(__xludf.DUMMYFUNCTION("""COMPUTED_VALUE"""),36.0)</f>
        <v>36</v>
      </c>
      <c r="N15" s="14" t="str">
        <f>IFERROR(__xludf.DUMMYFUNCTION("""COMPUTED_VALUE"""),"44/46")</f>
        <v>44/46</v>
      </c>
      <c r="P15" s="21">
        <f>IFERROR(__xludf.DUMMYFUNCTION("""COMPUTED_VALUE"""),262.0)</f>
        <v>262</v>
      </c>
      <c r="Q15" s="14">
        <f>IFERROR(__xludf.DUMMYFUNCTION("""COMPUTED_VALUE"""),39.0)</f>
        <v>39</v>
      </c>
      <c r="R15" s="14" t="str">
        <f>IFERROR(__xludf.DUMMYFUNCTION("""COMPUTED_VALUE"""),"11/44")</f>
        <v>11/44</v>
      </c>
      <c r="S15" s="14">
        <f>IFERROR(__xludf.DUMMYFUNCTION("""COMPUTED_VALUE"""),3.0)</f>
        <v>3</v>
      </c>
      <c r="U15" s="21">
        <f>IFERROR(__xludf.DUMMYFUNCTION("""COMPUTED_VALUE"""),308.0)</f>
        <v>308</v>
      </c>
      <c r="V15" s="14">
        <f>IFERROR(__xludf.DUMMYFUNCTION("""COMPUTED_VALUE"""),357.0)</f>
        <v>357</v>
      </c>
      <c r="W15" s="14">
        <f>IFERROR(__xludf.DUMMYFUNCTION("""COMPUTED_VALUE"""),192.0)</f>
        <v>192</v>
      </c>
      <c r="X15" s="14">
        <f>IFERROR(__xludf.DUMMYFUNCTION("""COMPUTED_VALUE"""),165.0)</f>
        <v>165</v>
      </c>
    </row>
    <row r="16">
      <c r="A16" s="21">
        <f>Scores!A17</f>
        <v>6</v>
      </c>
      <c r="B16" s="14">
        <v>53.0</v>
      </c>
      <c r="C16" s="14">
        <v>49.0</v>
      </c>
      <c r="D16" s="14">
        <f t="shared" si="1"/>
        <v>4</v>
      </c>
      <c r="F16" s="21">
        <f>IFERROR(__xludf.DUMMYFUNCTION("""COMPUTED_VALUE"""),89.0)</f>
        <v>89</v>
      </c>
      <c r="H16" s="36"/>
      <c r="I16" s="14"/>
      <c r="J16" s="14"/>
      <c r="L16" s="21">
        <f>IFERROR(__xludf.DUMMYFUNCTION("""COMPUTED_VALUE"""),103.0)</f>
        <v>103</v>
      </c>
      <c r="M16" s="14">
        <f>IFERROR(__xludf.DUMMYFUNCTION("""COMPUTED_VALUE"""),29.0)</f>
        <v>29</v>
      </c>
      <c r="N16" s="14" t="str">
        <f>IFERROR(__xludf.DUMMYFUNCTION("""COMPUTED_VALUE"""),"24/46")</f>
        <v>24/46</v>
      </c>
      <c r="P16" s="21">
        <f>IFERROR(__xludf.DUMMYFUNCTION("""COMPUTED_VALUE"""),347.0)</f>
        <v>347</v>
      </c>
      <c r="Q16" s="14">
        <f>IFERROR(__xludf.DUMMYFUNCTION("""COMPUTED_VALUE"""),50.0)</f>
        <v>50</v>
      </c>
      <c r="R16" s="14" t="str">
        <f>IFERROR(__xludf.DUMMYFUNCTION("""COMPUTED_VALUE"""),"11/44")</f>
        <v>11/44</v>
      </c>
      <c r="S16" s="14">
        <f>IFERROR(__xludf.DUMMYFUNCTION("""COMPUTED_VALUE"""),4.0)</f>
        <v>4</v>
      </c>
      <c r="U16" s="21">
        <f>IFERROR(__xludf.DUMMYFUNCTION("""COMPUTED_VALUE"""),42.0)</f>
        <v>42</v>
      </c>
      <c r="V16" s="14">
        <f>IFERROR(__xludf.DUMMYFUNCTION("""COMPUTED_VALUE"""),286.0)</f>
        <v>286</v>
      </c>
      <c r="W16" s="14">
        <f>IFERROR(__xludf.DUMMYFUNCTION("""COMPUTED_VALUE"""),132.0)</f>
        <v>132</v>
      </c>
      <c r="X16" s="14">
        <f>IFERROR(__xludf.DUMMYFUNCTION("""COMPUTED_VALUE"""),154.0)</f>
        <v>154</v>
      </c>
    </row>
    <row r="17">
      <c r="A17" s="21">
        <f>Scores!A18</f>
        <v>7</v>
      </c>
      <c r="B17" s="14">
        <v>84.0</v>
      </c>
      <c r="C17" s="14">
        <v>62.0</v>
      </c>
      <c r="D17" s="14">
        <f t="shared" si="1"/>
        <v>22</v>
      </c>
      <c r="F17" s="21">
        <f>IFERROR(__xludf.DUMMYFUNCTION("""COMPUTED_VALUE"""),90.0)</f>
        <v>90</v>
      </c>
      <c r="H17" s="36"/>
      <c r="I17" s="14"/>
      <c r="J17" s="14"/>
      <c r="L17" s="21">
        <f>IFERROR(__xludf.DUMMYFUNCTION("""COMPUTED_VALUE"""),113.0)</f>
        <v>113</v>
      </c>
      <c r="M17" s="14">
        <f>IFERROR(__xludf.DUMMYFUNCTION("""COMPUTED_VALUE"""),25.0)</f>
        <v>25</v>
      </c>
      <c r="N17" s="14" t="str">
        <f>IFERROR(__xludf.DUMMYFUNCTION("""COMPUTED_VALUE"""),"31/45")</f>
        <v>31/45</v>
      </c>
      <c r="P17" s="21">
        <f>IFERROR(__xludf.DUMMYFUNCTION("""COMPUTED_VALUE"""),3.0)</f>
        <v>3</v>
      </c>
      <c r="Q17" s="14">
        <f>IFERROR(__xludf.DUMMYFUNCTION("""COMPUTED_VALUE"""),58.0)</f>
        <v>58</v>
      </c>
      <c r="R17" s="14" t="str">
        <f>IFERROR(__xludf.DUMMYFUNCTION("""COMPUTED_VALUE"""),"11/46")</f>
        <v>11/46</v>
      </c>
      <c r="S17" s="14">
        <f>IFERROR(__xludf.DUMMYFUNCTION("""COMPUTED_VALUE"""),7.0)</f>
        <v>7</v>
      </c>
      <c r="U17" s="21">
        <f>IFERROR(__xludf.DUMMYFUNCTION("""COMPUTED_VALUE"""),71.0)</f>
        <v>71</v>
      </c>
      <c r="V17" s="14">
        <f>IFERROR(__xludf.DUMMYFUNCTION("""COMPUTED_VALUE"""),244.0)</f>
        <v>244</v>
      </c>
      <c r="W17" s="14">
        <f>IFERROR(__xludf.DUMMYFUNCTION("""COMPUTED_VALUE"""),100.0)</f>
        <v>100</v>
      </c>
      <c r="X17" s="14">
        <f>IFERROR(__xludf.DUMMYFUNCTION("""COMPUTED_VALUE"""),144.0)</f>
        <v>144</v>
      </c>
    </row>
    <row r="18">
      <c r="A18" s="21">
        <f>Scores!A19</f>
        <v>8</v>
      </c>
      <c r="B18" s="14">
        <v>152.0</v>
      </c>
      <c r="C18" s="14">
        <v>84.0</v>
      </c>
      <c r="D18" s="14">
        <f t="shared" si="1"/>
        <v>68</v>
      </c>
      <c r="F18" s="21">
        <f>IFERROR(__xludf.DUMMYFUNCTION("""COMPUTED_VALUE"""),91.0)</f>
        <v>91</v>
      </c>
      <c r="H18" s="36"/>
      <c r="I18" s="14"/>
      <c r="J18" s="14"/>
      <c r="L18" s="21">
        <f>IFERROR(__xludf.DUMMYFUNCTION("""COMPUTED_VALUE"""),116.0)</f>
        <v>116</v>
      </c>
      <c r="M18" s="14">
        <f>IFERROR(__xludf.DUMMYFUNCTION("""COMPUTED_VALUE"""),20.0)</f>
        <v>20</v>
      </c>
      <c r="N18" s="14" t="str">
        <f>IFERROR(__xludf.DUMMYFUNCTION("""COMPUTED_VALUE"""),"43/45")</f>
        <v>43/45</v>
      </c>
      <c r="P18" s="21">
        <f>IFERROR(__xludf.DUMMYFUNCTION("""COMPUTED_VALUE"""),129.0)</f>
        <v>129</v>
      </c>
      <c r="Q18" s="14">
        <f>IFERROR(__xludf.DUMMYFUNCTION("""COMPUTED_VALUE"""),47.0)</f>
        <v>47</v>
      </c>
      <c r="R18" s="14" t="str">
        <f>IFERROR(__xludf.DUMMYFUNCTION("""COMPUTED_VALUE"""),"12/44")</f>
        <v>12/44</v>
      </c>
      <c r="S18" s="14">
        <f>IFERROR(__xludf.DUMMYFUNCTION("""COMPUTED_VALUE"""),6.0)</f>
        <v>6</v>
      </c>
      <c r="U18" s="21">
        <f>IFERROR(__xludf.DUMMYFUNCTION("""COMPUTED_VALUE"""),36.0)</f>
        <v>36</v>
      </c>
      <c r="V18" s="14">
        <f>IFERROR(__xludf.DUMMYFUNCTION("""COMPUTED_VALUE"""),207.0)</f>
        <v>207</v>
      </c>
      <c r="W18" s="14">
        <f>IFERROR(__xludf.DUMMYFUNCTION("""COMPUTED_VALUE"""),75.0)</f>
        <v>75</v>
      </c>
      <c r="X18" s="14">
        <f>IFERROR(__xludf.DUMMYFUNCTION("""COMPUTED_VALUE"""),132.0)</f>
        <v>132</v>
      </c>
    </row>
    <row r="19">
      <c r="A19" s="21">
        <f>Scores!A20</f>
        <v>9</v>
      </c>
      <c r="B19" s="14">
        <v>147.0</v>
      </c>
      <c r="C19" s="14">
        <v>95.0</v>
      </c>
      <c r="D19" s="14">
        <f t="shared" si="1"/>
        <v>52</v>
      </c>
      <c r="F19" s="21">
        <f>IFERROR(__xludf.DUMMYFUNCTION("""COMPUTED_VALUE"""),92.0)</f>
        <v>92</v>
      </c>
      <c r="H19" s="36"/>
      <c r="I19" s="14"/>
      <c r="J19" s="14"/>
      <c r="L19" s="21">
        <f>IFERROR(__xludf.DUMMYFUNCTION("""COMPUTED_VALUE"""),135.0)</f>
        <v>135</v>
      </c>
      <c r="M19" s="14">
        <f>IFERROR(__xludf.DUMMYFUNCTION("""COMPUTED_VALUE"""),32.0)</f>
        <v>32</v>
      </c>
      <c r="N19" s="14" t="str">
        <f>IFERROR(__xludf.DUMMYFUNCTION("""COMPUTED_VALUE"""),"33/46")</f>
        <v>33/46</v>
      </c>
      <c r="P19" s="21">
        <f>IFERROR(__xludf.DUMMYFUNCTION("""COMPUTED_VALUE"""),299.0)</f>
        <v>299</v>
      </c>
      <c r="Q19" s="14">
        <f>IFERROR(__xludf.DUMMYFUNCTION("""COMPUTED_VALUE"""),54.0)</f>
        <v>54</v>
      </c>
      <c r="R19" s="14" t="str">
        <f>IFERROR(__xludf.DUMMYFUNCTION("""COMPUTED_VALUE"""),"13/41")</f>
        <v>13/41</v>
      </c>
      <c r="S19" s="14" t="str">
        <f>IFERROR(__xludf.DUMMYFUNCTION("""COMPUTED_VALUE"""),"")</f>
        <v/>
      </c>
      <c r="U19" s="21">
        <f>IFERROR(__xludf.DUMMYFUNCTION("""COMPUTED_VALUE"""),2.0)</f>
        <v>2</v>
      </c>
      <c r="V19" s="14">
        <f>IFERROR(__xludf.DUMMYFUNCTION("""COMPUTED_VALUE"""),217.0)</f>
        <v>217</v>
      </c>
      <c r="W19" s="14">
        <f>IFERROR(__xludf.DUMMYFUNCTION("""COMPUTED_VALUE"""),86.0)</f>
        <v>86</v>
      </c>
      <c r="X19" s="14">
        <f>IFERROR(__xludf.DUMMYFUNCTION("""COMPUTED_VALUE"""),131.0)</f>
        <v>131</v>
      </c>
    </row>
    <row r="20">
      <c r="A20" s="21">
        <f>Scores!A21</f>
        <v>10</v>
      </c>
      <c r="B20" s="14">
        <v>94.0</v>
      </c>
      <c r="C20" s="14">
        <v>66.0</v>
      </c>
      <c r="D20" s="14">
        <f t="shared" si="1"/>
        <v>28</v>
      </c>
      <c r="F20" s="21">
        <f>IFERROR(__xludf.DUMMYFUNCTION("""COMPUTED_VALUE"""),93.0)</f>
        <v>93</v>
      </c>
      <c r="H20" s="36"/>
      <c r="I20" s="14"/>
      <c r="J20" s="14"/>
      <c r="L20" s="21">
        <f>IFERROR(__xludf.DUMMYFUNCTION("""COMPUTED_VALUE"""),140.0)</f>
        <v>140</v>
      </c>
      <c r="M20" s="14">
        <f>IFERROR(__xludf.DUMMYFUNCTION("""COMPUTED_VALUE"""),36.0)</f>
        <v>36</v>
      </c>
      <c r="N20" s="14" t="str">
        <f>IFERROR(__xludf.DUMMYFUNCTION("""COMPUTED_VALUE"""),"43/45")</f>
        <v>43/45</v>
      </c>
      <c r="P20" s="21">
        <f>IFERROR(__xludf.DUMMYFUNCTION("""COMPUTED_VALUE"""),316.0)</f>
        <v>316</v>
      </c>
      <c r="Q20" s="14">
        <f>IFERROR(__xludf.DUMMYFUNCTION("""COMPUTED_VALUE"""),71.0)</f>
        <v>71</v>
      </c>
      <c r="R20" s="14" t="str">
        <f>IFERROR(__xludf.DUMMYFUNCTION("""COMPUTED_VALUE"""),"13/41")</f>
        <v>13/41</v>
      </c>
      <c r="S20" s="14" t="str">
        <f>IFERROR(__xludf.DUMMYFUNCTION("""COMPUTED_VALUE"""),"")</f>
        <v/>
      </c>
      <c r="U20" s="21">
        <f>IFERROR(__xludf.DUMMYFUNCTION("""COMPUTED_VALUE"""),379.0)</f>
        <v>379</v>
      </c>
      <c r="V20" s="14">
        <f>IFERROR(__xludf.DUMMYFUNCTION("""COMPUTED_VALUE"""),263.0)</f>
        <v>263</v>
      </c>
      <c r="W20" s="14">
        <f>IFERROR(__xludf.DUMMYFUNCTION("""COMPUTED_VALUE"""),135.0)</f>
        <v>135</v>
      </c>
      <c r="X20" s="14">
        <f>IFERROR(__xludf.DUMMYFUNCTION("""COMPUTED_VALUE"""),128.0)</f>
        <v>128</v>
      </c>
    </row>
    <row r="21">
      <c r="A21" s="21">
        <f>Scores!A22</f>
        <v>11</v>
      </c>
      <c r="B21" s="14">
        <v>155.0</v>
      </c>
      <c r="C21" s="14">
        <v>114.0</v>
      </c>
      <c r="D21" s="14">
        <f t="shared" si="1"/>
        <v>41</v>
      </c>
      <c r="F21" s="21">
        <f>IFERROR(__xludf.DUMMYFUNCTION("""COMPUTED_VALUE"""),94.0)</f>
        <v>94</v>
      </c>
      <c r="H21" s="36"/>
      <c r="I21" s="14"/>
      <c r="J21" s="14"/>
      <c r="L21" s="21">
        <f>IFERROR(__xludf.DUMMYFUNCTION("""COMPUTED_VALUE"""),142.0)</f>
        <v>142</v>
      </c>
      <c r="M21" s="14">
        <f>IFERROR(__xludf.DUMMYFUNCTION("""COMPUTED_VALUE"""),40.0)</f>
        <v>40</v>
      </c>
      <c r="N21" s="14" t="str">
        <f>IFERROR(__xludf.DUMMYFUNCTION("""COMPUTED_VALUE"""),"29/46")</f>
        <v>29/46</v>
      </c>
      <c r="P21" s="21">
        <f>IFERROR(__xludf.DUMMYFUNCTION("""COMPUTED_VALUE"""),146.0)</f>
        <v>146</v>
      </c>
      <c r="Q21" s="14">
        <f>IFERROR(__xludf.DUMMYFUNCTION("""COMPUTED_VALUE"""),58.0)</f>
        <v>58</v>
      </c>
      <c r="R21" s="14" t="str">
        <f>IFERROR(__xludf.DUMMYFUNCTION("""COMPUTED_VALUE"""),"13/43")</f>
        <v>13/43</v>
      </c>
      <c r="S21" s="14" t="str">
        <f>IFERROR(__xludf.DUMMYFUNCTION("""COMPUTED_VALUE"""),"")</f>
        <v/>
      </c>
      <c r="U21" s="21">
        <f>IFERROR(__xludf.DUMMYFUNCTION("""COMPUTED_VALUE"""),34.0)</f>
        <v>34</v>
      </c>
      <c r="V21" s="14">
        <f>IFERROR(__xludf.DUMMYFUNCTION("""COMPUTED_VALUE"""),236.0)</f>
        <v>236</v>
      </c>
      <c r="W21" s="14">
        <f>IFERROR(__xludf.DUMMYFUNCTION("""COMPUTED_VALUE"""),116.0)</f>
        <v>116</v>
      </c>
      <c r="X21" s="14">
        <f>IFERROR(__xludf.DUMMYFUNCTION("""COMPUTED_VALUE"""),120.0)</f>
        <v>120</v>
      </c>
    </row>
    <row r="22">
      <c r="A22" s="21">
        <f>Scores!A23</f>
        <v>12</v>
      </c>
      <c r="B22" s="14">
        <v>175.0</v>
      </c>
      <c r="C22" s="14">
        <v>122.0</v>
      </c>
      <c r="D22" s="14">
        <f t="shared" si="1"/>
        <v>53</v>
      </c>
      <c r="F22" s="21">
        <f>IFERROR(__xludf.DUMMYFUNCTION("""COMPUTED_VALUE"""),96.0)</f>
        <v>96</v>
      </c>
      <c r="H22" s="36"/>
      <c r="I22" s="14"/>
      <c r="J22" s="14"/>
      <c r="L22" s="21">
        <f>IFERROR(__xludf.DUMMYFUNCTION("""COMPUTED_VALUE"""),150.0)</f>
        <v>150</v>
      </c>
      <c r="M22" s="14">
        <f>IFERROR(__xludf.DUMMYFUNCTION("""COMPUTED_VALUE"""),30.0)</f>
        <v>30</v>
      </c>
      <c r="N22" s="14" t="str">
        <f>IFERROR(__xludf.DUMMYFUNCTION("""COMPUTED_VALUE"""),"44/45")</f>
        <v>44/45</v>
      </c>
      <c r="P22" s="21">
        <f>IFERROR(__xludf.DUMMYFUNCTION("""COMPUTED_VALUE"""),38.0)</f>
        <v>38</v>
      </c>
      <c r="Q22" s="14">
        <f>IFERROR(__xludf.DUMMYFUNCTION("""COMPUTED_VALUE"""),51.0)</f>
        <v>51</v>
      </c>
      <c r="R22" s="14" t="str">
        <f>IFERROR(__xludf.DUMMYFUNCTION("""COMPUTED_VALUE"""),"13/45")</f>
        <v>13/45</v>
      </c>
      <c r="S22" s="14">
        <f>IFERROR(__xludf.DUMMYFUNCTION("""COMPUTED_VALUE"""),1.0)</f>
        <v>1</v>
      </c>
      <c r="U22" s="21">
        <f>IFERROR(__xludf.DUMMYFUNCTION("""COMPUTED_VALUE"""),29.0)</f>
        <v>29</v>
      </c>
      <c r="V22" s="14">
        <f>IFERROR(__xludf.DUMMYFUNCTION("""COMPUTED_VALUE"""),213.0)</f>
        <v>213</v>
      </c>
      <c r="W22" s="14">
        <f>IFERROR(__xludf.DUMMYFUNCTION("""COMPUTED_VALUE"""),103.0)</f>
        <v>103</v>
      </c>
      <c r="X22" s="14">
        <f>IFERROR(__xludf.DUMMYFUNCTION("""COMPUTED_VALUE"""),110.0)</f>
        <v>110</v>
      </c>
    </row>
    <row r="23">
      <c r="A23" s="21">
        <f>Scores!A24</f>
        <v>13</v>
      </c>
      <c r="B23" s="14">
        <v>169.0</v>
      </c>
      <c r="C23" s="14">
        <v>124.0</v>
      </c>
      <c r="D23" s="14">
        <f t="shared" si="1"/>
        <v>45</v>
      </c>
      <c r="F23" s="21">
        <f>IFERROR(__xludf.DUMMYFUNCTION("""COMPUTED_VALUE"""),97.0)</f>
        <v>97</v>
      </c>
      <c r="H23" s="36"/>
      <c r="I23" s="14"/>
      <c r="J23" s="14"/>
      <c r="L23" s="21">
        <f>IFERROR(__xludf.DUMMYFUNCTION("""COMPUTED_VALUE"""),155.0)</f>
        <v>155</v>
      </c>
      <c r="M23" s="14">
        <f>IFERROR(__xludf.DUMMYFUNCTION("""COMPUTED_VALUE"""),18.0)</f>
        <v>18</v>
      </c>
      <c r="N23" s="14" t="str">
        <f>IFERROR(__xludf.DUMMYFUNCTION("""COMPUTED_VALUE"""),"44/45")</f>
        <v>44/45</v>
      </c>
      <c r="P23" s="21">
        <f>IFERROR(__xludf.DUMMYFUNCTION("""COMPUTED_VALUE"""),45.0)</f>
        <v>45</v>
      </c>
      <c r="Q23" s="14">
        <f>IFERROR(__xludf.DUMMYFUNCTION("""COMPUTED_VALUE"""),45.0)</f>
        <v>45</v>
      </c>
      <c r="R23" s="14" t="str">
        <f>IFERROR(__xludf.DUMMYFUNCTION("""COMPUTED_VALUE"""),"13/47")</f>
        <v>13/47</v>
      </c>
      <c r="S23" s="14">
        <f>IFERROR(__xludf.DUMMYFUNCTION("""COMPUTED_VALUE"""),3.0)</f>
        <v>3</v>
      </c>
      <c r="U23" s="21">
        <f>IFERROR(__xludf.DUMMYFUNCTION("""COMPUTED_VALUE"""),23.0)</f>
        <v>23</v>
      </c>
      <c r="V23" s="14">
        <f>IFERROR(__xludf.DUMMYFUNCTION("""COMPUTED_VALUE"""),285.0)</f>
        <v>285</v>
      </c>
      <c r="W23" s="14">
        <f>IFERROR(__xludf.DUMMYFUNCTION("""COMPUTED_VALUE"""),182.0)</f>
        <v>182</v>
      </c>
      <c r="X23" s="14">
        <f>IFERROR(__xludf.DUMMYFUNCTION("""COMPUTED_VALUE"""),103.0)</f>
        <v>103</v>
      </c>
    </row>
    <row r="24">
      <c r="A24" s="21">
        <f>Scores!A25</f>
        <v>14</v>
      </c>
      <c r="B24" s="14">
        <v>108.0</v>
      </c>
      <c r="C24" s="14">
        <v>57.0</v>
      </c>
      <c r="D24" s="14">
        <f t="shared" si="1"/>
        <v>51</v>
      </c>
      <c r="F24" s="21">
        <f>IFERROR(__xludf.DUMMYFUNCTION("""COMPUTED_VALUE"""),98.0)</f>
        <v>98</v>
      </c>
      <c r="H24" s="36"/>
      <c r="I24" s="14"/>
      <c r="J24" s="14"/>
      <c r="L24" s="21">
        <f>IFERROR(__xludf.DUMMYFUNCTION("""COMPUTED_VALUE"""),164.0)</f>
        <v>164</v>
      </c>
      <c r="M24" s="14">
        <f>IFERROR(__xludf.DUMMYFUNCTION("""COMPUTED_VALUE"""),32.0)</f>
        <v>32</v>
      </c>
      <c r="N24" s="14" t="str">
        <f>IFERROR(__xludf.DUMMYFUNCTION("""COMPUTED_VALUE"""),"44/45")</f>
        <v>44/45</v>
      </c>
      <c r="P24" s="21">
        <f>IFERROR(__xludf.DUMMYFUNCTION("""COMPUTED_VALUE"""),211.0)</f>
        <v>211</v>
      </c>
      <c r="Q24" s="14">
        <f>IFERROR(__xludf.DUMMYFUNCTION("""COMPUTED_VALUE"""),48.0)</f>
        <v>48</v>
      </c>
      <c r="R24" s="14" t="str">
        <f>IFERROR(__xludf.DUMMYFUNCTION("""COMPUTED_VALUE"""),"14/43")</f>
        <v>14/43</v>
      </c>
      <c r="S24" s="14">
        <f>IFERROR(__xludf.DUMMYFUNCTION("""COMPUTED_VALUE"""),1.0)</f>
        <v>1</v>
      </c>
      <c r="U24" s="21">
        <f>IFERROR(__xludf.DUMMYFUNCTION("""COMPUTED_VALUE"""),25.0)</f>
        <v>25</v>
      </c>
      <c r="V24" s="14">
        <f>IFERROR(__xludf.DUMMYFUNCTION("""COMPUTED_VALUE"""),230.0)</f>
        <v>230</v>
      </c>
      <c r="W24" s="14">
        <f>IFERROR(__xludf.DUMMYFUNCTION("""COMPUTED_VALUE"""),127.0)</f>
        <v>127</v>
      </c>
      <c r="X24" s="14">
        <f>IFERROR(__xludf.DUMMYFUNCTION("""COMPUTED_VALUE"""),103.0)</f>
        <v>103</v>
      </c>
    </row>
    <row r="25">
      <c r="A25" s="21">
        <f>Scores!A26</f>
        <v>15</v>
      </c>
      <c r="B25" s="14">
        <v>117.0</v>
      </c>
      <c r="C25" s="14">
        <v>87.0</v>
      </c>
      <c r="D25" s="14">
        <f t="shared" si="1"/>
        <v>30</v>
      </c>
      <c r="F25" s="21">
        <f>IFERROR(__xludf.DUMMYFUNCTION("""COMPUTED_VALUE"""),99.0)</f>
        <v>99</v>
      </c>
      <c r="H25" s="36"/>
      <c r="I25" s="14"/>
      <c r="J25" s="14"/>
      <c r="L25" s="21">
        <f>IFERROR(__xludf.DUMMYFUNCTION("""COMPUTED_VALUE"""),172.0)</f>
        <v>172</v>
      </c>
      <c r="M25" s="14">
        <f>IFERROR(__xludf.DUMMYFUNCTION("""COMPUTED_VALUE"""),20.0)</f>
        <v>20</v>
      </c>
      <c r="N25" s="14" t="str">
        <f>IFERROR(__xludf.DUMMYFUNCTION("""COMPUTED_VALUE"""),"44/45")</f>
        <v>44/45</v>
      </c>
      <c r="P25" s="21">
        <f>IFERROR(__xludf.DUMMYFUNCTION("""COMPUTED_VALUE"""),391.0)</f>
        <v>391</v>
      </c>
      <c r="Q25" s="14">
        <f>IFERROR(__xludf.DUMMYFUNCTION("""COMPUTED_VALUE"""),63.0)</f>
        <v>63</v>
      </c>
      <c r="R25" s="14" t="str">
        <f>IFERROR(__xludf.DUMMYFUNCTION("""COMPUTED_VALUE"""),"15/43")</f>
        <v>15/43</v>
      </c>
      <c r="S25" s="14">
        <f>IFERROR(__xludf.DUMMYFUNCTION("""COMPUTED_VALUE"""),11.0)</f>
        <v>11</v>
      </c>
      <c r="U25" s="21">
        <f>IFERROR(__xludf.DUMMYFUNCTION("""COMPUTED_VALUE"""),20.0)</f>
        <v>20</v>
      </c>
      <c r="V25" s="14">
        <f>IFERROR(__xludf.DUMMYFUNCTION("""COMPUTED_VALUE"""),226.0)</f>
        <v>226</v>
      </c>
      <c r="W25" s="14">
        <f>IFERROR(__xludf.DUMMYFUNCTION("""COMPUTED_VALUE"""),126.0)</f>
        <v>126</v>
      </c>
      <c r="X25" s="14">
        <f>IFERROR(__xludf.DUMMYFUNCTION("""COMPUTED_VALUE"""),100.0)</f>
        <v>100</v>
      </c>
    </row>
    <row r="26">
      <c r="A26" s="21">
        <f>Scores!A27</f>
        <v>16</v>
      </c>
      <c r="B26" s="14">
        <v>49.0</v>
      </c>
      <c r="C26" s="14">
        <v>43.0</v>
      </c>
      <c r="D26" s="14">
        <f t="shared" si="1"/>
        <v>6</v>
      </c>
      <c r="F26" s="21">
        <f>IFERROR(__xludf.DUMMYFUNCTION("""COMPUTED_VALUE"""),100.0)</f>
        <v>100</v>
      </c>
      <c r="H26" s="36"/>
      <c r="I26" s="14"/>
      <c r="J26" s="14"/>
      <c r="L26" s="21">
        <f>IFERROR(__xludf.DUMMYFUNCTION("""COMPUTED_VALUE"""),179.0)</f>
        <v>179</v>
      </c>
      <c r="M26" s="14">
        <f>IFERROR(__xludf.DUMMYFUNCTION("""COMPUTED_VALUE"""),21.0)</f>
        <v>21</v>
      </c>
      <c r="N26" s="14" t="str">
        <f>IFERROR(__xludf.DUMMYFUNCTION("""COMPUTED_VALUE"""),"35/45")</f>
        <v>35/45</v>
      </c>
      <c r="P26" s="21">
        <f>IFERROR(__xludf.DUMMYFUNCTION("""COMPUTED_VALUE"""),297.0)</f>
        <v>297</v>
      </c>
      <c r="Q26" s="14">
        <f>IFERROR(__xludf.DUMMYFUNCTION("""COMPUTED_VALUE"""),43.0)</f>
        <v>43</v>
      </c>
      <c r="R26" s="14" t="str">
        <f>IFERROR(__xludf.DUMMYFUNCTION("""COMPUTED_VALUE"""),"15/44")</f>
        <v>15/44</v>
      </c>
      <c r="S26" s="14">
        <f>IFERROR(__xludf.DUMMYFUNCTION("""COMPUTED_VALUE"""),4.0)</f>
        <v>4</v>
      </c>
      <c r="U26" s="21">
        <f>IFERROR(__xludf.DUMMYFUNCTION("""COMPUTED_VALUE"""),255.0)</f>
        <v>255</v>
      </c>
      <c r="V26" s="14">
        <f>IFERROR(__xludf.DUMMYFUNCTION("""COMPUTED_VALUE"""),309.0)</f>
        <v>309</v>
      </c>
      <c r="W26" s="14">
        <f>IFERROR(__xludf.DUMMYFUNCTION("""COMPUTED_VALUE"""),212.0)</f>
        <v>212</v>
      </c>
      <c r="X26" s="14">
        <f>IFERROR(__xludf.DUMMYFUNCTION("""COMPUTED_VALUE"""),97.0)</f>
        <v>97</v>
      </c>
    </row>
    <row r="27">
      <c r="A27" s="21">
        <f>Scores!A28</f>
        <v>17</v>
      </c>
      <c r="B27" s="14">
        <v>149.0</v>
      </c>
      <c r="C27" s="14">
        <v>90.0</v>
      </c>
      <c r="D27" s="14">
        <f t="shared" si="1"/>
        <v>59</v>
      </c>
      <c r="F27" s="21">
        <f>IFERROR(__xludf.DUMMYFUNCTION("""COMPUTED_VALUE"""),101.0)</f>
        <v>101</v>
      </c>
      <c r="H27" s="36"/>
      <c r="I27" s="14"/>
      <c r="J27" s="14"/>
      <c r="L27" s="21">
        <f>IFERROR(__xludf.DUMMYFUNCTION("""COMPUTED_VALUE"""),210.0)</f>
        <v>210</v>
      </c>
      <c r="M27" s="14">
        <f>IFERROR(__xludf.DUMMYFUNCTION("""COMPUTED_VALUE"""),20.0)</f>
        <v>20</v>
      </c>
      <c r="N27" s="14" t="str">
        <f>IFERROR(__xludf.DUMMYFUNCTION("""COMPUTED_VALUE"""),"44/45")</f>
        <v>44/45</v>
      </c>
      <c r="P27" s="21">
        <f>IFERROR(__xludf.DUMMYFUNCTION("""COMPUTED_VALUE"""),393.0)</f>
        <v>393</v>
      </c>
      <c r="Q27" s="14">
        <f>IFERROR(__xludf.DUMMYFUNCTION("""COMPUTED_VALUE"""),63.0)</f>
        <v>63</v>
      </c>
      <c r="R27" s="14" t="str">
        <f>IFERROR(__xludf.DUMMYFUNCTION("""COMPUTED_VALUE"""),"16/42")</f>
        <v>16/42</v>
      </c>
      <c r="S27" s="14">
        <f>IFERROR(__xludf.DUMMYFUNCTION("""COMPUTED_VALUE"""),13.0)</f>
        <v>13</v>
      </c>
      <c r="U27" s="21">
        <f>IFERROR(__xludf.DUMMYFUNCTION("""COMPUTED_VALUE"""),70.0)</f>
        <v>70</v>
      </c>
      <c r="V27" s="14">
        <f>IFERROR(__xludf.DUMMYFUNCTION("""COMPUTED_VALUE"""),163.0)</f>
        <v>163</v>
      </c>
      <c r="W27" s="14">
        <f>IFERROR(__xludf.DUMMYFUNCTION("""COMPUTED_VALUE"""),78.0)</f>
        <v>78</v>
      </c>
      <c r="X27" s="14">
        <f>IFERROR(__xludf.DUMMYFUNCTION("""COMPUTED_VALUE"""),85.0)</f>
        <v>85</v>
      </c>
    </row>
    <row r="28">
      <c r="A28" s="21">
        <f>Scores!A29</f>
        <v>18</v>
      </c>
      <c r="B28" s="14">
        <v>519.0</v>
      </c>
      <c r="C28" s="14">
        <v>275.0</v>
      </c>
      <c r="D28" s="14">
        <f t="shared" si="1"/>
        <v>244</v>
      </c>
      <c r="F28" s="21">
        <f>IFERROR(__xludf.DUMMYFUNCTION("""COMPUTED_VALUE"""),102.0)</f>
        <v>102</v>
      </c>
      <c r="H28" s="36"/>
      <c r="I28" s="14"/>
      <c r="J28" s="14"/>
      <c r="L28" s="21">
        <f>IFERROR(__xludf.DUMMYFUNCTION("""COMPUTED_VALUE"""),241.0)</f>
        <v>241</v>
      </c>
      <c r="M28" s="14">
        <f>IFERROR(__xludf.DUMMYFUNCTION("""COMPUTED_VALUE"""),21.0)</f>
        <v>21</v>
      </c>
      <c r="N28" s="14" t="str">
        <f>IFERROR(__xludf.DUMMYFUNCTION("""COMPUTED_VALUE"""),"36/44")</f>
        <v>36/44</v>
      </c>
      <c r="P28" s="21">
        <f>IFERROR(__xludf.DUMMYFUNCTION("""COMPUTED_VALUE"""),261.0)</f>
        <v>261</v>
      </c>
      <c r="Q28" s="14">
        <f>IFERROR(__xludf.DUMMYFUNCTION("""COMPUTED_VALUE"""),47.0)</f>
        <v>47</v>
      </c>
      <c r="R28" s="14" t="str">
        <f>IFERROR(__xludf.DUMMYFUNCTION("""COMPUTED_VALUE"""),"16/45")</f>
        <v>16/45</v>
      </c>
      <c r="S28" s="14">
        <f>IFERROR(__xludf.DUMMYFUNCTION("""COMPUTED_VALUE"""),1.0)</f>
        <v>1</v>
      </c>
      <c r="U28" s="21">
        <f>IFERROR(__xludf.DUMMYFUNCTION("""COMPUTED_VALUE"""),59.0)</f>
        <v>59</v>
      </c>
      <c r="V28" s="14">
        <f>IFERROR(__xludf.DUMMYFUNCTION("""COMPUTED_VALUE"""),227.0)</f>
        <v>227</v>
      </c>
      <c r="W28" s="14">
        <f>IFERROR(__xludf.DUMMYFUNCTION("""COMPUTED_VALUE"""),151.0)</f>
        <v>151</v>
      </c>
      <c r="X28" s="14">
        <f>IFERROR(__xludf.DUMMYFUNCTION("""COMPUTED_VALUE"""),76.0)</f>
        <v>76</v>
      </c>
    </row>
    <row r="29">
      <c r="A29" s="21">
        <f>Scores!A30</f>
        <v>19</v>
      </c>
      <c r="B29" s="14">
        <v>130.0</v>
      </c>
      <c r="C29" s="14">
        <v>103.0</v>
      </c>
      <c r="D29" s="14">
        <f t="shared" si="1"/>
        <v>27</v>
      </c>
      <c r="F29" s="21">
        <f>IFERROR(__xludf.DUMMYFUNCTION("""COMPUTED_VALUE"""),105.0)</f>
        <v>105</v>
      </c>
      <c r="H29" s="36"/>
      <c r="I29" s="14"/>
      <c r="J29" s="14"/>
      <c r="L29" s="21">
        <f>IFERROR(__xludf.DUMMYFUNCTION("""COMPUTED_VALUE"""),249.0)</f>
        <v>249</v>
      </c>
      <c r="M29" s="14">
        <f>IFERROR(__xludf.DUMMYFUNCTION("""COMPUTED_VALUE"""),26.0)</f>
        <v>26</v>
      </c>
      <c r="N29" s="14" t="str">
        <f>IFERROR(__xludf.DUMMYFUNCTION("""COMPUTED_VALUE"""),"43/44")</f>
        <v>43/44</v>
      </c>
      <c r="P29" s="21">
        <f>IFERROR(__xludf.DUMMYFUNCTION("""COMPUTED_VALUE"""),242.0)</f>
        <v>242</v>
      </c>
      <c r="Q29" s="14">
        <f>IFERROR(__xludf.DUMMYFUNCTION("""COMPUTED_VALUE"""),54.0)</f>
        <v>54</v>
      </c>
      <c r="R29" s="14" t="str">
        <f>IFERROR(__xludf.DUMMYFUNCTION("""COMPUTED_VALUE"""),"17/43")</f>
        <v>17/43</v>
      </c>
      <c r="S29" s="14">
        <f>IFERROR(__xludf.DUMMYFUNCTION("""COMPUTED_VALUE"""),12.0)</f>
        <v>12</v>
      </c>
      <c r="U29" s="21">
        <f>IFERROR(__xludf.DUMMYFUNCTION("""COMPUTED_VALUE"""),58.0)</f>
        <v>58</v>
      </c>
      <c r="V29" s="14">
        <f>IFERROR(__xludf.DUMMYFUNCTION("""COMPUTED_VALUE"""),155.0)</f>
        <v>155</v>
      </c>
      <c r="W29" s="14">
        <f>IFERROR(__xludf.DUMMYFUNCTION("""COMPUTED_VALUE"""),85.0)</f>
        <v>85</v>
      </c>
      <c r="X29" s="14">
        <f>IFERROR(__xludf.DUMMYFUNCTION("""COMPUTED_VALUE"""),70.0)</f>
        <v>70</v>
      </c>
    </row>
    <row r="30">
      <c r="A30" s="21">
        <f>Scores!A31</f>
        <v>20</v>
      </c>
      <c r="B30" s="14">
        <v>226.0</v>
      </c>
      <c r="C30" s="14">
        <v>126.0</v>
      </c>
      <c r="D30" s="14">
        <f t="shared" si="1"/>
        <v>100</v>
      </c>
      <c r="F30" s="21">
        <f>IFERROR(__xludf.DUMMYFUNCTION("""COMPUTED_VALUE"""),107.0)</f>
        <v>107</v>
      </c>
      <c r="H30" s="36"/>
      <c r="I30" s="14"/>
      <c r="J30" s="14"/>
      <c r="L30" s="21">
        <f>IFERROR(__xludf.DUMMYFUNCTION("""COMPUTED_VALUE"""),301.0)</f>
        <v>301</v>
      </c>
      <c r="M30" s="14">
        <f>IFERROR(__xludf.DUMMYFUNCTION("""COMPUTED_VALUE"""),31.0)</f>
        <v>31</v>
      </c>
      <c r="N30" s="14" t="str">
        <f>IFERROR(__xludf.DUMMYFUNCTION("""COMPUTED_VALUE"""),"29/45")</f>
        <v>29/45</v>
      </c>
      <c r="P30" s="21">
        <f>IFERROR(__xludf.DUMMYFUNCTION("""COMPUTED_VALUE"""),258.0)</f>
        <v>258</v>
      </c>
      <c r="Q30" s="14">
        <f>IFERROR(__xludf.DUMMYFUNCTION("""COMPUTED_VALUE"""),61.0)</f>
        <v>61</v>
      </c>
      <c r="R30" s="14" t="str">
        <f>IFERROR(__xludf.DUMMYFUNCTION("""COMPUTED_VALUE"""),"17/44")</f>
        <v>17/44</v>
      </c>
      <c r="S30" s="14">
        <f>IFERROR(__xludf.DUMMYFUNCTION("""COMPUTED_VALUE"""),9.0)</f>
        <v>9</v>
      </c>
      <c r="U30" s="21">
        <f>IFERROR(__xludf.DUMMYFUNCTION("""COMPUTED_VALUE"""),69.0)</f>
        <v>69</v>
      </c>
      <c r="V30" s="14">
        <f>IFERROR(__xludf.DUMMYFUNCTION("""COMPUTED_VALUE"""),212.0)</f>
        <v>212</v>
      </c>
      <c r="W30" s="14">
        <f>IFERROR(__xludf.DUMMYFUNCTION("""COMPUTED_VALUE"""),143.0)</f>
        <v>143</v>
      </c>
      <c r="X30" s="14">
        <f>IFERROR(__xludf.DUMMYFUNCTION("""COMPUTED_VALUE"""),69.0)</f>
        <v>69</v>
      </c>
    </row>
    <row r="31">
      <c r="A31" s="21">
        <f>Scores!A32</f>
        <v>21</v>
      </c>
      <c r="B31" s="14">
        <v>76.0</v>
      </c>
      <c r="C31" s="14">
        <v>51.0</v>
      </c>
      <c r="D31" s="14">
        <f t="shared" si="1"/>
        <v>25</v>
      </c>
      <c r="F31" s="21">
        <f>IFERROR(__xludf.DUMMYFUNCTION("""COMPUTED_VALUE"""),109.0)</f>
        <v>109</v>
      </c>
      <c r="H31" s="36"/>
      <c r="I31" s="14"/>
      <c r="J31" s="14"/>
      <c r="L31" s="21">
        <f>IFERROR(__xludf.DUMMYFUNCTION("""COMPUTED_VALUE"""),311.0)</f>
        <v>311</v>
      </c>
      <c r="M31" s="14">
        <f>IFERROR(__xludf.DUMMYFUNCTION("""COMPUTED_VALUE"""),32.0)</f>
        <v>32</v>
      </c>
      <c r="N31" s="14" t="str">
        <f>IFERROR(__xludf.DUMMYFUNCTION("""COMPUTED_VALUE"""),"44/45")</f>
        <v>44/45</v>
      </c>
      <c r="P31" s="21">
        <f>IFERROR(__xludf.DUMMYFUNCTION("""COMPUTED_VALUE"""),376.0)</f>
        <v>376</v>
      </c>
      <c r="Q31" s="14">
        <f>IFERROR(__xludf.DUMMYFUNCTION("""COMPUTED_VALUE"""),30.0)</f>
        <v>30</v>
      </c>
      <c r="R31" s="14" t="str">
        <f>IFERROR(__xludf.DUMMYFUNCTION("""COMPUTED_VALUE"""),"17/45")</f>
        <v>17/45</v>
      </c>
      <c r="S31" s="14">
        <f>IFERROR(__xludf.DUMMYFUNCTION("""COMPUTED_VALUE"""),3.0)</f>
        <v>3</v>
      </c>
      <c r="U31" s="21">
        <f>IFERROR(__xludf.DUMMYFUNCTION("""COMPUTED_VALUE"""),8.0)</f>
        <v>8</v>
      </c>
      <c r="V31" s="14">
        <f>IFERROR(__xludf.DUMMYFUNCTION("""COMPUTED_VALUE"""),152.0)</f>
        <v>152</v>
      </c>
      <c r="W31" s="14">
        <f>IFERROR(__xludf.DUMMYFUNCTION("""COMPUTED_VALUE"""),84.0)</f>
        <v>84</v>
      </c>
      <c r="X31" s="14">
        <f>IFERROR(__xludf.DUMMYFUNCTION("""COMPUTED_VALUE"""),68.0)</f>
        <v>68</v>
      </c>
    </row>
    <row r="32">
      <c r="A32" s="21">
        <f>Scores!A33</f>
        <v>22</v>
      </c>
      <c r="B32" s="14">
        <v>108.0</v>
      </c>
      <c r="C32" s="14">
        <v>91.0</v>
      </c>
      <c r="D32" s="14">
        <f t="shared" si="1"/>
        <v>17</v>
      </c>
      <c r="F32" s="21">
        <f>IFERROR(__xludf.DUMMYFUNCTION("""COMPUTED_VALUE"""),110.0)</f>
        <v>110</v>
      </c>
      <c r="H32" s="36"/>
      <c r="I32" s="14"/>
      <c r="J32" s="14"/>
      <c r="L32" s="21">
        <f>IFERROR(__xludf.DUMMYFUNCTION("""COMPUTED_VALUE"""),326.0)</f>
        <v>326</v>
      </c>
      <c r="M32" s="14">
        <f>IFERROR(__xludf.DUMMYFUNCTION("""COMPUTED_VALUE"""),30.0)</f>
        <v>30</v>
      </c>
      <c r="N32" s="14" t="str">
        <f>IFERROR(__xludf.DUMMYFUNCTION("""COMPUTED_VALUE"""),"26/44")</f>
        <v>26/44</v>
      </c>
      <c r="P32" s="21">
        <f>IFERROR(__xludf.DUMMYFUNCTION("""COMPUTED_VALUE"""),52.0)</f>
        <v>52</v>
      </c>
      <c r="Q32" s="14">
        <f>IFERROR(__xludf.DUMMYFUNCTION("""COMPUTED_VALUE"""),40.0)</f>
        <v>40</v>
      </c>
      <c r="R32" s="14" t="str">
        <f>IFERROR(__xludf.DUMMYFUNCTION("""COMPUTED_VALUE"""),"17/46")</f>
        <v>17/46</v>
      </c>
      <c r="S32" s="14">
        <f>IFERROR(__xludf.DUMMYFUNCTION("""COMPUTED_VALUE"""),1.0)</f>
        <v>1</v>
      </c>
      <c r="U32" s="21">
        <f>IFERROR(__xludf.DUMMYFUNCTION("""COMPUTED_VALUE"""),4.0)</f>
        <v>4</v>
      </c>
      <c r="V32" s="14">
        <f>IFERROR(__xludf.DUMMYFUNCTION("""COMPUTED_VALUE"""),139.0)</f>
        <v>139</v>
      </c>
      <c r="W32" s="14">
        <f>IFERROR(__xludf.DUMMYFUNCTION("""COMPUTED_VALUE"""),73.0)</f>
        <v>73</v>
      </c>
      <c r="X32" s="14">
        <f>IFERROR(__xludf.DUMMYFUNCTION("""COMPUTED_VALUE"""),66.0)</f>
        <v>66</v>
      </c>
    </row>
    <row r="33">
      <c r="A33" s="21">
        <f>Scores!A34</f>
        <v>23</v>
      </c>
      <c r="B33" s="14">
        <v>285.0</v>
      </c>
      <c r="C33" s="14">
        <v>182.0</v>
      </c>
      <c r="D33" s="14">
        <f t="shared" si="1"/>
        <v>103</v>
      </c>
      <c r="F33" s="21">
        <f>IFERROR(__xludf.DUMMYFUNCTION("""COMPUTED_VALUE"""),112.0)</f>
        <v>112</v>
      </c>
      <c r="H33" s="36"/>
      <c r="I33" s="14"/>
      <c r="J33" s="14"/>
      <c r="L33" s="21">
        <f>IFERROR(__xludf.DUMMYFUNCTION("""COMPUTED_VALUE"""),380.0)</f>
        <v>380</v>
      </c>
      <c r="M33" s="14">
        <f>IFERROR(__xludf.DUMMYFUNCTION("""COMPUTED_VALUE"""),27.0)</f>
        <v>27</v>
      </c>
      <c r="N33" s="14" t="str">
        <f>IFERROR(__xludf.DUMMYFUNCTION("""COMPUTED_VALUE"""),"36/45")</f>
        <v>36/45</v>
      </c>
      <c r="P33" s="21">
        <f>IFERROR(__xludf.DUMMYFUNCTION("""COMPUTED_VALUE"""),375.0)</f>
        <v>375</v>
      </c>
      <c r="Q33" s="14">
        <f>IFERROR(__xludf.DUMMYFUNCTION("""COMPUTED_VALUE"""),53.0)</f>
        <v>53</v>
      </c>
      <c r="R33" s="14" t="str">
        <f>IFERROR(__xludf.DUMMYFUNCTION("""COMPUTED_VALUE"""),"18/45")</f>
        <v>18/45</v>
      </c>
      <c r="S33" s="14">
        <f>IFERROR(__xludf.DUMMYFUNCTION("""COMPUTED_VALUE"""),11.0)</f>
        <v>11</v>
      </c>
      <c r="U33" s="21">
        <f>IFERROR(__xludf.DUMMYFUNCTION("""COMPUTED_VALUE"""),61.0)</f>
        <v>61</v>
      </c>
      <c r="V33" s="14">
        <f>IFERROR(__xludf.DUMMYFUNCTION("""COMPUTED_VALUE"""),128.0)</f>
        <v>128</v>
      </c>
      <c r="W33" s="14">
        <f>IFERROR(__xludf.DUMMYFUNCTION("""COMPUTED_VALUE"""),62.0)</f>
        <v>62</v>
      </c>
      <c r="X33" s="14">
        <f>IFERROR(__xludf.DUMMYFUNCTION("""COMPUTED_VALUE"""),66.0)</f>
        <v>66</v>
      </c>
    </row>
    <row r="34">
      <c r="A34" s="21">
        <f>Scores!A35</f>
        <v>24</v>
      </c>
      <c r="B34" s="14">
        <v>90.0</v>
      </c>
      <c r="C34" s="14">
        <v>62.0</v>
      </c>
      <c r="D34" s="14">
        <f t="shared" si="1"/>
        <v>28</v>
      </c>
      <c r="F34" s="21">
        <f>IFERROR(__xludf.DUMMYFUNCTION("""COMPUTED_VALUE"""),114.0)</f>
        <v>114</v>
      </c>
      <c r="H34" s="36"/>
      <c r="I34" s="14"/>
      <c r="J34" s="14"/>
      <c r="L34" s="21">
        <f>IFERROR(__xludf.DUMMYFUNCTION("""COMPUTED_VALUE"""),385.0)</f>
        <v>385</v>
      </c>
      <c r="M34" s="14">
        <f>IFERROR(__xludf.DUMMYFUNCTION("""COMPUTED_VALUE"""),25.0)</f>
        <v>25</v>
      </c>
      <c r="N34" s="14" t="str">
        <f>IFERROR(__xludf.DUMMYFUNCTION("""COMPUTED_VALUE"""),"28/44")</f>
        <v>28/44</v>
      </c>
      <c r="P34" s="21">
        <f>IFERROR(__xludf.DUMMYFUNCTION("""COMPUTED_VALUE"""),360.0)</f>
        <v>360</v>
      </c>
      <c r="Q34" s="14">
        <f>IFERROR(__xludf.DUMMYFUNCTION("""COMPUTED_VALUE"""),45.0)</f>
        <v>45</v>
      </c>
      <c r="R34" s="14" t="str">
        <f>IFERROR(__xludf.DUMMYFUNCTION("""COMPUTED_VALUE"""),"19/45")</f>
        <v>19/45</v>
      </c>
      <c r="S34" s="14">
        <f>IFERROR(__xludf.DUMMYFUNCTION("""COMPUTED_VALUE"""),8.0)</f>
        <v>8</v>
      </c>
      <c r="U34" s="74">
        <f>IFERROR(__xludf.DUMMYFUNCTION("""COMPUTED_VALUE"""),66.0)</f>
        <v>66</v>
      </c>
      <c r="V34" s="14">
        <f>IFERROR(__xludf.DUMMYFUNCTION("""COMPUTED_VALUE"""),303.0)</f>
        <v>303</v>
      </c>
      <c r="W34" s="14">
        <f>IFERROR(__xludf.DUMMYFUNCTION("""COMPUTED_VALUE"""),237.0)</f>
        <v>237</v>
      </c>
      <c r="X34" s="14">
        <f>IFERROR(__xludf.DUMMYFUNCTION("""COMPUTED_VALUE"""),66.0)</f>
        <v>66</v>
      </c>
    </row>
    <row r="35">
      <c r="A35" s="21">
        <f>Scores!A36</f>
        <v>25</v>
      </c>
      <c r="B35" s="14">
        <v>230.0</v>
      </c>
      <c r="C35" s="14">
        <v>127.0</v>
      </c>
      <c r="D35" s="14">
        <f t="shared" si="1"/>
        <v>103</v>
      </c>
      <c r="F35" s="21">
        <f>IFERROR(__xludf.DUMMYFUNCTION("""COMPUTED_VALUE"""),115.0)</f>
        <v>115</v>
      </c>
      <c r="H35" s="36"/>
      <c r="I35" s="14"/>
      <c r="J35" s="14"/>
      <c r="L35" s="36"/>
      <c r="M35" s="14"/>
      <c r="N35" s="14"/>
      <c r="P35" s="21">
        <f>IFERROR(__xludf.DUMMYFUNCTION("""COMPUTED_VALUE"""),219.0)</f>
        <v>219</v>
      </c>
      <c r="Q35" s="14">
        <f>IFERROR(__xludf.DUMMYFUNCTION("""COMPUTED_VALUE"""),241.0)</f>
        <v>241</v>
      </c>
      <c r="R35" s="14" t="str">
        <f>IFERROR(__xludf.DUMMYFUNCTION("""COMPUTED_VALUE"""),"2/33")</f>
        <v>2/33</v>
      </c>
      <c r="S35" s="14" t="str">
        <f>IFERROR(__xludf.DUMMYFUNCTION("""COMPUTED_VALUE"""),"")</f>
        <v/>
      </c>
      <c r="U35" s="21">
        <f>IFERROR(__xludf.DUMMYFUNCTION("""COMPUTED_VALUE"""),55.0)</f>
        <v>55</v>
      </c>
      <c r="V35" s="14">
        <f>IFERROR(__xludf.DUMMYFUNCTION("""COMPUTED_VALUE"""),140.0)</f>
        <v>140</v>
      </c>
      <c r="W35" s="14">
        <f>IFERROR(__xludf.DUMMYFUNCTION("""COMPUTED_VALUE"""),77.0)</f>
        <v>77</v>
      </c>
      <c r="X35" s="14">
        <f>IFERROR(__xludf.DUMMYFUNCTION("""COMPUTED_VALUE"""),63.0)</f>
        <v>63</v>
      </c>
    </row>
    <row r="36">
      <c r="A36" s="21">
        <f>Scores!A37</f>
        <v>26</v>
      </c>
      <c r="B36" s="14">
        <v>57.0</v>
      </c>
      <c r="C36" s="14">
        <v>50.0</v>
      </c>
      <c r="D36" s="14">
        <f t="shared" si="1"/>
        <v>7</v>
      </c>
      <c r="F36" s="21">
        <f>IFERROR(__xludf.DUMMYFUNCTION("""COMPUTED_VALUE"""),117.0)</f>
        <v>117</v>
      </c>
      <c r="H36" s="36"/>
      <c r="I36" s="14"/>
      <c r="J36" s="14"/>
      <c r="L36" s="36"/>
      <c r="M36" s="14"/>
      <c r="N36" s="14"/>
      <c r="P36" s="74">
        <f>IFERROR(__xludf.DUMMYFUNCTION("""COMPUTED_VALUE"""),367.0)</f>
        <v>367</v>
      </c>
      <c r="Q36" s="14">
        <f>IFERROR(__xludf.DUMMYFUNCTION("""COMPUTED_VALUE"""),126.0)</f>
        <v>126</v>
      </c>
      <c r="R36" s="14" t="str">
        <f>IFERROR(__xludf.DUMMYFUNCTION("""COMPUTED_VALUE"""),"2/33")</f>
        <v>2/33</v>
      </c>
      <c r="S36" s="14" t="str">
        <f>IFERROR(__xludf.DUMMYFUNCTION("""COMPUTED_VALUE"""),"")</f>
        <v/>
      </c>
      <c r="U36" s="21">
        <f>IFERROR(__xludf.DUMMYFUNCTION("""COMPUTED_VALUE"""),85.0)</f>
        <v>85</v>
      </c>
      <c r="V36" s="14">
        <f>IFERROR(__xludf.DUMMYFUNCTION("""COMPUTED_VALUE"""),110.0)</f>
        <v>110</v>
      </c>
      <c r="W36" s="14">
        <f>IFERROR(__xludf.DUMMYFUNCTION("""COMPUTED_VALUE"""),49.0)</f>
        <v>49</v>
      </c>
      <c r="X36" s="14">
        <f>IFERROR(__xludf.DUMMYFUNCTION("""COMPUTED_VALUE"""),61.0)</f>
        <v>61</v>
      </c>
    </row>
    <row r="37">
      <c r="A37" s="21">
        <f>Scores!A38</f>
        <v>27</v>
      </c>
      <c r="B37" s="14">
        <v>117.0</v>
      </c>
      <c r="C37" s="14">
        <v>97.0</v>
      </c>
      <c r="D37" s="14">
        <f t="shared" si="1"/>
        <v>20</v>
      </c>
      <c r="F37" s="21">
        <f>IFERROR(__xludf.DUMMYFUNCTION("""COMPUTED_VALUE"""),118.0)</f>
        <v>118</v>
      </c>
      <c r="H37" s="36"/>
      <c r="I37" s="14"/>
      <c r="J37" s="14"/>
      <c r="L37" s="36"/>
      <c r="M37" s="14"/>
      <c r="N37" s="14"/>
      <c r="P37" s="21">
        <f>IFERROR(__xludf.DUMMYFUNCTION("""COMPUTED_VALUE"""),279.0)</f>
        <v>279</v>
      </c>
      <c r="Q37" s="14">
        <f>IFERROR(__xludf.DUMMYFUNCTION("""COMPUTED_VALUE"""),106.0)</f>
        <v>106</v>
      </c>
      <c r="R37" s="14" t="str">
        <f>IFERROR(__xludf.DUMMYFUNCTION("""COMPUTED_VALUE"""),"2/34")</f>
        <v>2/34</v>
      </c>
      <c r="S37" s="14" t="str">
        <f>IFERROR(__xludf.DUMMYFUNCTION("""COMPUTED_VALUE"""),"")</f>
        <v/>
      </c>
      <c r="U37" s="21">
        <f>IFERROR(__xludf.DUMMYFUNCTION("""COMPUTED_VALUE"""),37.0)</f>
        <v>37</v>
      </c>
      <c r="V37" s="14">
        <f>IFERROR(__xludf.DUMMYFUNCTION("""COMPUTED_VALUE"""),161.0)</f>
        <v>161</v>
      </c>
      <c r="W37" s="14">
        <f>IFERROR(__xludf.DUMMYFUNCTION("""COMPUTED_VALUE"""),101.0)</f>
        <v>101</v>
      </c>
      <c r="X37" s="14">
        <f>IFERROR(__xludf.DUMMYFUNCTION("""COMPUTED_VALUE"""),60.0)</f>
        <v>60</v>
      </c>
    </row>
    <row r="38">
      <c r="A38" s="21">
        <f>Scores!A39</f>
        <v>28</v>
      </c>
      <c r="B38" s="14">
        <v>99.0</v>
      </c>
      <c r="C38" s="14">
        <v>63.0</v>
      </c>
      <c r="D38" s="14">
        <f t="shared" si="1"/>
        <v>36</v>
      </c>
      <c r="F38" s="21">
        <f>IFERROR(__xludf.DUMMYFUNCTION("""COMPUTED_VALUE"""),119.0)</f>
        <v>119</v>
      </c>
      <c r="H38" s="36"/>
      <c r="I38" s="14"/>
      <c r="J38" s="14"/>
      <c r="L38" s="36"/>
      <c r="M38" s="14"/>
      <c r="N38" s="14"/>
      <c r="P38" s="21">
        <f>IFERROR(__xludf.DUMMYFUNCTION("""COMPUTED_VALUE"""),96.0)</f>
        <v>96</v>
      </c>
      <c r="Q38" s="14">
        <f>IFERROR(__xludf.DUMMYFUNCTION("""COMPUTED_VALUE"""),282.0)</f>
        <v>282</v>
      </c>
      <c r="R38" s="14" t="str">
        <f>IFERROR(__xludf.DUMMYFUNCTION("""COMPUTED_VALUE"""),"2/35")</f>
        <v>2/35</v>
      </c>
      <c r="S38" s="14" t="str">
        <f>IFERROR(__xludf.DUMMYFUNCTION("""COMPUTED_VALUE"""),"")</f>
        <v/>
      </c>
      <c r="U38" s="21">
        <f>IFERROR(__xludf.DUMMYFUNCTION("""COMPUTED_VALUE"""),68.0)</f>
        <v>68</v>
      </c>
      <c r="V38" s="14">
        <f>IFERROR(__xludf.DUMMYFUNCTION("""COMPUTED_VALUE"""),159.0)</f>
        <v>159</v>
      </c>
      <c r="W38" s="14">
        <f>IFERROR(__xludf.DUMMYFUNCTION("""COMPUTED_VALUE"""),99.0)</f>
        <v>99</v>
      </c>
      <c r="X38" s="14">
        <f>IFERROR(__xludf.DUMMYFUNCTION("""COMPUTED_VALUE"""),60.0)</f>
        <v>60</v>
      </c>
    </row>
    <row r="39">
      <c r="A39" s="21">
        <f>Scores!A40</f>
        <v>29</v>
      </c>
      <c r="B39" s="14">
        <v>213.0</v>
      </c>
      <c r="C39" s="14">
        <v>103.0</v>
      </c>
      <c r="D39" s="14">
        <f t="shared" si="1"/>
        <v>110</v>
      </c>
      <c r="F39" s="21">
        <f>IFERROR(__xludf.DUMMYFUNCTION("""COMPUTED_VALUE"""),120.0)</f>
        <v>120</v>
      </c>
      <c r="H39" s="36"/>
      <c r="I39" s="14"/>
      <c r="J39" s="14"/>
      <c r="L39" s="36"/>
      <c r="M39" s="14"/>
      <c r="N39" s="14"/>
      <c r="P39" s="21">
        <f>IFERROR(__xludf.DUMMYFUNCTION("""COMPUTED_VALUE"""),168.0)</f>
        <v>168</v>
      </c>
      <c r="Q39" s="14">
        <f>IFERROR(__xludf.DUMMYFUNCTION("""COMPUTED_VALUE"""),110.0)</f>
        <v>110</v>
      </c>
      <c r="R39" s="14" t="str">
        <f>IFERROR(__xludf.DUMMYFUNCTION("""COMPUTED_VALUE"""),"2/35")</f>
        <v>2/35</v>
      </c>
      <c r="S39" s="14" t="str">
        <f>IFERROR(__xludf.DUMMYFUNCTION("""COMPUTED_VALUE"""),"")</f>
        <v/>
      </c>
      <c r="U39" s="21">
        <f>IFERROR(__xludf.DUMMYFUNCTION("""COMPUTED_VALUE"""),17.0)</f>
        <v>17</v>
      </c>
      <c r="V39" s="14">
        <f>IFERROR(__xludf.DUMMYFUNCTION("""COMPUTED_VALUE"""),149.0)</f>
        <v>149</v>
      </c>
      <c r="W39" s="14">
        <f>IFERROR(__xludf.DUMMYFUNCTION("""COMPUTED_VALUE"""),90.0)</f>
        <v>90</v>
      </c>
      <c r="X39" s="14">
        <f>IFERROR(__xludf.DUMMYFUNCTION("""COMPUTED_VALUE"""),59.0)</f>
        <v>59</v>
      </c>
    </row>
    <row r="40">
      <c r="A40" s="21">
        <f>Scores!A41</f>
        <v>30</v>
      </c>
      <c r="B40" s="14">
        <v>120.0</v>
      </c>
      <c r="C40" s="14">
        <v>93.0</v>
      </c>
      <c r="D40" s="14">
        <f t="shared" si="1"/>
        <v>27</v>
      </c>
      <c r="F40" s="21">
        <f>IFERROR(__xludf.DUMMYFUNCTION("""COMPUTED_VALUE"""),121.0)</f>
        <v>121</v>
      </c>
      <c r="H40" s="36"/>
      <c r="I40" s="14"/>
      <c r="J40" s="14"/>
      <c r="L40" s="36"/>
      <c r="M40" s="14"/>
      <c r="N40" s="14"/>
      <c r="P40" s="21">
        <f>IFERROR(__xludf.DUMMYFUNCTION("""COMPUTED_VALUE"""),245.0)</f>
        <v>245</v>
      </c>
      <c r="Q40" s="14">
        <f>IFERROR(__xludf.DUMMYFUNCTION("""COMPUTED_VALUE"""),98.0)</f>
        <v>98</v>
      </c>
      <c r="R40" s="14" t="str">
        <f>IFERROR(__xludf.DUMMYFUNCTION("""COMPUTED_VALUE"""),"2/35")</f>
        <v>2/35</v>
      </c>
      <c r="S40" s="14" t="str">
        <f>IFERROR(__xludf.DUMMYFUNCTION("""COMPUTED_VALUE"""),"")</f>
        <v/>
      </c>
      <c r="U40" s="21">
        <f>IFERROR(__xludf.DUMMYFUNCTION("""COMPUTED_VALUE"""),81.0)</f>
        <v>81</v>
      </c>
      <c r="V40" s="14">
        <f>IFERROR(__xludf.DUMMYFUNCTION("""COMPUTED_VALUE"""),138.0)</f>
        <v>138</v>
      </c>
      <c r="W40" s="14">
        <f>IFERROR(__xludf.DUMMYFUNCTION("""COMPUTED_VALUE"""),81.0)</f>
        <v>81</v>
      </c>
      <c r="X40" s="14">
        <f>IFERROR(__xludf.DUMMYFUNCTION("""COMPUTED_VALUE"""),57.0)</f>
        <v>57</v>
      </c>
    </row>
    <row r="41">
      <c r="A41" s="21">
        <f>Scores!A42</f>
        <v>31</v>
      </c>
      <c r="B41" s="14">
        <v>60.0</v>
      </c>
      <c r="C41" s="14">
        <v>45.0</v>
      </c>
      <c r="D41" s="14">
        <f t="shared" si="1"/>
        <v>15</v>
      </c>
      <c r="F41" s="21">
        <f>IFERROR(__xludf.DUMMYFUNCTION("""COMPUTED_VALUE"""),122.0)</f>
        <v>122</v>
      </c>
      <c r="H41" s="36"/>
      <c r="I41" s="14"/>
      <c r="J41" s="14"/>
      <c r="L41" s="36"/>
      <c r="M41" s="14"/>
      <c r="N41" s="14"/>
      <c r="P41" s="21">
        <f>IFERROR(__xludf.DUMMYFUNCTION("""COMPUTED_VALUE"""),270.0)</f>
        <v>270</v>
      </c>
      <c r="Q41" s="14">
        <f>IFERROR(__xludf.DUMMYFUNCTION("""COMPUTED_VALUE"""),115.0)</f>
        <v>115</v>
      </c>
      <c r="R41" s="14" t="str">
        <f>IFERROR(__xludf.DUMMYFUNCTION("""COMPUTED_VALUE"""),"2/35")</f>
        <v>2/35</v>
      </c>
      <c r="S41" s="14" t="str">
        <f>IFERROR(__xludf.DUMMYFUNCTION("""COMPUTED_VALUE"""),"")</f>
        <v/>
      </c>
      <c r="U41" s="21">
        <f>IFERROR(__xludf.DUMMYFUNCTION("""COMPUTED_VALUE"""),353.0)</f>
        <v>353</v>
      </c>
      <c r="V41" s="14">
        <f>IFERROR(__xludf.DUMMYFUNCTION("""COMPUTED_VALUE"""),140.0)</f>
        <v>140</v>
      </c>
      <c r="W41" s="14">
        <f>IFERROR(__xludf.DUMMYFUNCTION("""COMPUTED_VALUE"""),83.0)</f>
        <v>83</v>
      </c>
      <c r="X41" s="14">
        <f>IFERROR(__xludf.DUMMYFUNCTION("""COMPUTED_VALUE"""),57.0)</f>
        <v>57</v>
      </c>
    </row>
    <row r="42">
      <c r="A42" s="21">
        <f>Scores!A43</f>
        <v>32</v>
      </c>
      <c r="B42" s="14">
        <v>39.0</v>
      </c>
      <c r="C42" s="14">
        <v>39.0</v>
      </c>
      <c r="D42" s="14">
        <f t="shared" si="1"/>
        <v>0</v>
      </c>
      <c r="F42" s="21">
        <f>IFERROR(__xludf.DUMMYFUNCTION("""COMPUTED_VALUE"""),123.0)</f>
        <v>123</v>
      </c>
      <c r="H42" s="36"/>
      <c r="I42" s="14"/>
      <c r="J42" s="14"/>
      <c r="L42" s="36"/>
      <c r="M42" s="14"/>
      <c r="N42" s="14"/>
      <c r="P42" s="21">
        <f>IFERROR(__xludf.DUMMYFUNCTION("""COMPUTED_VALUE"""),221.0)</f>
        <v>221</v>
      </c>
      <c r="Q42" s="14">
        <f>IFERROR(__xludf.DUMMYFUNCTION("""COMPUTED_VALUE"""),86.0)</f>
        <v>86</v>
      </c>
      <c r="R42" s="14" t="str">
        <f>IFERROR(__xludf.DUMMYFUNCTION("""COMPUTED_VALUE"""),"2/36")</f>
        <v>2/36</v>
      </c>
      <c r="S42" s="14" t="str">
        <f>IFERROR(__xludf.DUMMYFUNCTION("""COMPUTED_VALUE"""),"")</f>
        <v/>
      </c>
      <c r="U42" s="21">
        <f>IFERROR(__xludf.DUMMYFUNCTION("""COMPUTED_VALUE"""),106.0)</f>
        <v>106</v>
      </c>
      <c r="V42" s="14">
        <f>IFERROR(__xludf.DUMMYFUNCTION("""COMPUTED_VALUE"""),110.0)</f>
        <v>110</v>
      </c>
      <c r="W42" s="14">
        <f>IFERROR(__xludf.DUMMYFUNCTION("""COMPUTED_VALUE"""),55.0)</f>
        <v>55</v>
      </c>
      <c r="X42" s="14">
        <f>IFERROR(__xludf.DUMMYFUNCTION("""COMPUTED_VALUE"""),55.0)</f>
        <v>55</v>
      </c>
    </row>
    <row r="43">
      <c r="A43" s="21">
        <f>Scores!A44</f>
        <v>33</v>
      </c>
      <c r="B43" s="14">
        <v>79.0</v>
      </c>
      <c r="C43" s="14">
        <v>71.0</v>
      </c>
      <c r="D43" s="14">
        <f t="shared" si="1"/>
        <v>8</v>
      </c>
      <c r="F43" s="21">
        <f>IFERROR(__xludf.DUMMYFUNCTION("""COMPUTED_VALUE"""),124.0)</f>
        <v>124</v>
      </c>
      <c r="H43" s="36"/>
      <c r="I43" s="14"/>
      <c r="J43" s="14"/>
      <c r="L43" s="36"/>
      <c r="M43" s="14"/>
      <c r="N43" s="14"/>
      <c r="P43" s="21">
        <f>IFERROR(__xludf.DUMMYFUNCTION("""COMPUTED_VALUE"""),390.0)</f>
        <v>390</v>
      </c>
      <c r="Q43" s="14">
        <f>IFERROR(__xludf.DUMMYFUNCTION("""COMPUTED_VALUE"""),98.0)</f>
        <v>98</v>
      </c>
      <c r="R43" s="14" t="str">
        <f>IFERROR(__xludf.DUMMYFUNCTION("""COMPUTED_VALUE"""),"2/36")</f>
        <v>2/36</v>
      </c>
      <c r="S43" s="14" t="str">
        <f>IFERROR(__xludf.DUMMYFUNCTION("""COMPUTED_VALUE"""),"")</f>
        <v/>
      </c>
      <c r="U43" s="21">
        <f>IFERROR(__xludf.DUMMYFUNCTION("""COMPUTED_VALUE"""),12.0)</f>
        <v>12</v>
      </c>
      <c r="V43" s="14">
        <f>IFERROR(__xludf.DUMMYFUNCTION("""COMPUTED_VALUE"""),175.0)</f>
        <v>175</v>
      </c>
      <c r="W43" s="14">
        <f>IFERROR(__xludf.DUMMYFUNCTION("""COMPUTED_VALUE"""),122.0)</f>
        <v>122</v>
      </c>
      <c r="X43" s="14">
        <f>IFERROR(__xludf.DUMMYFUNCTION("""COMPUTED_VALUE"""),53.0)</f>
        <v>53</v>
      </c>
    </row>
    <row r="44">
      <c r="A44" s="21">
        <f>Scores!A45</f>
        <v>34</v>
      </c>
      <c r="B44" s="14">
        <v>236.0</v>
      </c>
      <c r="C44" s="14">
        <v>116.0</v>
      </c>
      <c r="D44" s="14">
        <f t="shared" si="1"/>
        <v>120</v>
      </c>
      <c r="F44" s="21">
        <f>IFERROR(__xludf.DUMMYFUNCTION("""COMPUTED_VALUE"""),125.0)</f>
        <v>125</v>
      </c>
      <c r="H44" s="36"/>
      <c r="I44" s="14"/>
      <c r="J44" s="14"/>
      <c r="L44" s="36"/>
      <c r="M44" s="14"/>
      <c r="N44" s="14"/>
      <c r="P44" s="21">
        <f>IFERROR(__xludf.DUMMYFUNCTION("""COMPUTED_VALUE"""),163.0)</f>
        <v>163</v>
      </c>
      <c r="Q44" s="14">
        <f>IFERROR(__xludf.DUMMYFUNCTION("""COMPUTED_VALUE"""),130.0)</f>
        <v>130</v>
      </c>
      <c r="R44" s="14" t="str">
        <f>IFERROR(__xludf.DUMMYFUNCTION("""COMPUTED_VALUE"""),"2/37")</f>
        <v>2/37</v>
      </c>
      <c r="S44" s="14" t="str">
        <f>IFERROR(__xludf.DUMMYFUNCTION("""COMPUTED_VALUE"""),"")</f>
        <v/>
      </c>
      <c r="U44" s="21">
        <f>IFERROR(__xludf.DUMMYFUNCTION("""COMPUTED_VALUE"""),9.0)</f>
        <v>9</v>
      </c>
      <c r="V44" s="14">
        <f>IFERROR(__xludf.DUMMYFUNCTION("""COMPUTED_VALUE"""),147.0)</f>
        <v>147</v>
      </c>
      <c r="W44" s="14">
        <f>IFERROR(__xludf.DUMMYFUNCTION("""COMPUTED_VALUE"""),95.0)</f>
        <v>95</v>
      </c>
      <c r="X44" s="14">
        <f>IFERROR(__xludf.DUMMYFUNCTION("""COMPUTED_VALUE"""),52.0)</f>
        <v>52</v>
      </c>
    </row>
    <row r="45">
      <c r="A45" s="21">
        <f>Scores!A46</f>
        <v>35</v>
      </c>
      <c r="B45" s="14">
        <v>98.0</v>
      </c>
      <c r="C45" s="14">
        <v>82.0</v>
      </c>
      <c r="D45" s="14">
        <f t="shared" si="1"/>
        <v>16</v>
      </c>
      <c r="F45" s="21">
        <f>IFERROR(__xludf.DUMMYFUNCTION("""COMPUTED_VALUE"""),131.0)</f>
        <v>131</v>
      </c>
      <c r="H45" s="36"/>
      <c r="I45" s="14"/>
      <c r="J45" s="14"/>
      <c r="L45" s="36"/>
      <c r="M45" s="14"/>
      <c r="N45" s="14"/>
      <c r="P45" s="21">
        <f>IFERROR(__xludf.DUMMYFUNCTION("""COMPUTED_VALUE"""),365.0)</f>
        <v>365</v>
      </c>
      <c r="Q45" s="14">
        <f>IFERROR(__xludf.DUMMYFUNCTION("""COMPUTED_VALUE"""),111.0)</f>
        <v>111</v>
      </c>
      <c r="R45" s="14" t="str">
        <f>IFERROR(__xludf.DUMMYFUNCTION("""COMPUTED_VALUE"""),"2/37")</f>
        <v>2/37</v>
      </c>
      <c r="S45" s="14" t="str">
        <f>IFERROR(__xludf.DUMMYFUNCTION("""COMPUTED_VALUE"""),"")</f>
        <v/>
      </c>
      <c r="U45" s="21">
        <f>IFERROR(__xludf.DUMMYFUNCTION("""COMPUTED_VALUE"""),14.0)</f>
        <v>14</v>
      </c>
      <c r="V45" s="14">
        <f>IFERROR(__xludf.DUMMYFUNCTION("""COMPUTED_VALUE"""),108.0)</f>
        <v>108</v>
      </c>
      <c r="W45" s="14">
        <f>IFERROR(__xludf.DUMMYFUNCTION("""COMPUTED_VALUE"""),57.0)</f>
        <v>57</v>
      </c>
      <c r="X45" s="14">
        <f>IFERROR(__xludf.DUMMYFUNCTION("""COMPUTED_VALUE"""),51.0)</f>
        <v>51</v>
      </c>
    </row>
    <row r="46">
      <c r="A46" s="21">
        <f>Scores!A47</f>
        <v>36</v>
      </c>
      <c r="B46" s="14">
        <v>207.0</v>
      </c>
      <c r="C46" s="14">
        <v>75.0</v>
      </c>
      <c r="D46" s="14">
        <f t="shared" si="1"/>
        <v>132</v>
      </c>
      <c r="F46" s="21">
        <f>IFERROR(__xludf.DUMMYFUNCTION("""COMPUTED_VALUE"""),132.0)</f>
        <v>132</v>
      </c>
      <c r="H46" s="36"/>
      <c r="I46" s="14"/>
      <c r="J46" s="14"/>
      <c r="L46" s="36"/>
      <c r="M46" s="14"/>
      <c r="N46" s="14"/>
      <c r="P46" s="21">
        <f>IFERROR(__xludf.DUMMYFUNCTION("""COMPUTED_VALUE"""),112.0)</f>
        <v>112</v>
      </c>
      <c r="Q46" s="14">
        <f>IFERROR(__xludf.DUMMYFUNCTION("""COMPUTED_VALUE"""),91.0)</f>
        <v>91</v>
      </c>
      <c r="R46" s="14" t="str">
        <f>IFERROR(__xludf.DUMMYFUNCTION("""COMPUTED_VALUE"""),"2/38")</f>
        <v>2/38</v>
      </c>
      <c r="S46" s="14" t="str">
        <f>IFERROR(__xludf.DUMMYFUNCTION("""COMPUTED_VALUE"""),"")</f>
        <v/>
      </c>
      <c r="U46" s="21">
        <f>IFERROR(__xludf.DUMMYFUNCTION("""COMPUTED_VALUE"""),46.0)</f>
        <v>46</v>
      </c>
      <c r="V46" s="14">
        <f>IFERROR(__xludf.DUMMYFUNCTION("""COMPUTED_VALUE"""),217.0)</f>
        <v>217</v>
      </c>
      <c r="W46" s="14">
        <f>IFERROR(__xludf.DUMMYFUNCTION("""COMPUTED_VALUE"""),166.0)</f>
        <v>166</v>
      </c>
      <c r="X46" s="14">
        <f>IFERROR(__xludf.DUMMYFUNCTION("""COMPUTED_VALUE"""),51.0)</f>
        <v>51</v>
      </c>
    </row>
    <row r="47">
      <c r="A47" s="21">
        <f>Scores!A48</f>
        <v>37</v>
      </c>
      <c r="B47" s="14">
        <v>161.0</v>
      </c>
      <c r="C47" s="14">
        <v>101.0</v>
      </c>
      <c r="D47" s="14">
        <f t="shared" si="1"/>
        <v>60</v>
      </c>
      <c r="F47" s="21">
        <f>IFERROR(__xludf.DUMMYFUNCTION("""COMPUTED_VALUE"""),133.0)</f>
        <v>133</v>
      </c>
      <c r="H47" s="36"/>
      <c r="I47" s="14"/>
      <c r="J47" s="14"/>
      <c r="L47" s="36"/>
      <c r="M47" s="14"/>
      <c r="N47" s="14"/>
      <c r="P47" s="21">
        <f>IFERROR(__xludf.DUMMYFUNCTION("""COMPUTED_VALUE"""),184.0)</f>
        <v>184</v>
      </c>
      <c r="Q47" s="14">
        <f>IFERROR(__xludf.DUMMYFUNCTION("""COMPUTED_VALUE"""),91.0)</f>
        <v>91</v>
      </c>
      <c r="R47" s="14" t="str">
        <f>IFERROR(__xludf.DUMMYFUNCTION("""COMPUTED_VALUE"""),"2/38")</f>
        <v>2/38</v>
      </c>
      <c r="S47" s="14" t="str">
        <f>IFERROR(__xludf.DUMMYFUNCTION("""COMPUTED_VALUE"""),"")</f>
        <v/>
      </c>
      <c r="U47" s="21">
        <f>IFERROR(__xludf.DUMMYFUNCTION("""COMPUTED_VALUE"""),186.0)</f>
        <v>186</v>
      </c>
      <c r="V47" s="14">
        <f>IFERROR(__xludf.DUMMYFUNCTION("""COMPUTED_VALUE"""),107.0)</f>
        <v>107</v>
      </c>
      <c r="W47" s="14">
        <f>IFERROR(__xludf.DUMMYFUNCTION("""COMPUTED_VALUE"""),60.0)</f>
        <v>60</v>
      </c>
      <c r="X47" s="14">
        <f>IFERROR(__xludf.DUMMYFUNCTION("""COMPUTED_VALUE"""),47.0)</f>
        <v>47</v>
      </c>
    </row>
    <row r="48">
      <c r="A48" s="21">
        <f>Scores!A49</f>
        <v>38</v>
      </c>
      <c r="B48" s="14">
        <v>52.0</v>
      </c>
      <c r="C48" s="14">
        <v>51.0</v>
      </c>
      <c r="D48" s="14">
        <f t="shared" si="1"/>
        <v>1</v>
      </c>
      <c r="F48" s="21">
        <f>IFERROR(__xludf.DUMMYFUNCTION("""COMPUTED_VALUE"""),134.0)</f>
        <v>134</v>
      </c>
      <c r="H48" s="36"/>
      <c r="I48" s="14"/>
      <c r="J48" s="14"/>
      <c r="L48" s="36"/>
      <c r="M48" s="14"/>
      <c r="N48" s="14"/>
      <c r="P48" s="21">
        <f>IFERROR(__xludf.DUMMYFUNCTION("""COMPUTED_VALUE"""),362.0)</f>
        <v>362</v>
      </c>
      <c r="Q48" s="14">
        <f>IFERROR(__xludf.DUMMYFUNCTION("""COMPUTED_VALUE"""),67.0)</f>
        <v>67</v>
      </c>
      <c r="R48" s="14" t="str">
        <f>IFERROR(__xludf.DUMMYFUNCTION("""COMPUTED_VALUE"""),"2/38")</f>
        <v>2/38</v>
      </c>
      <c r="S48" s="14" t="str">
        <f>IFERROR(__xludf.DUMMYFUNCTION("""COMPUTED_VALUE"""),"")</f>
        <v/>
      </c>
      <c r="U48" s="21">
        <f>IFERROR(__xludf.DUMMYFUNCTION("""COMPUTED_VALUE"""),13.0)</f>
        <v>13</v>
      </c>
      <c r="V48" s="14">
        <f>IFERROR(__xludf.DUMMYFUNCTION("""COMPUTED_VALUE"""),169.0)</f>
        <v>169</v>
      </c>
      <c r="W48" s="14">
        <f>IFERROR(__xludf.DUMMYFUNCTION("""COMPUTED_VALUE"""),124.0)</f>
        <v>124</v>
      </c>
      <c r="X48" s="14">
        <f>IFERROR(__xludf.DUMMYFUNCTION("""COMPUTED_VALUE"""),45.0)</f>
        <v>45</v>
      </c>
    </row>
    <row r="49">
      <c r="A49" s="21">
        <f>Scores!A50</f>
        <v>39</v>
      </c>
      <c r="B49" s="14">
        <v>74.0</v>
      </c>
      <c r="C49" s="14">
        <v>60.0</v>
      </c>
      <c r="D49" s="14">
        <f t="shared" si="1"/>
        <v>14</v>
      </c>
      <c r="F49" s="21">
        <f>IFERROR(__xludf.DUMMYFUNCTION("""COMPUTED_VALUE"""),136.0)</f>
        <v>136</v>
      </c>
      <c r="H49" s="36"/>
      <c r="I49" s="14"/>
      <c r="J49" s="14"/>
      <c r="L49" s="36"/>
      <c r="M49" s="14"/>
      <c r="N49" s="14"/>
      <c r="P49" s="21">
        <f>IFERROR(__xludf.DUMMYFUNCTION("""COMPUTED_VALUE"""),92.0)</f>
        <v>92</v>
      </c>
      <c r="Q49" s="14">
        <f>IFERROR(__xludf.DUMMYFUNCTION("""COMPUTED_VALUE"""),86.0)</f>
        <v>86</v>
      </c>
      <c r="R49" s="14" t="str">
        <f>IFERROR(__xludf.DUMMYFUNCTION("""COMPUTED_VALUE"""),"2/39")</f>
        <v>2/39</v>
      </c>
      <c r="S49" s="14" t="str">
        <f>IFERROR(__xludf.DUMMYFUNCTION("""COMPUTED_VALUE"""),"")</f>
        <v/>
      </c>
      <c r="U49" s="21">
        <f>IFERROR(__xludf.DUMMYFUNCTION("""COMPUTED_VALUE"""),104.0)</f>
        <v>104</v>
      </c>
      <c r="V49" s="14">
        <f>IFERROR(__xludf.DUMMYFUNCTION("""COMPUTED_VALUE"""),128.0)</f>
        <v>128</v>
      </c>
      <c r="W49" s="14">
        <f>IFERROR(__xludf.DUMMYFUNCTION("""COMPUTED_VALUE"""),84.0)</f>
        <v>84</v>
      </c>
      <c r="X49" s="14">
        <f>IFERROR(__xludf.DUMMYFUNCTION("""COMPUTED_VALUE"""),44.0)</f>
        <v>44</v>
      </c>
    </row>
    <row r="50">
      <c r="A50" s="21">
        <f>Scores!A51</f>
        <v>40</v>
      </c>
      <c r="B50" s="14">
        <v>91.0</v>
      </c>
      <c r="C50" s="14">
        <v>63.0</v>
      </c>
      <c r="D50" s="14">
        <f t="shared" si="1"/>
        <v>28</v>
      </c>
      <c r="F50" s="21">
        <f>IFERROR(__xludf.DUMMYFUNCTION("""COMPUTED_VALUE"""),137.0)</f>
        <v>137</v>
      </c>
      <c r="H50" s="36"/>
      <c r="I50" s="14"/>
      <c r="J50" s="14"/>
      <c r="L50" s="36"/>
      <c r="M50" s="14"/>
      <c r="N50" s="14"/>
      <c r="P50" s="21">
        <f>IFERROR(__xludf.DUMMYFUNCTION("""COMPUTED_VALUE"""),121.0)</f>
        <v>121</v>
      </c>
      <c r="Q50" s="14">
        <f>IFERROR(__xludf.DUMMYFUNCTION("""COMPUTED_VALUE"""),85.0)</f>
        <v>85</v>
      </c>
      <c r="R50" s="14" t="str">
        <f>IFERROR(__xludf.DUMMYFUNCTION("""COMPUTED_VALUE"""),"2/39")</f>
        <v>2/39</v>
      </c>
      <c r="S50" s="14" t="str">
        <f>IFERROR(__xludf.DUMMYFUNCTION("""COMPUTED_VALUE"""),"")</f>
        <v/>
      </c>
      <c r="U50" s="21">
        <f>IFERROR(__xludf.DUMMYFUNCTION("""COMPUTED_VALUE"""),11.0)</f>
        <v>11</v>
      </c>
      <c r="V50" s="14">
        <f>IFERROR(__xludf.DUMMYFUNCTION("""COMPUTED_VALUE"""),155.0)</f>
        <v>155</v>
      </c>
      <c r="W50" s="14">
        <f>IFERROR(__xludf.DUMMYFUNCTION("""COMPUTED_VALUE"""),114.0)</f>
        <v>114</v>
      </c>
      <c r="X50" s="14">
        <f>IFERROR(__xludf.DUMMYFUNCTION("""COMPUTED_VALUE"""),41.0)</f>
        <v>41</v>
      </c>
    </row>
    <row r="51">
      <c r="A51" s="21">
        <f>Scores!A52</f>
        <v>41</v>
      </c>
      <c r="B51" s="14">
        <v>67.0</v>
      </c>
      <c r="C51" s="14">
        <v>49.0</v>
      </c>
      <c r="D51" s="14">
        <f t="shared" si="1"/>
        <v>18</v>
      </c>
      <c r="F51" s="21">
        <f>IFERROR(__xludf.DUMMYFUNCTION("""COMPUTED_VALUE"""),138.0)</f>
        <v>138</v>
      </c>
      <c r="H51" s="36"/>
      <c r="I51" s="14"/>
      <c r="J51" s="14"/>
      <c r="L51" s="36"/>
      <c r="M51" s="14"/>
      <c r="N51" s="14"/>
      <c r="P51" s="21">
        <f>IFERROR(__xludf.DUMMYFUNCTION("""COMPUTED_VALUE"""),271.0)</f>
        <v>271</v>
      </c>
      <c r="Q51" s="14">
        <f>IFERROR(__xludf.DUMMYFUNCTION("""COMPUTED_VALUE"""),86.0)</f>
        <v>86</v>
      </c>
      <c r="R51" s="14" t="str">
        <f>IFERROR(__xludf.DUMMYFUNCTION("""COMPUTED_VALUE"""),"2/39")</f>
        <v>2/39</v>
      </c>
      <c r="S51" s="14">
        <f>IFERROR(__xludf.DUMMYFUNCTION("""COMPUTED_VALUE"""),33.0)</f>
        <v>33</v>
      </c>
      <c r="U51" s="21">
        <f>IFERROR(__xludf.DUMMYFUNCTION("""COMPUTED_VALUE"""),48.0)</f>
        <v>48</v>
      </c>
      <c r="V51" s="14">
        <f>IFERROR(__xludf.DUMMYFUNCTION("""COMPUTED_VALUE"""),131.0)</f>
        <v>131</v>
      </c>
      <c r="W51" s="14">
        <f>IFERROR(__xludf.DUMMYFUNCTION("""COMPUTED_VALUE"""),92.0)</f>
        <v>92</v>
      </c>
      <c r="X51" s="14">
        <f>IFERROR(__xludf.DUMMYFUNCTION("""COMPUTED_VALUE"""),39.0)</f>
        <v>39</v>
      </c>
    </row>
    <row r="52">
      <c r="A52" s="21">
        <f>Scores!A53</f>
        <v>42</v>
      </c>
      <c r="B52" s="14">
        <v>286.0</v>
      </c>
      <c r="C52" s="14">
        <v>132.0</v>
      </c>
      <c r="D52" s="14">
        <f t="shared" si="1"/>
        <v>154</v>
      </c>
      <c r="F52" s="21">
        <f>IFERROR(__xludf.DUMMYFUNCTION("""COMPUTED_VALUE"""),139.0)</f>
        <v>139</v>
      </c>
      <c r="H52" s="36"/>
      <c r="I52" s="14"/>
      <c r="J52" s="14"/>
      <c r="L52" s="36"/>
      <c r="M52" s="14"/>
      <c r="N52" s="14"/>
      <c r="P52" s="21">
        <f>IFERROR(__xludf.DUMMYFUNCTION("""COMPUTED_VALUE"""),302.0)</f>
        <v>302</v>
      </c>
      <c r="Q52" s="14">
        <f>IFERROR(__xludf.DUMMYFUNCTION("""COMPUTED_VALUE"""),89.0)</f>
        <v>89</v>
      </c>
      <c r="R52" s="14" t="str">
        <f>IFERROR(__xludf.DUMMYFUNCTION("""COMPUTED_VALUE"""),"2/39")</f>
        <v>2/39</v>
      </c>
      <c r="S52" s="14" t="str">
        <f>IFERROR(__xludf.DUMMYFUNCTION("""COMPUTED_VALUE"""),"")</f>
        <v/>
      </c>
      <c r="U52" s="21">
        <f>IFERROR(__xludf.DUMMYFUNCTION("""COMPUTED_VALUE"""),95.0)</f>
        <v>95</v>
      </c>
      <c r="V52" s="14">
        <f>IFERROR(__xludf.DUMMYFUNCTION("""COMPUTED_VALUE"""),109.0)</f>
        <v>109</v>
      </c>
      <c r="W52" s="14">
        <f>IFERROR(__xludf.DUMMYFUNCTION("""COMPUTED_VALUE"""),70.0)</f>
        <v>70</v>
      </c>
      <c r="X52" s="14">
        <f>IFERROR(__xludf.DUMMYFUNCTION("""COMPUTED_VALUE"""),39.0)</f>
        <v>39</v>
      </c>
    </row>
    <row r="53">
      <c r="A53" s="21">
        <f>Scores!A54</f>
        <v>43</v>
      </c>
      <c r="B53" s="14">
        <v>62.0</v>
      </c>
      <c r="C53" s="14">
        <v>56.0</v>
      </c>
      <c r="D53" s="14">
        <f t="shared" si="1"/>
        <v>6</v>
      </c>
      <c r="F53" s="21">
        <f>IFERROR(__xludf.DUMMYFUNCTION("""COMPUTED_VALUE"""),141.0)</f>
        <v>141</v>
      </c>
      <c r="H53" s="36"/>
      <c r="I53" s="14"/>
      <c r="J53" s="14"/>
      <c r="L53" s="36"/>
      <c r="M53" s="14"/>
      <c r="N53" s="14"/>
      <c r="P53" s="21">
        <f>IFERROR(__xludf.DUMMYFUNCTION("""COMPUTED_VALUE"""),331.0)</f>
        <v>331</v>
      </c>
      <c r="Q53" s="14">
        <f>IFERROR(__xludf.DUMMYFUNCTION("""COMPUTED_VALUE"""),82.0)</f>
        <v>82</v>
      </c>
      <c r="R53" s="14" t="str">
        <f>IFERROR(__xludf.DUMMYFUNCTION("""COMPUTED_VALUE"""),"2/39")</f>
        <v>2/39</v>
      </c>
      <c r="S53" s="14" t="str">
        <f>IFERROR(__xludf.DUMMYFUNCTION("""COMPUTED_VALUE"""),"")</f>
        <v/>
      </c>
      <c r="U53" s="21">
        <f>IFERROR(__xludf.DUMMYFUNCTION("""COMPUTED_VALUE"""),28.0)</f>
        <v>28</v>
      </c>
      <c r="V53" s="14">
        <f>IFERROR(__xludf.DUMMYFUNCTION("""COMPUTED_VALUE"""),99.0)</f>
        <v>99</v>
      </c>
      <c r="W53" s="14">
        <f>IFERROR(__xludf.DUMMYFUNCTION("""COMPUTED_VALUE"""),63.0)</f>
        <v>63</v>
      </c>
      <c r="X53" s="14">
        <f>IFERROR(__xludf.DUMMYFUNCTION("""COMPUTED_VALUE"""),36.0)</f>
        <v>36</v>
      </c>
    </row>
    <row r="54">
      <c r="A54" s="21">
        <f>Scores!A55</f>
        <v>44</v>
      </c>
      <c r="B54" s="14">
        <v>383.0</v>
      </c>
      <c r="C54" s="14">
        <v>195.0</v>
      </c>
      <c r="D54" s="14">
        <f t="shared" si="1"/>
        <v>188</v>
      </c>
      <c r="F54" s="21">
        <f>IFERROR(__xludf.DUMMYFUNCTION("""COMPUTED_VALUE"""),143.0)</f>
        <v>143</v>
      </c>
      <c r="H54" s="36"/>
      <c r="I54" s="14"/>
      <c r="J54" s="14"/>
      <c r="L54" s="36"/>
      <c r="M54" s="14"/>
      <c r="N54" s="14"/>
      <c r="P54" s="21">
        <f>IFERROR(__xludf.DUMMYFUNCTION("""COMPUTED_VALUE"""),8.0)</f>
        <v>8</v>
      </c>
      <c r="Q54" s="14">
        <f>IFERROR(__xludf.DUMMYFUNCTION("""COMPUTED_VALUE"""),84.0)</f>
        <v>84</v>
      </c>
      <c r="R54" s="14" t="str">
        <f>IFERROR(__xludf.DUMMYFUNCTION("""COMPUTED_VALUE"""),"2/40")</f>
        <v>2/40</v>
      </c>
      <c r="S54" s="14">
        <f>IFERROR(__xludf.DUMMYFUNCTION("""COMPUTED_VALUE"""),68.0)</f>
        <v>68</v>
      </c>
      <c r="U54" s="21">
        <f>IFERROR(__xludf.DUMMYFUNCTION("""COMPUTED_VALUE"""),306.0)</f>
        <v>306</v>
      </c>
      <c r="V54" s="14">
        <f>IFERROR(__xludf.DUMMYFUNCTION("""COMPUTED_VALUE"""),99.0)</f>
        <v>99</v>
      </c>
      <c r="W54" s="14">
        <f>IFERROR(__xludf.DUMMYFUNCTION("""COMPUTED_VALUE"""),63.0)</f>
        <v>63</v>
      </c>
      <c r="X54" s="14">
        <f>IFERROR(__xludf.DUMMYFUNCTION("""COMPUTED_VALUE"""),36.0)</f>
        <v>36</v>
      </c>
    </row>
    <row r="55">
      <c r="A55" s="21">
        <f>Scores!A56</f>
        <v>45</v>
      </c>
      <c r="B55" s="14">
        <v>48.0</v>
      </c>
      <c r="C55" s="14">
        <v>45.0</v>
      </c>
      <c r="D55" s="14">
        <f t="shared" si="1"/>
        <v>3</v>
      </c>
      <c r="F55" s="21">
        <f>IFERROR(__xludf.DUMMYFUNCTION("""COMPUTED_VALUE"""),145.0)</f>
        <v>145</v>
      </c>
      <c r="H55" s="36"/>
      <c r="I55" s="14"/>
      <c r="J55" s="14"/>
      <c r="L55" s="36"/>
      <c r="M55" s="14"/>
      <c r="N55" s="14"/>
      <c r="P55" s="21">
        <f>IFERROR(__xludf.DUMMYFUNCTION("""COMPUTED_VALUE"""),35.0)</f>
        <v>35</v>
      </c>
      <c r="Q55" s="14">
        <f>IFERROR(__xludf.DUMMYFUNCTION("""COMPUTED_VALUE"""),82.0)</f>
        <v>82</v>
      </c>
      <c r="R55" s="14" t="str">
        <f>IFERROR(__xludf.DUMMYFUNCTION("""COMPUTED_VALUE"""),"2/40")</f>
        <v>2/40</v>
      </c>
      <c r="S55" s="14">
        <f>IFERROR(__xludf.DUMMYFUNCTION("""COMPUTED_VALUE"""),16.0)</f>
        <v>16</v>
      </c>
      <c r="U55" s="21">
        <f>IFERROR(__xludf.DUMMYFUNCTION("""COMPUTED_VALUE"""),51.0)</f>
        <v>51</v>
      </c>
      <c r="V55" s="14">
        <f>IFERROR(__xludf.DUMMYFUNCTION("""COMPUTED_VALUE"""),145.0)</f>
        <v>145</v>
      </c>
      <c r="W55" s="14">
        <f>IFERROR(__xludf.DUMMYFUNCTION("""COMPUTED_VALUE"""),111.0)</f>
        <v>111</v>
      </c>
      <c r="X55" s="14">
        <f>IFERROR(__xludf.DUMMYFUNCTION("""COMPUTED_VALUE"""),34.0)</f>
        <v>34</v>
      </c>
    </row>
    <row r="56">
      <c r="A56" s="21">
        <f>Scores!A57</f>
        <v>46</v>
      </c>
      <c r="B56" s="14">
        <v>217.0</v>
      </c>
      <c r="C56" s="14">
        <v>166.0</v>
      </c>
      <c r="D56" s="14">
        <f t="shared" si="1"/>
        <v>51</v>
      </c>
      <c r="F56" s="21">
        <f>IFERROR(__xludf.DUMMYFUNCTION("""COMPUTED_VALUE"""),146.0)</f>
        <v>146</v>
      </c>
      <c r="H56" s="36"/>
      <c r="I56" s="14"/>
      <c r="J56" s="14"/>
      <c r="L56" s="36"/>
      <c r="M56" s="14"/>
      <c r="N56" s="14"/>
      <c r="P56" s="21">
        <f>IFERROR(__xludf.DUMMYFUNCTION("""COMPUTED_VALUE"""),207.0)</f>
        <v>207</v>
      </c>
      <c r="Q56" s="14">
        <f>IFERROR(__xludf.DUMMYFUNCTION("""COMPUTED_VALUE"""),74.0)</f>
        <v>74</v>
      </c>
      <c r="R56" s="14" t="str">
        <f>IFERROR(__xludf.DUMMYFUNCTION("""COMPUTED_VALUE"""),"2/40")</f>
        <v>2/40</v>
      </c>
      <c r="S56" s="14" t="str">
        <f>IFERROR(__xludf.DUMMYFUNCTION("""COMPUTED_VALUE"""),"")</f>
        <v/>
      </c>
      <c r="U56" s="21">
        <f>IFERROR(__xludf.DUMMYFUNCTION("""COMPUTED_VALUE"""),111.0)</f>
        <v>111</v>
      </c>
      <c r="V56" s="14">
        <f>IFERROR(__xludf.DUMMYFUNCTION("""COMPUTED_VALUE"""),94.0)</f>
        <v>94</v>
      </c>
      <c r="W56" s="14">
        <f>IFERROR(__xludf.DUMMYFUNCTION("""COMPUTED_VALUE"""),60.0)</f>
        <v>60</v>
      </c>
      <c r="X56" s="14">
        <f>IFERROR(__xludf.DUMMYFUNCTION("""COMPUTED_VALUE"""),34.0)</f>
        <v>34</v>
      </c>
    </row>
    <row r="57">
      <c r="A57" s="21">
        <f>Scores!A58</f>
        <v>47</v>
      </c>
      <c r="B57" s="14">
        <v>72.0</v>
      </c>
      <c r="C57" s="14">
        <v>55.0</v>
      </c>
      <c r="D57" s="14">
        <f t="shared" si="1"/>
        <v>17</v>
      </c>
      <c r="F57" s="21">
        <f>IFERROR(__xludf.DUMMYFUNCTION("""COMPUTED_VALUE"""),147.0)</f>
        <v>147</v>
      </c>
      <c r="H57" s="36"/>
      <c r="I57" s="14"/>
      <c r="J57" s="14"/>
      <c r="L57" s="36"/>
      <c r="M57" s="14"/>
      <c r="N57" s="14"/>
      <c r="P57" s="21">
        <f>IFERROR(__xludf.DUMMYFUNCTION("""COMPUTED_VALUE"""),239.0)</f>
        <v>239</v>
      </c>
      <c r="Q57" s="14">
        <f>IFERROR(__xludf.DUMMYFUNCTION("""COMPUTED_VALUE"""),99.0)</f>
        <v>99</v>
      </c>
      <c r="R57" s="14" t="str">
        <f>IFERROR(__xludf.DUMMYFUNCTION("""COMPUTED_VALUE"""),"2/40")</f>
        <v>2/40</v>
      </c>
      <c r="S57" s="14" t="str">
        <f>IFERROR(__xludf.DUMMYFUNCTION("""COMPUTED_VALUE"""),"")</f>
        <v/>
      </c>
      <c r="U57" s="21">
        <f>IFERROR(__xludf.DUMMYFUNCTION("""COMPUTED_VALUE"""),74.0)</f>
        <v>74</v>
      </c>
      <c r="V57" s="14">
        <f>IFERROR(__xludf.DUMMYFUNCTION("""COMPUTED_VALUE"""),110.0)</f>
        <v>110</v>
      </c>
      <c r="W57" s="14">
        <f>IFERROR(__xludf.DUMMYFUNCTION("""COMPUTED_VALUE"""),77.0)</f>
        <v>77</v>
      </c>
      <c r="X57" s="14">
        <f>IFERROR(__xludf.DUMMYFUNCTION("""COMPUTED_VALUE"""),33.0)</f>
        <v>33</v>
      </c>
    </row>
    <row r="58">
      <c r="A58" s="21">
        <f>Scores!A59</f>
        <v>48</v>
      </c>
      <c r="B58" s="14">
        <v>131.0</v>
      </c>
      <c r="C58" s="14">
        <v>92.0</v>
      </c>
      <c r="D58" s="14">
        <f t="shared" si="1"/>
        <v>39</v>
      </c>
      <c r="F58" s="21">
        <f>IFERROR(__xludf.DUMMYFUNCTION("""COMPUTED_VALUE"""),148.0)</f>
        <v>148</v>
      </c>
      <c r="H58" s="36"/>
      <c r="I58" s="14"/>
      <c r="J58" s="14"/>
      <c r="L58" s="36"/>
      <c r="M58" s="14"/>
      <c r="N58" s="14"/>
      <c r="P58" s="21">
        <f>IFERROR(__xludf.DUMMYFUNCTION("""COMPUTED_VALUE"""),259.0)</f>
        <v>259</v>
      </c>
      <c r="Q58" s="14">
        <f>IFERROR(__xludf.DUMMYFUNCTION("""COMPUTED_VALUE"""),83.0)</f>
        <v>83</v>
      </c>
      <c r="R58" s="14" t="str">
        <f>IFERROR(__xludf.DUMMYFUNCTION("""COMPUTED_VALUE"""),"2/40")</f>
        <v>2/40</v>
      </c>
      <c r="S58" s="14" t="str">
        <f>IFERROR(__xludf.DUMMYFUNCTION("""COMPUTED_VALUE"""),"")</f>
        <v/>
      </c>
      <c r="U58" s="21">
        <f>IFERROR(__xludf.DUMMYFUNCTION("""COMPUTED_VALUE"""),271.0)</f>
        <v>271</v>
      </c>
      <c r="V58" s="14">
        <f>IFERROR(__xludf.DUMMYFUNCTION("""COMPUTED_VALUE"""),119.0)</f>
        <v>119</v>
      </c>
      <c r="W58" s="14">
        <f>IFERROR(__xludf.DUMMYFUNCTION("""COMPUTED_VALUE"""),86.0)</f>
        <v>86</v>
      </c>
      <c r="X58" s="14">
        <f>IFERROR(__xludf.DUMMYFUNCTION("""COMPUTED_VALUE"""),33.0)</f>
        <v>33</v>
      </c>
    </row>
    <row r="59">
      <c r="A59" s="21">
        <f>Scores!A60</f>
        <v>49</v>
      </c>
      <c r="B59" s="14">
        <v>101.0</v>
      </c>
      <c r="C59" s="14">
        <v>81.0</v>
      </c>
      <c r="D59" s="14">
        <f t="shared" si="1"/>
        <v>20</v>
      </c>
      <c r="F59" s="21">
        <f>IFERROR(__xludf.DUMMYFUNCTION("""COMPUTED_VALUE"""),149.0)</f>
        <v>149</v>
      </c>
      <c r="H59" s="36"/>
      <c r="I59" s="14"/>
      <c r="J59" s="14"/>
      <c r="L59" s="36"/>
      <c r="M59" s="14"/>
      <c r="N59" s="14"/>
      <c r="P59" s="21">
        <f>IFERROR(__xludf.DUMMYFUNCTION("""COMPUTED_VALUE"""),354.0)</f>
        <v>354</v>
      </c>
      <c r="Q59" s="14">
        <f>IFERROR(__xludf.DUMMYFUNCTION("""COMPUTED_VALUE"""),92.0)</f>
        <v>92</v>
      </c>
      <c r="R59" s="14" t="str">
        <f>IFERROR(__xludf.DUMMYFUNCTION("""COMPUTED_VALUE"""),"2/40")</f>
        <v>2/40</v>
      </c>
      <c r="S59" s="14" t="str">
        <f>IFERROR(__xludf.DUMMYFUNCTION("""COMPUTED_VALUE"""),"")</f>
        <v/>
      </c>
      <c r="U59" s="21">
        <f>IFERROR(__xludf.DUMMYFUNCTION("""COMPUTED_VALUE"""),57.0)</f>
        <v>57</v>
      </c>
      <c r="V59" s="14">
        <f>IFERROR(__xludf.DUMMYFUNCTION("""COMPUTED_VALUE"""),80.0)</f>
        <v>80</v>
      </c>
      <c r="W59" s="14">
        <f>IFERROR(__xludf.DUMMYFUNCTION("""COMPUTED_VALUE"""),48.0)</f>
        <v>48</v>
      </c>
      <c r="X59" s="14">
        <f>IFERROR(__xludf.DUMMYFUNCTION("""COMPUTED_VALUE"""),32.0)</f>
        <v>32</v>
      </c>
    </row>
    <row r="60">
      <c r="A60" s="21">
        <f>Scores!A61</f>
        <v>50</v>
      </c>
      <c r="B60" s="14">
        <v>101.0</v>
      </c>
      <c r="C60" s="14">
        <v>83.0</v>
      </c>
      <c r="D60" s="14">
        <f t="shared" si="1"/>
        <v>18</v>
      </c>
      <c r="F60" s="21">
        <f>IFERROR(__xludf.DUMMYFUNCTION("""COMPUTED_VALUE"""),151.0)</f>
        <v>151</v>
      </c>
      <c r="H60" s="36"/>
      <c r="I60" s="14"/>
      <c r="J60" s="14"/>
      <c r="L60" s="36"/>
      <c r="M60" s="14"/>
      <c r="N60" s="14"/>
      <c r="P60" s="21">
        <f>IFERROR(__xludf.DUMMYFUNCTION("""COMPUTED_VALUE"""),398.0)</f>
        <v>398</v>
      </c>
      <c r="Q60" s="14">
        <f>IFERROR(__xludf.DUMMYFUNCTION("""COMPUTED_VALUE"""),72.0)</f>
        <v>72</v>
      </c>
      <c r="R60" s="14" t="str">
        <f>IFERROR(__xludf.DUMMYFUNCTION("""COMPUTED_VALUE"""),"2/40")</f>
        <v>2/40</v>
      </c>
      <c r="S60" s="14">
        <f>IFERROR(__xludf.DUMMYFUNCTION("""COMPUTED_VALUE"""),11.0)</f>
        <v>11</v>
      </c>
      <c r="U60" s="21">
        <f>IFERROR(__xludf.DUMMYFUNCTION("""COMPUTED_VALUE"""),15.0)</f>
        <v>15</v>
      </c>
      <c r="V60" s="14">
        <f>IFERROR(__xludf.DUMMYFUNCTION("""COMPUTED_VALUE"""),117.0)</f>
        <v>117</v>
      </c>
      <c r="W60" s="14">
        <f>IFERROR(__xludf.DUMMYFUNCTION("""COMPUTED_VALUE"""),87.0)</f>
        <v>87</v>
      </c>
      <c r="X60" s="14">
        <f>IFERROR(__xludf.DUMMYFUNCTION("""COMPUTED_VALUE"""),30.0)</f>
        <v>30</v>
      </c>
    </row>
    <row r="61">
      <c r="A61" s="21">
        <f>Scores!A62</f>
        <v>51</v>
      </c>
      <c r="B61" s="14">
        <v>145.0</v>
      </c>
      <c r="C61" s="14">
        <v>111.0</v>
      </c>
      <c r="D61" s="14">
        <f t="shared" si="1"/>
        <v>34</v>
      </c>
      <c r="F61" s="21">
        <f>IFERROR(__xludf.DUMMYFUNCTION("""COMPUTED_VALUE"""),153.0)</f>
        <v>153</v>
      </c>
      <c r="H61" s="36"/>
      <c r="I61" s="14"/>
      <c r="J61" s="14"/>
      <c r="L61" s="36"/>
      <c r="M61" s="14"/>
      <c r="N61" s="14"/>
      <c r="P61" s="21">
        <f>IFERROR(__xludf.DUMMYFUNCTION("""COMPUTED_VALUE"""),115.0)</f>
        <v>115</v>
      </c>
      <c r="Q61" s="14">
        <f>IFERROR(__xludf.DUMMYFUNCTION("""COMPUTED_VALUE"""),51.0)</f>
        <v>51</v>
      </c>
      <c r="R61" s="14" t="str">
        <f>IFERROR(__xludf.DUMMYFUNCTION("""COMPUTED_VALUE"""),"2/41")</f>
        <v>2/41</v>
      </c>
      <c r="S61" s="14" t="str">
        <f>IFERROR(__xludf.DUMMYFUNCTION("""COMPUTED_VALUE"""),"")</f>
        <v/>
      </c>
      <c r="U61" s="21">
        <f>IFERROR(__xludf.DUMMYFUNCTION("""COMPUTED_VALUE"""),62.0)</f>
        <v>62</v>
      </c>
      <c r="V61" s="14">
        <f>IFERROR(__xludf.DUMMYFUNCTION("""COMPUTED_VALUE"""),151.0)</f>
        <v>151</v>
      </c>
      <c r="W61" s="14">
        <f>IFERROR(__xludf.DUMMYFUNCTION("""COMPUTED_VALUE"""),121.0)</f>
        <v>121</v>
      </c>
      <c r="X61" s="14">
        <f>IFERROR(__xludf.DUMMYFUNCTION("""COMPUTED_VALUE"""),30.0)</f>
        <v>30</v>
      </c>
    </row>
    <row r="62">
      <c r="A62" s="21">
        <f>Scores!A63</f>
        <v>52</v>
      </c>
      <c r="B62" s="14">
        <v>41.0</v>
      </c>
      <c r="C62" s="14">
        <v>40.0</v>
      </c>
      <c r="D62" s="14">
        <f t="shared" si="1"/>
        <v>1</v>
      </c>
      <c r="F62" s="21">
        <f>IFERROR(__xludf.DUMMYFUNCTION("""COMPUTED_VALUE"""),154.0)</f>
        <v>154</v>
      </c>
      <c r="H62" s="36"/>
      <c r="I62" s="14"/>
      <c r="J62" s="14"/>
      <c r="L62" s="36"/>
      <c r="M62" s="14"/>
      <c r="N62" s="14"/>
      <c r="P62" s="21">
        <f>IFERROR(__xludf.DUMMYFUNCTION("""COMPUTED_VALUE"""),141.0)</f>
        <v>141</v>
      </c>
      <c r="Q62" s="14">
        <f>IFERROR(__xludf.DUMMYFUNCTION("""COMPUTED_VALUE"""),92.0)</f>
        <v>92</v>
      </c>
      <c r="R62" s="14" t="str">
        <f>IFERROR(__xludf.DUMMYFUNCTION("""COMPUTED_VALUE"""),"2/41")</f>
        <v>2/41</v>
      </c>
      <c r="S62" s="14" t="str">
        <f>IFERROR(__xludf.DUMMYFUNCTION("""COMPUTED_VALUE"""),"")</f>
        <v/>
      </c>
      <c r="U62" s="21">
        <f>IFERROR(__xludf.DUMMYFUNCTION("""COMPUTED_VALUE"""),10.0)</f>
        <v>10</v>
      </c>
      <c r="V62" s="14">
        <f>IFERROR(__xludf.DUMMYFUNCTION("""COMPUTED_VALUE"""),94.0)</f>
        <v>94</v>
      </c>
      <c r="W62" s="14">
        <f>IFERROR(__xludf.DUMMYFUNCTION("""COMPUTED_VALUE"""),66.0)</f>
        <v>66</v>
      </c>
      <c r="X62" s="14">
        <f>IFERROR(__xludf.DUMMYFUNCTION("""COMPUTED_VALUE"""),28.0)</f>
        <v>28</v>
      </c>
    </row>
    <row r="63">
      <c r="A63" s="21">
        <f>Scores!A64</f>
        <v>53</v>
      </c>
      <c r="B63" s="14">
        <v>22.0</v>
      </c>
      <c r="C63" s="14">
        <v>21.0</v>
      </c>
      <c r="D63" s="14">
        <f t="shared" si="1"/>
        <v>1</v>
      </c>
      <c r="F63" s="21">
        <f>IFERROR(__xludf.DUMMYFUNCTION("""COMPUTED_VALUE"""),156.0)</f>
        <v>156</v>
      </c>
      <c r="H63" s="36"/>
      <c r="I63" s="14"/>
      <c r="J63" s="14"/>
      <c r="L63" s="36"/>
      <c r="M63" s="14"/>
      <c r="N63" s="14"/>
      <c r="P63" s="21">
        <f>IFERROR(__xludf.DUMMYFUNCTION("""COMPUTED_VALUE"""),188.0)</f>
        <v>188</v>
      </c>
      <c r="Q63" s="14">
        <f>IFERROR(__xludf.DUMMYFUNCTION("""COMPUTED_VALUE"""),53.0)</f>
        <v>53</v>
      </c>
      <c r="R63" s="14" t="str">
        <f>IFERROR(__xludf.DUMMYFUNCTION("""COMPUTED_VALUE"""),"2/41")</f>
        <v>2/41</v>
      </c>
      <c r="S63" s="14" t="str">
        <f>IFERROR(__xludf.DUMMYFUNCTION("""COMPUTED_VALUE"""),"")</f>
        <v/>
      </c>
      <c r="U63" s="21">
        <f>IFERROR(__xludf.DUMMYFUNCTION("""COMPUTED_VALUE"""),24.0)</f>
        <v>24</v>
      </c>
      <c r="V63" s="14">
        <f>IFERROR(__xludf.DUMMYFUNCTION("""COMPUTED_VALUE"""),90.0)</f>
        <v>90</v>
      </c>
      <c r="W63" s="14">
        <f>IFERROR(__xludf.DUMMYFUNCTION("""COMPUTED_VALUE"""),62.0)</f>
        <v>62</v>
      </c>
      <c r="X63" s="14">
        <f>IFERROR(__xludf.DUMMYFUNCTION("""COMPUTED_VALUE"""),28.0)</f>
        <v>28</v>
      </c>
    </row>
    <row r="64">
      <c r="A64" s="21">
        <f>Scores!A65</f>
        <v>54</v>
      </c>
      <c r="B64" s="14">
        <v>612.0</v>
      </c>
      <c r="C64" s="14">
        <v>266.0</v>
      </c>
      <c r="D64" s="14">
        <f t="shared" si="1"/>
        <v>346</v>
      </c>
      <c r="F64" s="21">
        <f>IFERROR(__xludf.DUMMYFUNCTION("""COMPUTED_VALUE"""),157.0)</f>
        <v>157</v>
      </c>
      <c r="H64" s="36"/>
      <c r="I64" s="14"/>
      <c r="J64" s="14"/>
      <c r="L64" s="36"/>
      <c r="M64" s="14"/>
      <c r="N64" s="14"/>
      <c r="P64" s="21">
        <f>IFERROR(__xludf.DUMMYFUNCTION("""COMPUTED_VALUE"""),235.0)</f>
        <v>235</v>
      </c>
      <c r="Q64" s="14">
        <f>IFERROR(__xludf.DUMMYFUNCTION("""COMPUTED_VALUE"""),61.0)</f>
        <v>61</v>
      </c>
      <c r="R64" s="14" t="str">
        <f>IFERROR(__xludf.DUMMYFUNCTION("""COMPUTED_VALUE"""),"2/41")</f>
        <v>2/41</v>
      </c>
      <c r="S64" s="14">
        <f>IFERROR(__xludf.DUMMYFUNCTION("""COMPUTED_VALUE"""),17.0)</f>
        <v>17</v>
      </c>
      <c r="U64" s="21">
        <f>IFERROR(__xludf.DUMMYFUNCTION("""COMPUTED_VALUE"""),40.0)</f>
        <v>40</v>
      </c>
      <c r="V64" s="14">
        <f>IFERROR(__xludf.DUMMYFUNCTION("""COMPUTED_VALUE"""),91.0)</f>
        <v>91</v>
      </c>
      <c r="W64" s="14">
        <f>IFERROR(__xludf.DUMMYFUNCTION("""COMPUTED_VALUE"""),63.0)</f>
        <v>63</v>
      </c>
      <c r="X64" s="14">
        <f>IFERROR(__xludf.DUMMYFUNCTION("""COMPUTED_VALUE"""),28.0)</f>
        <v>28</v>
      </c>
    </row>
    <row r="65">
      <c r="A65" s="21">
        <f>Scores!A66</f>
        <v>55</v>
      </c>
      <c r="B65" s="14">
        <v>140.0</v>
      </c>
      <c r="C65" s="14">
        <v>77.0</v>
      </c>
      <c r="D65" s="14">
        <f t="shared" si="1"/>
        <v>63</v>
      </c>
      <c r="F65" s="21">
        <f>IFERROR(__xludf.DUMMYFUNCTION("""COMPUTED_VALUE"""),158.0)</f>
        <v>158</v>
      </c>
      <c r="H65" s="36"/>
      <c r="I65" s="14"/>
      <c r="J65" s="14"/>
      <c r="L65" s="36"/>
      <c r="M65" s="14"/>
      <c r="N65" s="14"/>
      <c r="P65" s="21">
        <f>IFERROR(__xludf.DUMMYFUNCTION("""COMPUTED_VALUE"""),95.0)</f>
        <v>95</v>
      </c>
      <c r="Q65" s="14">
        <f>IFERROR(__xludf.DUMMYFUNCTION("""COMPUTED_VALUE"""),70.0)</f>
        <v>70</v>
      </c>
      <c r="R65" s="14" t="str">
        <f>IFERROR(__xludf.DUMMYFUNCTION("""COMPUTED_VALUE"""),"2/42")</f>
        <v>2/42</v>
      </c>
      <c r="S65" s="14">
        <f>IFERROR(__xludf.DUMMYFUNCTION("""COMPUTED_VALUE"""),39.0)</f>
        <v>39</v>
      </c>
      <c r="U65" s="21">
        <f>IFERROR(__xludf.DUMMYFUNCTION("""COMPUTED_VALUE"""),64.0)</f>
        <v>64</v>
      </c>
      <c r="V65" s="14">
        <f>IFERROR(__xludf.DUMMYFUNCTION("""COMPUTED_VALUE"""),163.0)</f>
        <v>163</v>
      </c>
      <c r="W65" s="14">
        <f>IFERROR(__xludf.DUMMYFUNCTION("""COMPUTED_VALUE"""),135.0)</f>
        <v>135</v>
      </c>
      <c r="X65" s="14">
        <f>IFERROR(__xludf.DUMMYFUNCTION("""COMPUTED_VALUE"""),28.0)</f>
        <v>28</v>
      </c>
    </row>
    <row r="66">
      <c r="A66" s="21">
        <f>Scores!A67</f>
        <v>56</v>
      </c>
      <c r="B66" s="14">
        <v>53.0</v>
      </c>
      <c r="C66" s="14">
        <v>39.0</v>
      </c>
      <c r="D66" s="14">
        <f t="shared" si="1"/>
        <v>14</v>
      </c>
      <c r="F66" s="21">
        <f>IFERROR(__xludf.DUMMYFUNCTION("""COMPUTED_VALUE"""),159.0)</f>
        <v>159</v>
      </c>
      <c r="H66" s="36"/>
      <c r="I66" s="14"/>
      <c r="J66" s="14"/>
      <c r="L66" s="36"/>
      <c r="M66" s="14"/>
      <c r="N66" s="14"/>
      <c r="P66" s="21">
        <f>IFERROR(__xludf.DUMMYFUNCTION("""COMPUTED_VALUE"""),166.0)</f>
        <v>166</v>
      </c>
      <c r="Q66" s="14">
        <f>IFERROR(__xludf.DUMMYFUNCTION("""COMPUTED_VALUE"""),61.0)</f>
        <v>61</v>
      </c>
      <c r="R66" s="14" t="str">
        <f>IFERROR(__xludf.DUMMYFUNCTION("""COMPUTED_VALUE"""),"2/42")</f>
        <v>2/42</v>
      </c>
      <c r="S66" s="14">
        <f>IFERROR(__xludf.DUMMYFUNCTION("""COMPUTED_VALUE"""),20.0)</f>
        <v>20</v>
      </c>
      <c r="U66" s="21">
        <f>IFERROR(__xludf.DUMMYFUNCTION("""COMPUTED_VALUE"""),127.0)</f>
        <v>127</v>
      </c>
      <c r="V66" s="14">
        <f>IFERROR(__xludf.DUMMYFUNCTION("""COMPUTED_VALUE"""),85.0)</f>
        <v>85</v>
      </c>
      <c r="W66" s="14">
        <f>IFERROR(__xludf.DUMMYFUNCTION("""COMPUTED_VALUE"""),57.0)</f>
        <v>57</v>
      </c>
      <c r="X66" s="14">
        <f>IFERROR(__xludf.DUMMYFUNCTION("""COMPUTED_VALUE"""),28.0)</f>
        <v>28</v>
      </c>
    </row>
    <row r="67">
      <c r="A67" s="21">
        <f>Scores!A68</f>
        <v>57</v>
      </c>
      <c r="B67" s="14">
        <v>80.0</v>
      </c>
      <c r="C67" s="14">
        <v>48.0</v>
      </c>
      <c r="D67" s="14">
        <f t="shared" si="1"/>
        <v>32</v>
      </c>
      <c r="F67" s="21">
        <f>IFERROR(__xludf.DUMMYFUNCTION("""COMPUTED_VALUE"""),160.0)</f>
        <v>160</v>
      </c>
      <c r="H67" s="36"/>
      <c r="I67" s="14"/>
      <c r="J67" s="14"/>
      <c r="L67" s="36"/>
      <c r="M67" s="14"/>
      <c r="N67" s="14"/>
      <c r="P67" s="21">
        <f>IFERROR(__xludf.DUMMYFUNCTION("""COMPUTED_VALUE"""),317.0)</f>
        <v>317</v>
      </c>
      <c r="Q67" s="14">
        <f>IFERROR(__xludf.DUMMYFUNCTION("""COMPUTED_VALUE"""),43.0)</f>
        <v>43</v>
      </c>
      <c r="R67" s="14" t="str">
        <f>IFERROR(__xludf.DUMMYFUNCTION("""COMPUTED_VALUE"""),"2/42")</f>
        <v>2/42</v>
      </c>
      <c r="S67" s="14" t="str">
        <f>IFERROR(__xludf.DUMMYFUNCTION("""COMPUTED_VALUE"""),"")</f>
        <v/>
      </c>
      <c r="U67" s="21">
        <f>IFERROR(__xludf.DUMMYFUNCTION("""COMPUTED_VALUE"""),293.0)</f>
        <v>293</v>
      </c>
      <c r="V67" s="14">
        <f>IFERROR(__xludf.DUMMYFUNCTION("""COMPUTED_VALUE"""),87.0)</f>
        <v>87</v>
      </c>
      <c r="W67" s="14">
        <f>IFERROR(__xludf.DUMMYFUNCTION("""COMPUTED_VALUE"""),59.0)</f>
        <v>59</v>
      </c>
      <c r="X67" s="14">
        <f>IFERROR(__xludf.DUMMYFUNCTION("""COMPUTED_VALUE"""),28.0)</f>
        <v>28</v>
      </c>
    </row>
    <row r="68">
      <c r="A68" s="21">
        <f>Scores!A69</f>
        <v>58</v>
      </c>
      <c r="B68" s="14">
        <v>155.0</v>
      </c>
      <c r="C68" s="14">
        <v>85.0</v>
      </c>
      <c r="D68" s="14">
        <f t="shared" si="1"/>
        <v>70</v>
      </c>
      <c r="F68" s="21">
        <f>IFERROR(__xludf.DUMMYFUNCTION("""COMPUTED_VALUE"""),161.0)</f>
        <v>161</v>
      </c>
      <c r="H68" s="36"/>
      <c r="I68" s="14"/>
      <c r="J68" s="14"/>
      <c r="L68" s="36"/>
      <c r="M68" s="14"/>
      <c r="N68" s="14"/>
      <c r="P68" s="21">
        <f>IFERROR(__xludf.DUMMYFUNCTION("""COMPUTED_VALUE"""),353.0)</f>
        <v>353</v>
      </c>
      <c r="Q68" s="14">
        <f>IFERROR(__xludf.DUMMYFUNCTION("""COMPUTED_VALUE"""),83.0)</f>
        <v>83</v>
      </c>
      <c r="R68" s="14" t="str">
        <f>IFERROR(__xludf.DUMMYFUNCTION("""COMPUTED_VALUE"""),"2/42")</f>
        <v>2/42</v>
      </c>
      <c r="S68" s="14">
        <f>IFERROR(__xludf.DUMMYFUNCTION("""COMPUTED_VALUE"""),57.0)</f>
        <v>57</v>
      </c>
      <c r="U68" s="21">
        <f>IFERROR(__xludf.DUMMYFUNCTION("""COMPUTED_VALUE"""),19.0)</f>
        <v>19</v>
      </c>
      <c r="V68" s="14">
        <f>IFERROR(__xludf.DUMMYFUNCTION("""COMPUTED_VALUE"""),130.0)</f>
        <v>130</v>
      </c>
      <c r="W68" s="14">
        <f>IFERROR(__xludf.DUMMYFUNCTION("""COMPUTED_VALUE"""),103.0)</f>
        <v>103</v>
      </c>
      <c r="X68" s="14">
        <f>IFERROR(__xludf.DUMMYFUNCTION("""COMPUTED_VALUE"""),27.0)</f>
        <v>27</v>
      </c>
    </row>
    <row r="69">
      <c r="A69" s="21">
        <f>Scores!A70</f>
        <v>59</v>
      </c>
      <c r="B69" s="14">
        <v>227.0</v>
      </c>
      <c r="C69" s="14">
        <v>151.0</v>
      </c>
      <c r="D69" s="14">
        <f t="shared" si="1"/>
        <v>76</v>
      </c>
      <c r="F69" s="21">
        <f>IFERROR(__xludf.DUMMYFUNCTION("""COMPUTED_VALUE"""),162.0)</f>
        <v>162</v>
      </c>
      <c r="H69" s="36"/>
      <c r="I69" s="14"/>
      <c r="J69" s="14"/>
      <c r="L69" s="36"/>
      <c r="M69" s="14"/>
      <c r="N69" s="14"/>
      <c r="P69" s="21">
        <f>IFERROR(__xludf.DUMMYFUNCTION("""COMPUTED_VALUE"""),197.0)</f>
        <v>197</v>
      </c>
      <c r="Q69" s="14">
        <f>IFERROR(__xludf.DUMMYFUNCTION("""COMPUTED_VALUE"""),51.0)</f>
        <v>51</v>
      </c>
      <c r="R69" s="14" t="str">
        <f>IFERROR(__xludf.DUMMYFUNCTION("""COMPUTED_VALUE"""),"2/43")</f>
        <v>2/43</v>
      </c>
      <c r="S69" s="14">
        <f>IFERROR(__xludf.DUMMYFUNCTION("""COMPUTED_VALUE"""),18.0)</f>
        <v>18</v>
      </c>
      <c r="U69" s="21">
        <f>IFERROR(__xludf.DUMMYFUNCTION("""COMPUTED_VALUE"""),30.0)</f>
        <v>30</v>
      </c>
      <c r="V69" s="14">
        <f>IFERROR(__xludf.DUMMYFUNCTION("""COMPUTED_VALUE"""),120.0)</f>
        <v>120</v>
      </c>
      <c r="W69" s="14">
        <f>IFERROR(__xludf.DUMMYFUNCTION("""COMPUTED_VALUE"""),93.0)</f>
        <v>93</v>
      </c>
      <c r="X69" s="14">
        <f>IFERROR(__xludf.DUMMYFUNCTION("""COMPUTED_VALUE"""),27.0)</f>
        <v>27</v>
      </c>
    </row>
    <row r="70">
      <c r="A70" s="21">
        <f>Scores!A71</f>
        <v>60</v>
      </c>
      <c r="B70" s="14">
        <v>52.0</v>
      </c>
      <c r="C70" s="14">
        <v>47.0</v>
      </c>
      <c r="D70" s="14">
        <f t="shared" si="1"/>
        <v>5</v>
      </c>
      <c r="F70" s="21">
        <f>IFERROR(__xludf.DUMMYFUNCTION("""COMPUTED_VALUE"""),163.0)</f>
        <v>163</v>
      </c>
      <c r="H70" s="36"/>
      <c r="I70" s="14"/>
      <c r="J70" s="14"/>
      <c r="L70" s="36"/>
      <c r="M70" s="14"/>
      <c r="N70" s="14"/>
      <c r="P70" s="21">
        <f>IFERROR(__xludf.DUMMYFUNCTION("""COMPUTED_VALUE"""),7.0)</f>
        <v>7</v>
      </c>
      <c r="Q70" s="14">
        <f>IFERROR(__xludf.DUMMYFUNCTION("""COMPUTED_VALUE"""),62.0)</f>
        <v>62</v>
      </c>
      <c r="R70" s="14" t="str">
        <f>IFERROR(__xludf.DUMMYFUNCTION("""COMPUTED_VALUE"""),"2/44")</f>
        <v>2/44</v>
      </c>
      <c r="S70" s="14">
        <f>IFERROR(__xludf.DUMMYFUNCTION("""COMPUTED_VALUE"""),22.0)</f>
        <v>22</v>
      </c>
      <c r="U70" s="21">
        <f>IFERROR(__xludf.DUMMYFUNCTION("""COMPUTED_VALUE"""),63.0)</f>
        <v>63</v>
      </c>
      <c r="V70" s="14">
        <f>IFERROR(__xludf.DUMMYFUNCTION("""COMPUTED_VALUE"""),101.0)</f>
        <v>101</v>
      </c>
      <c r="W70" s="14">
        <f>IFERROR(__xludf.DUMMYFUNCTION("""COMPUTED_VALUE"""),74.0)</f>
        <v>74</v>
      </c>
      <c r="X70" s="14">
        <f>IFERROR(__xludf.DUMMYFUNCTION("""COMPUTED_VALUE"""),27.0)</f>
        <v>27</v>
      </c>
    </row>
    <row r="71">
      <c r="A71" s="21">
        <f>Scores!A72</f>
        <v>61</v>
      </c>
      <c r="B71" s="14">
        <v>128.0</v>
      </c>
      <c r="C71" s="14">
        <v>62.0</v>
      </c>
      <c r="D71" s="14">
        <f t="shared" si="1"/>
        <v>66</v>
      </c>
      <c r="F71" s="21">
        <f>IFERROR(__xludf.DUMMYFUNCTION("""COMPUTED_VALUE"""),165.0)</f>
        <v>165</v>
      </c>
      <c r="H71" s="36"/>
      <c r="I71" s="14"/>
      <c r="J71" s="14"/>
      <c r="L71" s="36"/>
      <c r="M71" s="14"/>
      <c r="N71" s="14"/>
      <c r="P71" s="21">
        <f>IFERROR(__xludf.DUMMYFUNCTION("""COMPUTED_VALUE"""),57.0)</f>
        <v>57</v>
      </c>
      <c r="Q71" s="14">
        <f>IFERROR(__xludf.DUMMYFUNCTION("""COMPUTED_VALUE"""),48.0)</f>
        <v>48</v>
      </c>
      <c r="R71" s="14" t="str">
        <f>IFERROR(__xludf.DUMMYFUNCTION("""COMPUTED_VALUE"""),"2/44")</f>
        <v>2/44</v>
      </c>
      <c r="S71" s="14">
        <f>IFERROR(__xludf.DUMMYFUNCTION("""COMPUTED_VALUE"""),32.0)</f>
        <v>32</v>
      </c>
      <c r="U71" s="21">
        <f>IFERROR(__xludf.DUMMYFUNCTION("""COMPUTED_VALUE"""),65.0)</f>
        <v>65</v>
      </c>
      <c r="V71" s="14">
        <f>IFERROR(__xludf.DUMMYFUNCTION("""COMPUTED_VALUE"""),109.0)</f>
        <v>109</v>
      </c>
      <c r="W71" s="14">
        <f>IFERROR(__xludf.DUMMYFUNCTION("""COMPUTED_VALUE"""),82.0)</f>
        <v>82</v>
      </c>
      <c r="X71" s="14">
        <f>IFERROR(__xludf.DUMMYFUNCTION("""COMPUTED_VALUE"""),27.0)</f>
        <v>27</v>
      </c>
    </row>
    <row r="72">
      <c r="A72" s="21">
        <f>Scores!A73</f>
        <v>62</v>
      </c>
      <c r="B72" s="14">
        <v>151.0</v>
      </c>
      <c r="C72" s="14">
        <v>121.0</v>
      </c>
      <c r="D72" s="14">
        <f t="shared" si="1"/>
        <v>30</v>
      </c>
      <c r="F72" s="21">
        <f>IFERROR(__xludf.DUMMYFUNCTION("""COMPUTED_VALUE"""),167.0)</f>
        <v>167</v>
      </c>
      <c r="H72" s="36"/>
      <c r="I72" s="14"/>
      <c r="J72" s="14"/>
      <c r="L72" s="36"/>
      <c r="M72" s="14"/>
      <c r="N72" s="14"/>
      <c r="P72" s="21">
        <f>IFERROR(__xludf.DUMMYFUNCTION("""COMPUTED_VALUE"""),307.0)</f>
        <v>307</v>
      </c>
      <c r="Q72" s="14">
        <f>IFERROR(__xludf.DUMMYFUNCTION("""COMPUTED_VALUE"""),46.0)</f>
        <v>46</v>
      </c>
      <c r="R72" s="14" t="str">
        <f>IFERROR(__xludf.DUMMYFUNCTION("""COMPUTED_VALUE"""),"2/44")</f>
        <v>2/44</v>
      </c>
      <c r="S72" s="14">
        <f>IFERROR(__xludf.DUMMYFUNCTION("""COMPUTED_VALUE"""),17.0)</f>
        <v>17</v>
      </c>
      <c r="U72" s="21">
        <f>IFERROR(__xludf.DUMMYFUNCTION("""COMPUTED_VALUE"""),21.0)</f>
        <v>21</v>
      </c>
      <c r="V72" s="14">
        <f>IFERROR(__xludf.DUMMYFUNCTION("""COMPUTED_VALUE"""),76.0)</f>
        <v>76</v>
      </c>
      <c r="W72" s="14">
        <f>IFERROR(__xludf.DUMMYFUNCTION("""COMPUTED_VALUE"""),51.0)</f>
        <v>51</v>
      </c>
      <c r="X72" s="14">
        <f>IFERROR(__xludf.DUMMYFUNCTION("""COMPUTED_VALUE"""),25.0)</f>
        <v>25</v>
      </c>
    </row>
    <row r="73">
      <c r="A73" s="21">
        <f>Scores!A74</f>
        <v>63</v>
      </c>
      <c r="B73" s="14">
        <v>101.0</v>
      </c>
      <c r="C73" s="14">
        <v>74.0</v>
      </c>
      <c r="D73" s="14">
        <f t="shared" si="1"/>
        <v>27</v>
      </c>
      <c r="F73" s="21">
        <f>IFERROR(__xludf.DUMMYFUNCTION("""COMPUTED_VALUE"""),168.0)</f>
        <v>168</v>
      </c>
      <c r="H73" s="36"/>
      <c r="I73" s="14"/>
      <c r="J73" s="14"/>
      <c r="L73" s="36"/>
      <c r="M73" s="14"/>
      <c r="N73" s="14"/>
      <c r="P73" s="21">
        <f>IFERROR(__xludf.DUMMYFUNCTION("""COMPUTED_VALUE"""),21.0)</f>
        <v>21</v>
      </c>
      <c r="Q73" s="14">
        <f>IFERROR(__xludf.DUMMYFUNCTION("""COMPUTED_VALUE"""),51.0)</f>
        <v>51</v>
      </c>
      <c r="R73" s="14" t="str">
        <f>IFERROR(__xludf.DUMMYFUNCTION("""COMPUTED_VALUE"""),"2/45")</f>
        <v>2/45</v>
      </c>
      <c r="S73" s="14">
        <f>IFERROR(__xludf.DUMMYFUNCTION("""COMPUTED_VALUE"""),25.0)</f>
        <v>25</v>
      </c>
      <c r="U73" s="21">
        <f>IFERROR(__xludf.DUMMYFUNCTION("""COMPUTED_VALUE"""),7.0)</f>
        <v>7</v>
      </c>
      <c r="V73" s="14">
        <f>IFERROR(__xludf.DUMMYFUNCTION("""COMPUTED_VALUE"""),84.0)</f>
        <v>84</v>
      </c>
      <c r="W73" s="14">
        <f>IFERROR(__xludf.DUMMYFUNCTION("""COMPUTED_VALUE"""),62.0)</f>
        <v>62</v>
      </c>
      <c r="X73" s="14">
        <f>IFERROR(__xludf.DUMMYFUNCTION("""COMPUTED_VALUE"""),22.0)</f>
        <v>22</v>
      </c>
    </row>
    <row r="74">
      <c r="A74" s="21">
        <f>Scores!A75</f>
        <v>64</v>
      </c>
      <c r="B74" s="14">
        <v>163.0</v>
      </c>
      <c r="C74" s="14">
        <v>135.0</v>
      </c>
      <c r="D74" s="14">
        <f t="shared" si="1"/>
        <v>28</v>
      </c>
      <c r="F74" s="21">
        <f>IFERROR(__xludf.DUMMYFUNCTION("""COMPUTED_VALUE"""),169.0)</f>
        <v>169</v>
      </c>
      <c r="H74" s="36"/>
      <c r="I74" s="14"/>
      <c r="J74" s="14"/>
      <c r="L74" s="36"/>
      <c r="M74" s="14"/>
      <c r="N74" s="14"/>
      <c r="P74" s="21">
        <f>IFERROR(__xludf.DUMMYFUNCTION("""COMPUTED_VALUE"""),322.0)</f>
        <v>322</v>
      </c>
      <c r="Q74" s="14">
        <f>IFERROR(__xludf.DUMMYFUNCTION("""COMPUTED_VALUE"""),45.0)</f>
        <v>45</v>
      </c>
      <c r="R74" s="14" t="str">
        <f>IFERROR(__xludf.DUMMYFUNCTION("""COMPUTED_VALUE"""),"2/45")</f>
        <v>2/45</v>
      </c>
      <c r="S74" s="14">
        <f>IFERROR(__xludf.DUMMYFUNCTION("""COMPUTED_VALUE"""),22.0)</f>
        <v>22</v>
      </c>
      <c r="U74" s="21">
        <f>IFERROR(__xludf.DUMMYFUNCTION("""COMPUTED_VALUE"""),108.0)</f>
        <v>108</v>
      </c>
      <c r="V74" s="14">
        <f>IFERROR(__xludf.DUMMYFUNCTION("""COMPUTED_VALUE"""),68.0)</f>
        <v>68</v>
      </c>
      <c r="W74" s="14">
        <f>IFERROR(__xludf.DUMMYFUNCTION("""COMPUTED_VALUE"""),46.0)</f>
        <v>46</v>
      </c>
      <c r="X74" s="14">
        <f>IFERROR(__xludf.DUMMYFUNCTION("""COMPUTED_VALUE"""),22.0)</f>
        <v>22</v>
      </c>
    </row>
    <row r="75">
      <c r="A75" s="21">
        <f>Scores!A76</f>
        <v>65</v>
      </c>
      <c r="B75" s="14">
        <v>109.0</v>
      </c>
      <c r="C75" s="14">
        <v>82.0</v>
      </c>
      <c r="D75" s="14">
        <f t="shared" si="1"/>
        <v>27</v>
      </c>
      <c r="F75" s="21">
        <f>IFERROR(__xludf.DUMMYFUNCTION("""COMPUTED_VALUE"""),170.0)</f>
        <v>170</v>
      </c>
      <c r="H75" s="36"/>
      <c r="I75" s="14"/>
      <c r="J75" s="14"/>
      <c r="L75" s="36"/>
      <c r="M75" s="14"/>
      <c r="N75" s="14"/>
      <c r="P75" s="21">
        <f>IFERROR(__xludf.DUMMYFUNCTION("""COMPUTED_VALUE"""),82.0)</f>
        <v>82</v>
      </c>
      <c r="Q75" s="14">
        <f>IFERROR(__xludf.DUMMYFUNCTION("""COMPUTED_VALUE"""),50.0)</f>
        <v>50</v>
      </c>
      <c r="R75" s="14" t="str">
        <f>IFERROR(__xludf.DUMMYFUNCTION("""COMPUTED_VALUE"""),"20/46")</f>
        <v>20/46</v>
      </c>
      <c r="S75" s="14">
        <f>IFERROR(__xludf.DUMMYFUNCTION("""COMPUTED_VALUE"""),8.0)</f>
        <v>8</v>
      </c>
      <c r="U75" s="21">
        <f>IFERROR(__xludf.DUMMYFUNCTION("""COMPUTED_VALUE"""),257.0)</f>
        <v>257</v>
      </c>
      <c r="V75" s="14">
        <f>IFERROR(__xludf.DUMMYFUNCTION("""COMPUTED_VALUE"""),90.0)</f>
        <v>90</v>
      </c>
      <c r="W75" s="14">
        <f>IFERROR(__xludf.DUMMYFUNCTION("""COMPUTED_VALUE"""),68.0)</f>
        <v>68</v>
      </c>
      <c r="X75" s="14">
        <f>IFERROR(__xludf.DUMMYFUNCTION("""COMPUTED_VALUE"""),22.0)</f>
        <v>22</v>
      </c>
    </row>
    <row r="76">
      <c r="A76" s="21">
        <f>Scores!A77</f>
        <v>66</v>
      </c>
      <c r="B76" s="14">
        <v>303.0</v>
      </c>
      <c r="C76" s="14">
        <v>237.0</v>
      </c>
      <c r="D76" s="14">
        <f t="shared" si="1"/>
        <v>66</v>
      </c>
      <c r="F76" s="21">
        <f>IFERROR(__xludf.DUMMYFUNCTION("""COMPUTED_VALUE"""),173.0)</f>
        <v>173</v>
      </c>
      <c r="H76" s="36"/>
      <c r="I76" s="14"/>
      <c r="J76" s="14"/>
      <c r="L76" s="36"/>
      <c r="M76" s="14"/>
      <c r="N76" s="14"/>
      <c r="P76" s="21">
        <f>IFERROR(__xludf.DUMMYFUNCTION("""COMPUTED_VALUE"""),41.0)</f>
        <v>41</v>
      </c>
      <c r="Q76" s="14">
        <f>IFERROR(__xludf.DUMMYFUNCTION("""COMPUTED_VALUE"""),49.0)</f>
        <v>49</v>
      </c>
      <c r="R76" s="14" t="str">
        <f>IFERROR(__xludf.DUMMYFUNCTION("""COMPUTED_VALUE"""),"21/45")</f>
        <v>21/45</v>
      </c>
      <c r="S76" s="14">
        <f>IFERROR(__xludf.DUMMYFUNCTION("""COMPUTED_VALUE"""),18.0)</f>
        <v>18</v>
      </c>
      <c r="U76" s="21">
        <f>IFERROR(__xludf.DUMMYFUNCTION("""COMPUTED_VALUE"""),322.0)</f>
        <v>322</v>
      </c>
      <c r="V76" s="14">
        <f>IFERROR(__xludf.DUMMYFUNCTION("""COMPUTED_VALUE"""),67.0)</f>
        <v>67</v>
      </c>
      <c r="W76" s="14">
        <f>IFERROR(__xludf.DUMMYFUNCTION("""COMPUTED_VALUE"""),45.0)</f>
        <v>45</v>
      </c>
      <c r="X76" s="14">
        <f>IFERROR(__xludf.DUMMYFUNCTION("""COMPUTED_VALUE"""),22.0)</f>
        <v>22</v>
      </c>
    </row>
    <row r="77">
      <c r="A77" s="21">
        <f>Scores!A78</f>
        <v>67</v>
      </c>
      <c r="B77" s="14">
        <v>33.0</v>
      </c>
      <c r="C77" s="14">
        <v>33.0</v>
      </c>
      <c r="D77" s="14">
        <f t="shared" si="1"/>
        <v>0</v>
      </c>
      <c r="F77" s="21">
        <f>IFERROR(__xludf.DUMMYFUNCTION("""COMPUTED_VALUE"""),174.0)</f>
        <v>174</v>
      </c>
      <c r="H77" s="36"/>
      <c r="I77" s="14"/>
      <c r="J77" s="14"/>
      <c r="L77" s="36"/>
      <c r="M77" s="14"/>
      <c r="N77" s="14"/>
      <c r="P77" s="21">
        <f>IFERROR(__xludf.DUMMYFUNCTION("""COMPUTED_VALUE"""),329.0)</f>
        <v>329</v>
      </c>
      <c r="Q77" s="14">
        <f>IFERROR(__xludf.DUMMYFUNCTION("""COMPUTED_VALUE"""),54.0)</f>
        <v>54</v>
      </c>
      <c r="R77" s="14" t="str">
        <f>IFERROR(__xludf.DUMMYFUNCTION("""COMPUTED_VALUE"""),"22/45")</f>
        <v>22/45</v>
      </c>
      <c r="S77" s="14">
        <f>IFERROR(__xludf.DUMMYFUNCTION("""COMPUTED_VALUE"""),2.0)</f>
        <v>2</v>
      </c>
      <c r="U77" s="21">
        <f>IFERROR(__xludf.DUMMYFUNCTION("""COMPUTED_VALUE"""),305.0)</f>
        <v>305</v>
      </c>
      <c r="V77" s="14">
        <f>IFERROR(__xludf.DUMMYFUNCTION("""COMPUTED_VALUE"""),77.0)</f>
        <v>77</v>
      </c>
      <c r="W77" s="14">
        <f>IFERROR(__xludf.DUMMYFUNCTION("""COMPUTED_VALUE"""),56.0)</f>
        <v>56</v>
      </c>
      <c r="X77" s="14">
        <f>IFERROR(__xludf.DUMMYFUNCTION("""COMPUTED_VALUE"""),21.0)</f>
        <v>21</v>
      </c>
    </row>
    <row r="78">
      <c r="A78" s="21">
        <f>Scores!A79</f>
        <v>68</v>
      </c>
      <c r="B78" s="14">
        <v>159.0</v>
      </c>
      <c r="C78" s="14">
        <v>99.0</v>
      </c>
      <c r="D78" s="14">
        <f t="shared" si="1"/>
        <v>60</v>
      </c>
      <c r="F78" s="21">
        <f>IFERROR(__xludf.DUMMYFUNCTION("""COMPUTED_VALUE"""),175.0)</f>
        <v>175</v>
      </c>
      <c r="H78" s="36"/>
      <c r="I78" s="14"/>
      <c r="J78" s="14"/>
      <c r="L78" s="36"/>
      <c r="M78" s="14"/>
      <c r="N78" s="14"/>
      <c r="P78" s="21">
        <f>IFERROR(__xludf.DUMMYFUNCTION("""COMPUTED_VALUE"""),327.0)</f>
        <v>327</v>
      </c>
      <c r="Q78" s="14">
        <f>IFERROR(__xludf.DUMMYFUNCTION("""COMPUTED_VALUE"""),67.0)</f>
        <v>67</v>
      </c>
      <c r="R78" s="14" t="str">
        <f>IFERROR(__xludf.DUMMYFUNCTION("""COMPUTED_VALUE"""),"24/42")</f>
        <v>24/42</v>
      </c>
      <c r="S78" s="14" t="str">
        <f>IFERROR(__xludf.DUMMYFUNCTION("""COMPUTED_VALUE"""),"")</f>
        <v/>
      </c>
      <c r="U78" s="21">
        <f>IFERROR(__xludf.DUMMYFUNCTION("""COMPUTED_VALUE"""),27.0)</f>
        <v>27</v>
      </c>
      <c r="V78" s="14">
        <f>IFERROR(__xludf.DUMMYFUNCTION("""COMPUTED_VALUE"""),117.0)</f>
        <v>117</v>
      </c>
      <c r="W78" s="14">
        <f>IFERROR(__xludf.DUMMYFUNCTION("""COMPUTED_VALUE"""),97.0)</f>
        <v>97</v>
      </c>
      <c r="X78" s="14">
        <f>IFERROR(__xludf.DUMMYFUNCTION("""COMPUTED_VALUE"""),20.0)</f>
        <v>20</v>
      </c>
    </row>
    <row r="79">
      <c r="A79" s="21">
        <f>Scores!A80</f>
        <v>69</v>
      </c>
      <c r="B79" s="14">
        <v>212.0</v>
      </c>
      <c r="C79" s="14">
        <v>143.0</v>
      </c>
      <c r="D79" s="14">
        <f t="shared" si="1"/>
        <v>69</v>
      </c>
      <c r="F79" s="21">
        <f>IFERROR(__xludf.DUMMYFUNCTION("""COMPUTED_VALUE"""),176.0)</f>
        <v>176</v>
      </c>
      <c r="H79" s="36"/>
      <c r="I79" s="14"/>
      <c r="J79" s="14"/>
      <c r="L79" s="36"/>
      <c r="M79" s="14"/>
      <c r="N79" s="14"/>
      <c r="P79" s="21">
        <f>IFERROR(__xludf.DUMMYFUNCTION("""COMPUTED_VALUE"""),359.0)</f>
        <v>359</v>
      </c>
      <c r="Q79" s="14">
        <f>IFERROR(__xludf.DUMMYFUNCTION("""COMPUTED_VALUE"""),64.0)</f>
        <v>64</v>
      </c>
      <c r="R79" s="14" t="str">
        <f>IFERROR(__xludf.DUMMYFUNCTION("""COMPUTED_VALUE"""),"25/37")</f>
        <v>25/37</v>
      </c>
      <c r="S79" s="14" t="str">
        <f>IFERROR(__xludf.DUMMYFUNCTION("""COMPUTED_VALUE"""),"")</f>
        <v/>
      </c>
      <c r="U79" s="21">
        <f>IFERROR(__xludf.DUMMYFUNCTION("""COMPUTED_VALUE"""),49.0)</f>
        <v>49</v>
      </c>
      <c r="V79" s="14">
        <f>IFERROR(__xludf.DUMMYFUNCTION("""COMPUTED_VALUE"""),101.0)</f>
        <v>101</v>
      </c>
      <c r="W79" s="14">
        <f>IFERROR(__xludf.DUMMYFUNCTION("""COMPUTED_VALUE"""),81.0)</f>
        <v>81</v>
      </c>
      <c r="X79" s="14">
        <f>IFERROR(__xludf.DUMMYFUNCTION("""COMPUTED_VALUE"""),20.0)</f>
        <v>20</v>
      </c>
    </row>
    <row r="80">
      <c r="A80" s="21">
        <f>Scores!A81</f>
        <v>70</v>
      </c>
      <c r="B80" s="14">
        <v>163.0</v>
      </c>
      <c r="C80" s="14">
        <v>78.0</v>
      </c>
      <c r="D80" s="14">
        <f t="shared" si="1"/>
        <v>85</v>
      </c>
      <c r="F80" s="21">
        <f>IFERROR(__xludf.DUMMYFUNCTION("""COMPUTED_VALUE"""),178.0)</f>
        <v>178</v>
      </c>
      <c r="H80" s="36"/>
      <c r="I80" s="14"/>
      <c r="J80" s="14"/>
      <c r="L80" s="36"/>
      <c r="M80" s="14"/>
      <c r="N80" s="14"/>
      <c r="P80" s="21">
        <f>IFERROR(__xludf.DUMMYFUNCTION("""COMPUTED_VALUE"""),53.0)</f>
        <v>53</v>
      </c>
      <c r="Q80" s="14">
        <f>IFERROR(__xludf.DUMMYFUNCTION("""COMPUTED_VALUE"""),21.0)</f>
        <v>21</v>
      </c>
      <c r="R80" s="14" t="str">
        <f>IFERROR(__xludf.DUMMYFUNCTION("""COMPUTED_VALUE"""),"25/46")</f>
        <v>25/46</v>
      </c>
      <c r="S80" s="14">
        <f>IFERROR(__xludf.DUMMYFUNCTION("""COMPUTED_VALUE"""),1.0)</f>
        <v>1</v>
      </c>
      <c r="U80" s="21">
        <f>IFERROR(__xludf.DUMMYFUNCTION("""COMPUTED_VALUE"""),84.0)</f>
        <v>84</v>
      </c>
      <c r="V80" s="14">
        <f>IFERROR(__xludf.DUMMYFUNCTION("""COMPUTED_VALUE"""),82.0)</f>
        <v>82</v>
      </c>
      <c r="W80" s="14">
        <f>IFERROR(__xludf.DUMMYFUNCTION("""COMPUTED_VALUE"""),62.0)</f>
        <v>62</v>
      </c>
      <c r="X80" s="14">
        <f>IFERROR(__xludf.DUMMYFUNCTION("""COMPUTED_VALUE"""),20.0)</f>
        <v>20</v>
      </c>
    </row>
    <row r="81">
      <c r="A81" s="21">
        <f>Scores!A82</f>
        <v>71</v>
      </c>
      <c r="B81" s="14">
        <v>244.0</v>
      </c>
      <c r="C81" s="14">
        <v>100.0</v>
      </c>
      <c r="D81" s="14">
        <f t="shared" si="1"/>
        <v>144</v>
      </c>
      <c r="F81" s="21">
        <f>IFERROR(__xludf.DUMMYFUNCTION("""COMPUTED_VALUE"""),182.0)</f>
        <v>182</v>
      </c>
      <c r="H81" s="36"/>
      <c r="I81" s="14"/>
      <c r="J81" s="14"/>
      <c r="L81" s="36"/>
      <c r="M81" s="14"/>
      <c r="N81" s="14"/>
      <c r="P81" s="21">
        <f>IFERROR(__xludf.DUMMYFUNCTION("""COMPUTED_VALUE"""),339.0)</f>
        <v>339</v>
      </c>
      <c r="Q81" s="14">
        <f>IFERROR(__xludf.DUMMYFUNCTION("""COMPUTED_VALUE"""),37.0)</f>
        <v>37</v>
      </c>
      <c r="R81" s="14" t="str">
        <f>IFERROR(__xludf.DUMMYFUNCTION("""COMPUTED_VALUE"""),"27/44")</f>
        <v>27/44</v>
      </c>
      <c r="S81" s="14">
        <f>IFERROR(__xludf.DUMMYFUNCTION("""COMPUTED_VALUE"""),6.0)</f>
        <v>6</v>
      </c>
      <c r="U81" s="21">
        <f>IFERROR(__xludf.DUMMYFUNCTION("""COMPUTED_VALUE"""),166.0)</f>
        <v>166</v>
      </c>
      <c r="V81" s="14">
        <f>IFERROR(__xludf.DUMMYFUNCTION("""COMPUTED_VALUE"""),81.0)</f>
        <v>81</v>
      </c>
      <c r="W81" s="14">
        <f>IFERROR(__xludf.DUMMYFUNCTION("""COMPUTED_VALUE"""),61.0)</f>
        <v>61</v>
      </c>
      <c r="X81" s="14">
        <f>IFERROR(__xludf.DUMMYFUNCTION("""COMPUTED_VALUE"""),20.0)</f>
        <v>20</v>
      </c>
    </row>
    <row r="82">
      <c r="A82" s="21">
        <f>Scores!A83</f>
        <v>72</v>
      </c>
      <c r="B82" s="14">
        <v>64.0</v>
      </c>
      <c r="C82" s="14">
        <v>54.0</v>
      </c>
      <c r="D82" s="14">
        <f t="shared" si="1"/>
        <v>10</v>
      </c>
      <c r="F82" s="21">
        <f>IFERROR(__xludf.DUMMYFUNCTION("""COMPUTED_VALUE"""),183.0)</f>
        <v>183</v>
      </c>
      <c r="H82" s="36"/>
      <c r="I82" s="14"/>
      <c r="J82" s="14"/>
      <c r="L82" s="36"/>
      <c r="M82" s="14"/>
      <c r="N82" s="14"/>
      <c r="P82" s="21">
        <f>IFERROR(__xludf.DUMMYFUNCTION("""COMPUTED_VALUE"""),138.0)</f>
        <v>138</v>
      </c>
      <c r="Q82" s="14">
        <f>IFERROR(__xludf.DUMMYFUNCTION("""COMPUTED_VALUE"""),103.0)</f>
        <v>103</v>
      </c>
      <c r="R82" s="14" t="str">
        <f>IFERROR(__xludf.DUMMYFUNCTION("""COMPUTED_VALUE"""),"3/35")</f>
        <v>3/35</v>
      </c>
      <c r="S82" s="14" t="str">
        <f>IFERROR(__xludf.DUMMYFUNCTION("""COMPUTED_VALUE"""),"")</f>
        <v/>
      </c>
      <c r="U82" s="21">
        <f>IFERROR(__xludf.DUMMYFUNCTION("""COMPUTED_VALUE"""),41.0)</f>
        <v>41</v>
      </c>
      <c r="V82" s="14">
        <f>IFERROR(__xludf.DUMMYFUNCTION("""COMPUTED_VALUE"""),67.0)</f>
        <v>67</v>
      </c>
      <c r="W82" s="14">
        <f>IFERROR(__xludf.DUMMYFUNCTION("""COMPUTED_VALUE"""),49.0)</f>
        <v>49</v>
      </c>
      <c r="X82" s="14">
        <f>IFERROR(__xludf.DUMMYFUNCTION("""COMPUTED_VALUE"""),18.0)</f>
        <v>18</v>
      </c>
    </row>
    <row r="83">
      <c r="A83" s="21">
        <f>Scores!A84</f>
        <v>73</v>
      </c>
      <c r="B83" s="14">
        <v>46.0</v>
      </c>
      <c r="C83" s="14">
        <v>46.0</v>
      </c>
      <c r="D83" s="14">
        <f t="shared" si="1"/>
        <v>0</v>
      </c>
      <c r="F83" s="21">
        <f>IFERROR(__xludf.DUMMYFUNCTION("""COMPUTED_VALUE"""),184.0)</f>
        <v>184</v>
      </c>
      <c r="H83" s="36"/>
      <c r="I83" s="14"/>
      <c r="J83" s="14"/>
      <c r="L83" s="36"/>
      <c r="M83" s="14"/>
      <c r="N83" s="14"/>
      <c r="P83" s="21">
        <f>IFERROR(__xludf.DUMMYFUNCTION("""COMPUTED_VALUE"""),225.0)</f>
        <v>225</v>
      </c>
      <c r="Q83" s="14">
        <f>IFERROR(__xludf.DUMMYFUNCTION("""COMPUTED_VALUE"""),123.0)</f>
        <v>123</v>
      </c>
      <c r="R83" s="14" t="str">
        <f>IFERROR(__xludf.DUMMYFUNCTION("""COMPUTED_VALUE"""),"3/35")</f>
        <v>3/35</v>
      </c>
      <c r="S83" s="14" t="str">
        <f>IFERROR(__xludf.DUMMYFUNCTION("""COMPUTED_VALUE"""),"")</f>
        <v/>
      </c>
      <c r="U83" s="21">
        <f>IFERROR(__xludf.DUMMYFUNCTION("""COMPUTED_VALUE"""),50.0)</f>
        <v>50</v>
      </c>
      <c r="V83" s="14">
        <f>IFERROR(__xludf.DUMMYFUNCTION("""COMPUTED_VALUE"""),101.0)</f>
        <v>101</v>
      </c>
      <c r="W83" s="14">
        <f>IFERROR(__xludf.DUMMYFUNCTION("""COMPUTED_VALUE"""),83.0)</f>
        <v>83</v>
      </c>
      <c r="X83" s="14">
        <f>IFERROR(__xludf.DUMMYFUNCTION("""COMPUTED_VALUE"""),18.0)</f>
        <v>18</v>
      </c>
    </row>
    <row r="84">
      <c r="A84" s="21">
        <f>Scores!A85</f>
        <v>74</v>
      </c>
      <c r="B84" s="14">
        <v>110.0</v>
      </c>
      <c r="C84" s="14">
        <v>77.0</v>
      </c>
      <c r="D84" s="14">
        <f t="shared" si="1"/>
        <v>33</v>
      </c>
      <c r="F84" s="21">
        <f>IFERROR(__xludf.DUMMYFUNCTION("""COMPUTED_VALUE"""),185.0)</f>
        <v>185</v>
      </c>
      <c r="H84" s="36"/>
      <c r="I84" s="14"/>
      <c r="J84" s="14"/>
      <c r="L84" s="36"/>
      <c r="M84" s="14"/>
      <c r="N84" s="14"/>
      <c r="P84" s="21">
        <f>IFERROR(__xludf.DUMMYFUNCTION("""COMPUTED_VALUE"""),93.0)</f>
        <v>93</v>
      </c>
      <c r="Q84" s="14">
        <f>IFERROR(__xludf.DUMMYFUNCTION("""COMPUTED_VALUE"""),98.0)</f>
        <v>98</v>
      </c>
      <c r="R84" s="14" t="str">
        <f>IFERROR(__xludf.DUMMYFUNCTION("""COMPUTED_VALUE"""),"3/36")</f>
        <v>3/36</v>
      </c>
      <c r="S84" s="14" t="str">
        <f>IFERROR(__xludf.DUMMYFUNCTION("""COMPUTED_VALUE"""),"")</f>
        <v/>
      </c>
      <c r="U84" s="21">
        <f>IFERROR(__xludf.DUMMYFUNCTION("""COMPUTED_VALUE"""),79.0)</f>
        <v>79</v>
      </c>
      <c r="V84" s="14">
        <f>IFERROR(__xludf.DUMMYFUNCTION("""COMPUTED_VALUE"""),123.0)</f>
        <v>123</v>
      </c>
      <c r="W84" s="14">
        <f>IFERROR(__xludf.DUMMYFUNCTION("""COMPUTED_VALUE"""),105.0)</f>
        <v>105</v>
      </c>
      <c r="X84" s="14">
        <f>IFERROR(__xludf.DUMMYFUNCTION("""COMPUTED_VALUE"""),18.0)</f>
        <v>18</v>
      </c>
    </row>
    <row r="85">
      <c r="A85" s="21">
        <f>Scores!A86</f>
        <v>75</v>
      </c>
      <c r="B85" s="14">
        <v>99.0</v>
      </c>
      <c r="C85" s="14">
        <v>86.0</v>
      </c>
      <c r="D85" s="14">
        <f t="shared" si="1"/>
        <v>13</v>
      </c>
      <c r="F85" s="21">
        <f>IFERROR(__xludf.DUMMYFUNCTION("""COMPUTED_VALUE"""),187.0)</f>
        <v>187</v>
      </c>
      <c r="H85" s="36"/>
      <c r="I85" s="14"/>
      <c r="J85" s="14"/>
      <c r="L85" s="36"/>
      <c r="M85" s="14"/>
      <c r="N85" s="14"/>
      <c r="P85" s="21">
        <f>IFERROR(__xludf.DUMMYFUNCTION("""COMPUTED_VALUE"""),394.0)</f>
        <v>394</v>
      </c>
      <c r="Q85" s="14">
        <f>IFERROR(__xludf.DUMMYFUNCTION("""COMPUTED_VALUE"""),85.0)</f>
        <v>85</v>
      </c>
      <c r="R85" s="14" t="str">
        <f>IFERROR(__xludf.DUMMYFUNCTION("""COMPUTED_VALUE"""),"3/36")</f>
        <v>3/36</v>
      </c>
      <c r="S85" s="14" t="str">
        <f>IFERROR(__xludf.DUMMYFUNCTION("""COMPUTED_VALUE"""),"")</f>
        <v/>
      </c>
      <c r="U85" s="21">
        <f>IFERROR(__xludf.DUMMYFUNCTION("""COMPUTED_VALUE"""),197.0)</f>
        <v>197</v>
      </c>
      <c r="V85" s="14">
        <f>IFERROR(__xludf.DUMMYFUNCTION("""COMPUTED_VALUE"""),69.0)</f>
        <v>69</v>
      </c>
      <c r="W85" s="14">
        <f>IFERROR(__xludf.DUMMYFUNCTION("""COMPUTED_VALUE"""),51.0)</f>
        <v>51</v>
      </c>
      <c r="X85" s="14">
        <f>IFERROR(__xludf.DUMMYFUNCTION("""COMPUTED_VALUE"""),18.0)</f>
        <v>18</v>
      </c>
    </row>
    <row r="86">
      <c r="A86" s="21">
        <f>Scores!A87</f>
        <v>76</v>
      </c>
      <c r="B86" s="14"/>
      <c r="C86" s="14">
        <v>258.0</v>
      </c>
      <c r="D86" s="14" t="str">
        <f t="shared" si="1"/>
        <v/>
      </c>
      <c r="F86" s="21">
        <f>IFERROR(__xludf.DUMMYFUNCTION("""COMPUTED_VALUE"""),188.0)</f>
        <v>188</v>
      </c>
      <c r="H86" s="36"/>
      <c r="I86" s="14"/>
      <c r="J86" s="14"/>
      <c r="L86" s="36"/>
      <c r="M86" s="14"/>
      <c r="N86" s="14"/>
      <c r="P86" s="21">
        <f>IFERROR(__xludf.DUMMYFUNCTION("""COMPUTED_VALUE"""),204.0)</f>
        <v>204</v>
      </c>
      <c r="Q86" s="14">
        <f>IFERROR(__xludf.DUMMYFUNCTION("""COMPUTED_VALUE"""),93.0)</f>
        <v>93</v>
      </c>
      <c r="R86" s="14" t="str">
        <f>IFERROR(__xludf.DUMMYFUNCTION("""COMPUTED_VALUE"""),"3/37")</f>
        <v>3/37</v>
      </c>
      <c r="S86" s="14" t="str">
        <f>IFERROR(__xludf.DUMMYFUNCTION("""COMPUTED_VALUE"""),"")</f>
        <v/>
      </c>
      <c r="U86" s="21">
        <f>IFERROR(__xludf.DUMMYFUNCTION("""COMPUTED_VALUE"""),22.0)</f>
        <v>22</v>
      </c>
      <c r="V86" s="14">
        <f>IFERROR(__xludf.DUMMYFUNCTION("""COMPUTED_VALUE"""),108.0)</f>
        <v>108</v>
      </c>
      <c r="W86" s="14">
        <f>IFERROR(__xludf.DUMMYFUNCTION("""COMPUTED_VALUE"""),91.0)</f>
        <v>91</v>
      </c>
      <c r="X86" s="14">
        <f>IFERROR(__xludf.DUMMYFUNCTION("""COMPUTED_VALUE"""),17.0)</f>
        <v>17</v>
      </c>
    </row>
    <row r="87">
      <c r="A87" s="21">
        <f>Scores!A88</f>
        <v>77</v>
      </c>
      <c r="B87" s="14"/>
      <c r="C87" s="14">
        <v>110.0</v>
      </c>
      <c r="D87" s="14" t="str">
        <f t="shared" si="1"/>
        <v/>
      </c>
      <c r="F87" s="21">
        <f>IFERROR(__xludf.DUMMYFUNCTION("""COMPUTED_VALUE"""),189.0)</f>
        <v>189</v>
      </c>
      <c r="H87" s="36"/>
      <c r="I87" s="14"/>
      <c r="J87" s="14"/>
      <c r="L87" s="36"/>
      <c r="M87" s="14"/>
      <c r="N87" s="14"/>
      <c r="P87" s="21">
        <f>IFERROR(__xludf.DUMMYFUNCTION("""COMPUTED_VALUE"""),74.0)</f>
        <v>74</v>
      </c>
      <c r="Q87" s="14">
        <f>IFERROR(__xludf.DUMMYFUNCTION("""COMPUTED_VALUE"""),77.0)</f>
        <v>77</v>
      </c>
      <c r="R87" s="14" t="str">
        <f>IFERROR(__xludf.DUMMYFUNCTION("""COMPUTED_VALUE"""),"3/38")</f>
        <v>3/38</v>
      </c>
      <c r="S87" s="14">
        <f>IFERROR(__xludf.DUMMYFUNCTION("""COMPUTED_VALUE"""),33.0)</f>
        <v>33</v>
      </c>
      <c r="U87" s="21">
        <f>IFERROR(__xludf.DUMMYFUNCTION("""COMPUTED_VALUE"""),47.0)</f>
        <v>47</v>
      </c>
      <c r="V87" s="14">
        <f>IFERROR(__xludf.DUMMYFUNCTION("""COMPUTED_VALUE"""),72.0)</f>
        <v>72</v>
      </c>
      <c r="W87" s="14">
        <f>IFERROR(__xludf.DUMMYFUNCTION("""COMPUTED_VALUE"""),55.0)</f>
        <v>55</v>
      </c>
      <c r="X87" s="14">
        <f>IFERROR(__xludf.DUMMYFUNCTION("""COMPUTED_VALUE"""),17.0)</f>
        <v>17</v>
      </c>
    </row>
    <row r="88">
      <c r="A88" s="21">
        <f>Scores!A89</f>
        <v>78</v>
      </c>
      <c r="B88" s="14">
        <v>65.0</v>
      </c>
      <c r="C88" s="14">
        <v>59.0</v>
      </c>
      <c r="D88" s="14">
        <f t="shared" si="1"/>
        <v>6</v>
      </c>
      <c r="F88" s="21">
        <f>IFERROR(__xludf.DUMMYFUNCTION("""COMPUTED_VALUE"""),190.0)</f>
        <v>190</v>
      </c>
      <c r="H88" s="36"/>
      <c r="I88" s="14"/>
      <c r="J88" s="14"/>
      <c r="L88" s="36"/>
      <c r="M88" s="14"/>
      <c r="N88" s="14"/>
      <c r="P88" s="21">
        <f>IFERROR(__xludf.DUMMYFUNCTION("""COMPUTED_VALUE"""),199.0)</f>
        <v>199</v>
      </c>
      <c r="Q88" s="14">
        <f>IFERROR(__xludf.DUMMYFUNCTION("""COMPUTED_VALUE"""),77.0)</f>
        <v>77</v>
      </c>
      <c r="R88" s="14" t="str">
        <f>IFERROR(__xludf.DUMMYFUNCTION("""COMPUTED_VALUE"""),"3/38")</f>
        <v>3/38</v>
      </c>
      <c r="S88" s="14" t="str">
        <f>IFERROR(__xludf.DUMMYFUNCTION("""COMPUTED_VALUE"""),"")</f>
        <v/>
      </c>
      <c r="U88" s="21">
        <f>IFERROR(__xludf.DUMMYFUNCTION("""COMPUTED_VALUE"""),128.0)</f>
        <v>128</v>
      </c>
      <c r="V88" s="14">
        <f>IFERROR(__xludf.DUMMYFUNCTION("""COMPUTED_VALUE"""),74.0)</f>
        <v>74</v>
      </c>
      <c r="W88" s="14">
        <f>IFERROR(__xludf.DUMMYFUNCTION("""COMPUTED_VALUE"""),57.0)</f>
        <v>57</v>
      </c>
      <c r="X88" s="14">
        <f>IFERROR(__xludf.DUMMYFUNCTION("""COMPUTED_VALUE"""),17.0)</f>
        <v>17</v>
      </c>
    </row>
    <row r="89">
      <c r="A89" s="21">
        <f>Scores!A90</f>
        <v>79</v>
      </c>
      <c r="B89" s="14">
        <v>123.0</v>
      </c>
      <c r="C89" s="14">
        <v>105.0</v>
      </c>
      <c r="D89" s="14">
        <f t="shared" si="1"/>
        <v>18</v>
      </c>
      <c r="F89" s="21">
        <f>IFERROR(__xludf.DUMMYFUNCTION("""COMPUTED_VALUE"""),191.0)</f>
        <v>191</v>
      </c>
      <c r="H89" s="36"/>
      <c r="I89" s="14"/>
      <c r="J89" s="14"/>
      <c r="L89" s="36"/>
      <c r="M89" s="14"/>
      <c r="N89" s="14"/>
      <c r="P89" s="21">
        <f>IFERROR(__xludf.DUMMYFUNCTION("""COMPUTED_VALUE"""),218.0)</f>
        <v>218</v>
      </c>
      <c r="Q89" s="14">
        <f>IFERROR(__xludf.DUMMYFUNCTION("""COMPUTED_VALUE"""),56.0)</f>
        <v>56</v>
      </c>
      <c r="R89" s="14" t="str">
        <f>IFERROR(__xludf.DUMMYFUNCTION("""COMPUTED_VALUE"""),"3/38")</f>
        <v>3/38</v>
      </c>
      <c r="S89" s="14" t="str">
        <f>IFERROR(__xludf.DUMMYFUNCTION("""COMPUTED_VALUE"""),"")</f>
        <v/>
      </c>
      <c r="U89" s="21">
        <f>IFERROR(__xludf.DUMMYFUNCTION("""COMPUTED_VALUE"""),177.0)</f>
        <v>177</v>
      </c>
      <c r="V89" s="14">
        <f>IFERROR(__xludf.DUMMYFUNCTION("""COMPUTED_VALUE"""),68.0)</f>
        <v>68</v>
      </c>
      <c r="W89" s="14">
        <f>IFERROR(__xludf.DUMMYFUNCTION("""COMPUTED_VALUE"""),51.0)</f>
        <v>51</v>
      </c>
      <c r="X89" s="14">
        <f>IFERROR(__xludf.DUMMYFUNCTION("""COMPUTED_VALUE"""),17.0)</f>
        <v>17</v>
      </c>
    </row>
    <row r="90">
      <c r="A90" s="21">
        <f>Scores!A91</f>
        <v>80</v>
      </c>
      <c r="B90" s="14"/>
      <c r="C90" s="14">
        <v>231.0</v>
      </c>
      <c r="D90" s="14" t="str">
        <f t="shared" si="1"/>
        <v/>
      </c>
      <c r="F90" s="21">
        <f>IFERROR(__xludf.DUMMYFUNCTION("""COMPUTED_VALUE"""),192.0)</f>
        <v>192</v>
      </c>
      <c r="H90" s="36"/>
      <c r="I90" s="14"/>
      <c r="J90" s="14"/>
      <c r="L90" s="36"/>
      <c r="M90" s="14"/>
      <c r="N90" s="14"/>
      <c r="P90" s="21">
        <f>IFERROR(__xludf.DUMMYFUNCTION("""COMPUTED_VALUE"""),306.0)</f>
        <v>306</v>
      </c>
      <c r="Q90" s="14">
        <f>IFERROR(__xludf.DUMMYFUNCTION("""COMPUTED_VALUE"""),63.0)</f>
        <v>63</v>
      </c>
      <c r="R90" s="14" t="str">
        <f>IFERROR(__xludf.DUMMYFUNCTION("""COMPUTED_VALUE"""),"3/38")</f>
        <v>3/38</v>
      </c>
      <c r="S90" s="14">
        <f>IFERROR(__xludf.DUMMYFUNCTION("""COMPUTED_VALUE"""),36.0)</f>
        <v>36</v>
      </c>
      <c r="U90" s="21">
        <f>IFERROR(__xludf.DUMMYFUNCTION("""COMPUTED_VALUE"""),180.0)</f>
        <v>180</v>
      </c>
      <c r="V90" s="14">
        <f>IFERROR(__xludf.DUMMYFUNCTION("""COMPUTED_VALUE"""),91.0)</f>
        <v>91</v>
      </c>
      <c r="W90" s="14">
        <f>IFERROR(__xludf.DUMMYFUNCTION("""COMPUTED_VALUE"""),74.0)</f>
        <v>74</v>
      </c>
      <c r="X90" s="14">
        <f>IFERROR(__xludf.DUMMYFUNCTION("""COMPUTED_VALUE"""),17.0)</f>
        <v>17</v>
      </c>
    </row>
    <row r="91">
      <c r="A91" s="21">
        <f>Scores!A92</f>
        <v>81</v>
      </c>
      <c r="B91" s="14">
        <v>138.0</v>
      </c>
      <c r="C91" s="14">
        <v>81.0</v>
      </c>
      <c r="D91" s="14">
        <f t="shared" si="1"/>
        <v>57</v>
      </c>
      <c r="F91" s="21">
        <f>IFERROR(__xludf.DUMMYFUNCTION("""COMPUTED_VALUE"""),193.0)</f>
        <v>193</v>
      </c>
      <c r="H91" s="36"/>
      <c r="I91" s="14"/>
      <c r="J91" s="14"/>
      <c r="L91" s="36"/>
      <c r="M91" s="14"/>
      <c r="N91" s="14"/>
      <c r="P91" s="21">
        <f>IFERROR(__xludf.DUMMYFUNCTION("""COMPUTED_VALUE"""),369.0)</f>
        <v>369</v>
      </c>
      <c r="Q91" s="14">
        <f>IFERROR(__xludf.DUMMYFUNCTION("""COMPUTED_VALUE"""),109.0)</f>
        <v>109</v>
      </c>
      <c r="R91" s="14" t="str">
        <f>IFERROR(__xludf.DUMMYFUNCTION("""COMPUTED_VALUE"""),"3/38")</f>
        <v>3/38</v>
      </c>
      <c r="S91" s="14" t="str">
        <f>IFERROR(__xludf.DUMMYFUNCTION("""COMPUTED_VALUE"""),"")</f>
        <v/>
      </c>
      <c r="U91" s="21">
        <f>IFERROR(__xludf.DUMMYFUNCTION("""COMPUTED_VALUE"""),227.0)</f>
        <v>227</v>
      </c>
      <c r="V91" s="14">
        <f>IFERROR(__xludf.DUMMYFUNCTION("""COMPUTED_VALUE"""),69.0)</f>
        <v>69</v>
      </c>
      <c r="W91" s="14">
        <f>IFERROR(__xludf.DUMMYFUNCTION("""COMPUTED_VALUE"""),52.0)</f>
        <v>52</v>
      </c>
      <c r="X91" s="14">
        <f>IFERROR(__xludf.DUMMYFUNCTION("""COMPUTED_VALUE"""),17.0)</f>
        <v>17</v>
      </c>
    </row>
    <row r="92">
      <c r="A92" s="21">
        <f>Scores!A93</f>
        <v>82</v>
      </c>
      <c r="B92" s="14">
        <v>58.0</v>
      </c>
      <c r="C92" s="14">
        <v>50.0</v>
      </c>
      <c r="D92" s="14">
        <f t="shared" si="1"/>
        <v>8</v>
      </c>
      <c r="F92" s="21">
        <f>IFERROR(__xludf.DUMMYFUNCTION("""COMPUTED_VALUE"""),194.0)</f>
        <v>194</v>
      </c>
      <c r="H92" s="36"/>
      <c r="I92" s="14"/>
      <c r="J92" s="14"/>
      <c r="L92" s="36"/>
      <c r="M92" s="14"/>
      <c r="N92" s="14"/>
      <c r="P92" s="21">
        <f>IFERROR(__xludf.DUMMYFUNCTION("""COMPUTED_VALUE"""),30.0)</f>
        <v>30</v>
      </c>
      <c r="Q92" s="14">
        <f>IFERROR(__xludf.DUMMYFUNCTION("""COMPUTED_VALUE"""),93.0)</f>
        <v>93</v>
      </c>
      <c r="R92" s="14" t="str">
        <f>IFERROR(__xludf.DUMMYFUNCTION("""COMPUTED_VALUE"""),"3/39")</f>
        <v>3/39</v>
      </c>
      <c r="S92" s="14">
        <f>IFERROR(__xludf.DUMMYFUNCTION("""COMPUTED_VALUE"""),27.0)</f>
        <v>27</v>
      </c>
      <c r="U92" s="21">
        <f>IFERROR(__xludf.DUMMYFUNCTION("""COMPUTED_VALUE"""),235.0)</f>
        <v>235</v>
      </c>
      <c r="V92" s="14">
        <f>IFERROR(__xludf.DUMMYFUNCTION("""COMPUTED_VALUE"""),78.0)</f>
        <v>78</v>
      </c>
      <c r="W92" s="14">
        <f>IFERROR(__xludf.DUMMYFUNCTION("""COMPUTED_VALUE"""),61.0)</f>
        <v>61</v>
      </c>
      <c r="X92" s="14">
        <f>IFERROR(__xludf.DUMMYFUNCTION("""COMPUTED_VALUE"""),17.0)</f>
        <v>17</v>
      </c>
    </row>
    <row r="93">
      <c r="A93" s="21">
        <f>Scores!A94</f>
        <v>83</v>
      </c>
      <c r="B93" s="14">
        <v>40.0</v>
      </c>
      <c r="C93" s="14">
        <v>40.0</v>
      </c>
      <c r="D93" s="14">
        <f t="shared" si="1"/>
        <v>0</v>
      </c>
      <c r="F93" s="21">
        <f>IFERROR(__xludf.DUMMYFUNCTION("""COMPUTED_VALUE"""),195.0)</f>
        <v>195</v>
      </c>
      <c r="H93" s="36"/>
      <c r="I93" s="14"/>
      <c r="J93" s="14"/>
      <c r="L93" s="36"/>
      <c r="M93" s="14"/>
      <c r="N93" s="14"/>
      <c r="P93" s="21">
        <f>IFERROR(__xludf.DUMMYFUNCTION("""COMPUTED_VALUE"""),123.0)</f>
        <v>123</v>
      </c>
      <c r="Q93" s="14">
        <f>IFERROR(__xludf.DUMMYFUNCTION("""COMPUTED_VALUE"""),71.0)</f>
        <v>71</v>
      </c>
      <c r="R93" s="14" t="str">
        <f>IFERROR(__xludf.DUMMYFUNCTION("""COMPUTED_VALUE"""),"3/39")</f>
        <v>3/39</v>
      </c>
      <c r="S93" s="14" t="str">
        <f>IFERROR(__xludf.DUMMYFUNCTION("""COMPUTED_VALUE"""),"")</f>
        <v/>
      </c>
      <c r="U93" s="21">
        <f>IFERROR(__xludf.DUMMYFUNCTION("""COMPUTED_VALUE"""),307.0)</f>
        <v>307</v>
      </c>
      <c r="V93" s="14">
        <f>IFERROR(__xludf.DUMMYFUNCTION("""COMPUTED_VALUE"""),63.0)</f>
        <v>63</v>
      </c>
      <c r="W93" s="14">
        <f>IFERROR(__xludf.DUMMYFUNCTION("""COMPUTED_VALUE"""),46.0)</f>
        <v>46</v>
      </c>
      <c r="X93" s="14">
        <f>IFERROR(__xludf.DUMMYFUNCTION("""COMPUTED_VALUE"""),17.0)</f>
        <v>17</v>
      </c>
    </row>
    <row r="94">
      <c r="A94" s="21">
        <f>Scores!A95</f>
        <v>84</v>
      </c>
      <c r="B94" s="14">
        <v>82.0</v>
      </c>
      <c r="C94" s="14">
        <v>62.0</v>
      </c>
      <c r="D94" s="14">
        <f t="shared" si="1"/>
        <v>20</v>
      </c>
      <c r="F94" s="21">
        <f>IFERROR(__xludf.DUMMYFUNCTION("""COMPUTED_VALUE"""),196.0)</f>
        <v>196</v>
      </c>
      <c r="H94" s="36"/>
      <c r="I94" s="14"/>
      <c r="J94" s="14"/>
      <c r="L94" s="36"/>
      <c r="M94" s="14"/>
      <c r="N94" s="14"/>
      <c r="P94" s="21">
        <f>IFERROR(__xludf.DUMMYFUNCTION("""COMPUTED_VALUE"""),228.0)</f>
        <v>228</v>
      </c>
      <c r="Q94" s="14">
        <f>IFERROR(__xludf.DUMMYFUNCTION("""COMPUTED_VALUE"""),116.0)</f>
        <v>116</v>
      </c>
      <c r="R94" s="14" t="str">
        <f>IFERROR(__xludf.DUMMYFUNCTION("""COMPUTED_VALUE"""),"3/39")</f>
        <v>3/39</v>
      </c>
      <c r="S94" s="14" t="str">
        <f>IFERROR(__xludf.DUMMYFUNCTION("""COMPUTED_VALUE"""),"")</f>
        <v/>
      </c>
      <c r="U94" s="21">
        <f>IFERROR(__xludf.DUMMYFUNCTION("""COMPUTED_VALUE"""),388.0)</f>
        <v>388</v>
      </c>
      <c r="V94" s="14">
        <f>IFERROR(__xludf.DUMMYFUNCTION("""COMPUTED_VALUE"""),78.0)</f>
        <v>78</v>
      </c>
      <c r="W94" s="14">
        <f>IFERROR(__xludf.DUMMYFUNCTION("""COMPUTED_VALUE"""),61.0)</f>
        <v>61</v>
      </c>
      <c r="X94" s="14">
        <f>IFERROR(__xludf.DUMMYFUNCTION("""COMPUTED_VALUE"""),17.0)</f>
        <v>17</v>
      </c>
    </row>
    <row r="95">
      <c r="A95" s="21">
        <f>Scores!A96</f>
        <v>85</v>
      </c>
      <c r="B95" s="14">
        <v>110.0</v>
      </c>
      <c r="C95" s="14">
        <v>49.0</v>
      </c>
      <c r="D95" s="14">
        <f t="shared" si="1"/>
        <v>61</v>
      </c>
      <c r="F95" s="21">
        <f>IFERROR(__xludf.DUMMYFUNCTION("""COMPUTED_VALUE"""),198.0)</f>
        <v>198</v>
      </c>
      <c r="H95" s="36"/>
      <c r="I95" s="14"/>
      <c r="J95" s="14"/>
      <c r="L95" s="36"/>
      <c r="M95" s="14"/>
      <c r="N95" s="14"/>
      <c r="P95" s="21">
        <f>IFERROR(__xludf.DUMMYFUNCTION("""COMPUTED_VALUE"""),237.0)</f>
        <v>237</v>
      </c>
      <c r="Q95" s="14">
        <f>IFERROR(__xludf.DUMMYFUNCTION("""COMPUTED_VALUE"""),66.0)</f>
        <v>66</v>
      </c>
      <c r="R95" s="14" t="str">
        <f>IFERROR(__xludf.DUMMYFUNCTION("""COMPUTED_VALUE"""),"3/39")</f>
        <v>3/39</v>
      </c>
      <c r="S95" s="14" t="str">
        <f>IFERROR(__xludf.DUMMYFUNCTION("""COMPUTED_VALUE"""),"")</f>
        <v/>
      </c>
      <c r="U95" s="21">
        <f>IFERROR(__xludf.DUMMYFUNCTION("""COMPUTED_VALUE"""),35.0)</f>
        <v>35</v>
      </c>
      <c r="V95" s="14">
        <f>IFERROR(__xludf.DUMMYFUNCTION("""COMPUTED_VALUE"""),98.0)</f>
        <v>98</v>
      </c>
      <c r="W95" s="14">
        <f>IFERROR(__xludf.DUMMYFUNCTION("""COMPUTED_VALUE"""),82.0)</f>
        <v>82</v>
      </c>
      <c r="X95" s="14">
        <f>IFERROR(__xludf.DUMMYFUNCTION("""COMPUTED_VALUE"""),16.0)</f>
        <v>16</v>
      </c>
    </row>
    <row r="96">
      <c r="A96" s="21">
        <f>Scores!A97</f>
        <v>86</v>
      </c>
      <c r="B96" s="14"/>
      <c r="C96" s="14">
        <v>151.0</v>
      </c>
      <c r="D96" s="14" t="str">
        <f t="shared" si="1"/>
        <v/>
      </c>
      <c r="F96" s="21">
        <f>IFERROR(__xludf.DUMMYFUNCTION("""COMPUTED_VALUE"""),199.0)</f>
        <v>199</v>
      </c>
      <c r="H96" s="36"/>
      <c r="I96" s="14"/>
      <c r="J96" s="14"/>
      <c r="L96" s="36"/>
      <c r="M96" s="14"/>
      <c r="N96" s="14"/>
      <c r="P96" s="21">
        <f>IFERROR(__xludf.DUMMYFUNCTION("""COMPUTED_VALUE"""),352.0)</f>
        <v>352</v>
      </c>
      <c r="Q96" s="14">
        <f>IFERROR(__xludf.DUMMYFUNCTION("""COMPUTED_VALUE"""),82.0)</f>
        <v>82</v>
      </c>
      <c r="R96" s="14" t="str">
        <f>IFERROR(__xludf.DUMMYFUNCTION("""COMPUTED_VALUE"""),"3/39")</f>
        <v>3/39</v>
      </c>
      <c r="S96" s="14" t="str">
        <f>IFERROR(__xludf.DUMMYFUNCTION("""COMPUTED_VALUE"""),"")</f>
        <v/>
      </c>
      <c r="U96" s="21">
        <f>IFERROR(__xludf.DUMMYFUNCTION("""COMPUTED_VALUE"""),400.0)</f>
        <v>400</v>
      </c>
      <c r="V96" s="14">
        <f>IFERROR(__xludf.DUMMYFUNCTION("""COMPUTED_VALUE"""),82.0)</f>
        <v>82</v>
      </c>
      <c r="W96" s="14">
        <f>IFERROR(__xludf.DUMMYFUNCTION("""COMPUTED_VALUE"""),66.0)</f>
        <v>66</v>
      </c>
      <c r="X96" s="14">
        <f>IFERROR(__xludf.DUMMYFUNCTION("""COMPUTED_VALUE"""),16.0)</f>
        <v>16</v>
      </c>
    </row>
    <row r="97">
      <c r="A97" s="21">
        <f>Scores!A98</f>
        <v>87</v>
      </c>
      <c r="B97" s="14">
        <v>36.0</v>
      </c>
      <c r="C97" s="14">
        <v>36.0</v>
      </c>
      <c r="D97" s="14">
        <f t="shared" si="1"/>
        <v>0</v>
      </c>
      <c r="F97" s="21">
        <f>IFERROR(__xludf.DUMMYFUNCTION("""COMPUTED_VALUE"""),200.0)</f>
        <v>200</v>
      </c>
      <c r="H97" s="36"/>
      <c r="I97" s="14"/>
      <c r="J97" s="14"/>
      <c r="L97" s="36"/>
      <c r="M97" s="14"/>
      <c r="N97" s="14"/>
      <c r="P97" s="21">
        <f>IFERROR(__xludf.DUMMYFUNCTION("""COMPUTED_VALUE"""),381.0)</f>
        <v>381</v>
      </c>
      <c r="Q97" s="14">
        <f>IFERROR(__xludf.DUMMYFUNCTION("""COMPUTED_VALUE"""),79.0)</f>
        <v>79</v>
      </c>
      <c r="R97" s="14" t="str">
        <f>IFERROR(__xludf.DUMMYFUNCTION("""COMPUTED_VALUE"""),"3/39")</f>
        <v>3/39</v>
      </c>
      <c r="S97" s="14" t="str">
        <f>IFERROR(__xludf.DUMMYFUNCTION("""COMPUTED_VALUE"""),"")</f>
        <v/>
      </c>
      <c r="U97" s="21">
        <f>IFERROR(__xludf.DUMMYFUNCTION("""COMPUTED_VALUE"""),31.0)</f>
        <v>31</v>
      </c>
      <c r="V97" s="14">
        <f>IFERROR(__xludf.DUMMYFUNCTION("""COMPUTED_VALUE"""),60.0)</f>
        <v>60</v>
      </c>
      <c r="W97" s="14">
        <f>IFERROR(__xludf.DUMMYFUNCTION("""COMPUTED_VALUE"""),45.0)</f>
        <v>45</v>
      </c>
      <c r="X97" s="14">
        <f>IFERROR(__xludf.DUMMYFUNCTION("""COMPUTED_VALUE"""),15.0)</f>
        <v>15</v>
      </c>
    </row>
    <row r="98">
      <c r="A98" s="21">
        <f>Scores!A99</f>
        <v>88</v>
      </c>
      <c r="B98" s="14"/>
      <c r="C98" s="14">
        <v>95.0</v>
      </c>
      <c r="D98" s="14" t="str">
        <f t="shared" si="1"/>
        <v/>
      </c>
      <c r="F98" s="21">
        <f>IFERROR(__xludf.DUMMYFUNCTION("""COMPUTED_VALUE"""),201.0)</f>
        <v>201</v>
      </c>
      <c r="H98" s="36"/>
      <c r="I98" s="14"/>
      <c r="J98" s="14"/>
      <c r="L98" s="36"/>
      <c r="M98" s="14"/>
      <c r="N98" s="14"/>
      <c r="P98" s="21">
        <f>IFERROR(__xludf.DUMMYFUNCTION("""COMPUTED_VALUE"""),91.0)</f>
        <v>91</v>
      </c>
      <c r="Q98" s="14">
        <f>IFERROR(__xludf.DUMMYFUNCTION("""COMPUTED_VALUE"""),62.0)</f>
        <v>62</v>
      </c>
      <c r="R98" s="14" t="str">
        <f>IFERROR(__xludf.DUMMYFUNCTION("""COMPUTED_VALUE"""),"3/40")</f>
        <v>3/40</v>
      </c>
      <c r="S98" s="14" t="str">
        <f>IFERROR(__xludf.DUMMYFUNCTION("""COMPUTED_VALUE"""),"")</f>
        <v/>
      </c>
      <c r="U98" s="21">
        <f>IFERROR(__xludf.DUMMYFUNCTION("""COMPUTED_VALUE"""),171.0)</f>
        <v>171</v>
      </c>
      <c r="V98" s="14">
        <f>IFERROR(__xludf.DUMMYFUNCTION("""COMPUTED_VALUE"""),66.0)</f>
        <v>66</v>
      </c>
      <c r="W98" s="14">
        <f>IFERROR(__xludf.DUMMYFUNCTION("""COMPUTED_VALUE"""),51.0)</f>
        <v>51</v>
      </c>
      <c r="X98" s="14">
        <f>IFERROR(__xludf.DUMMYFUNCTION("""COMPUTED_VALUE"""),15.0)</f>
        <v>15</v>
      </c>
    </row>
    <row r="99">
      <c r="A99" s="21">
        <f>Scores!A100</f>
        <v>89</v>
      </c>
      <c r="B99" s="14"/>
      <c r="C99" s="14">
        <v>232.0</v>
      </c>
      <c r="D99" s="14" t="str">
        <f t="shared" si="1"/>
        <v/>
      </c>
      <c r="F99" s="21">
        <f>IFERROR(__xludf.DUMMYFUNCTION("""COMPUTED_VALUE"""),202.0)</f>
        <v>202</v>
      </c>
      <c r="H99" s="36"/>
      <c r="I99" s="14"/>
      <c r="J99" s="14"/>
      <c r="L99" s="36"/>
      <c r="M99" s="14"/>
      <c r="N99" s="14"/>
      <c r="P99" s="21">
        <f>IFERROR(__xludf.DUMMYFUNCTION("""COMPUTED_VALUE"""),104.0)</f>
        <v>104</v>
      </c>
      <c r="Q99" s="14">
        <f>IFERROR(__xludf.DUMMYFUNCTION("""COMPUTED_VALUE"""),84.0)</f>
        <v>84</v>
      </c>
      <c r="R99" s="14" t="str">
        <f>IFERROR(__xludf.DUMMYFUNCTION("""COMPUTED_VALUE"""),"3/40")</f>
        <v>3/40</v>
      </c>
      <c r="S99" s="14">
        <f>IFERROR(__xludf.DUMMYFUNCTION("""COMPUTED_VALUE"""),44.0)</f>
        <v>44</v>
      </c>
      <c r="U99" s="21">
        <f>IFERROR(__xludf.DUMMYFUNCTION("""COMPUTED_VALUE"""),334.0)</f>
        <v>334</v>
      </c>
      <c r="V99" s="14">
        <f>IFERROR(__xludf.DUMMYFUNCTION("""COMPUTED_VALUE"""),80.0)</f>
        <v>80</v>
      </c>
      <c r="W99" s="14">
        <f>IFERROR(__xludf.DUMMYFUNCTION("""COMPUTED_VALUE"""),65.0)</f>
        <v>65</v>
      </c>
      <c r="X99" s="14">
        <f>IFERROR(__xludf.DUMMYFUNCTION("""COMPUTED_VALUE"""),15.0)</f>
        <v>15</v>
      </c>
    </row>
    <row r="100">
      <c r="A100" s="21">
        <f>Scores!A101</f>
        <v>90</v>
      </c>
      <c r="B100" s="14"/>
      <c r="C100" s="14">
        <v>147.0</v>
      </c>
      <c r="D100" s="14" t="str">
        <f t="shared" si="1"/>
        <v/>
      </c>
      <c r="F100" s="21">
        <f>IFERROR(__xludf.DUMMYFUNCTION("""COMPUTED_VALUE"""),203.0)</f>
        <v>203</v>
      </c>
      <c r="H100" s="36"/>
      <c r="I100" s="14"/>
      <c r="J100" s="14"/>
      <c r="L100" s="36"/>
      <c r="M100" s="14"/>
      <c r="N100" s="14"/>
      <c r="P100" s="21">
        <f>IFERROR(__xludf.DUMMYFUNCTION("""COMPUTED_VALUE"""),200.0)</f>
        <v>200</v>
      </c>
      <c r="Q100" s="14">
        <f>IFERROR(__xludf.DUMMYFUNCTION("""COMPUTED_VALUE"""),84.0)</f>
        <v>84</v>
      </c>
      <c r="R100" s="14" t="str">
        <f>IFERROR(__xludf.DUMMYFUNCTION("""COMPUTED_VALUE"""),"3/40")</f>
        <v>3/40</v>
      </c>
      <c r="S100" s="14" t="str">
        <f>IFERROR(__xludf.DUMMYFUNCTION("""COMPUTED_VALUE"""),"")</f>
        <v/>
      </c>
      <c r="U100" s="21">
        <f>IFERROR(__xludf.DUMMYFUNCTION("""COMPUTED_VALUE"""),39.0)</f>
        <v>39</v>
      </c>
      <c r="V100" s="14">
        <f>IFERROR(__xludf.DUMMYFUNCTION("""COMPUTED_VALUE"""),74.0)</f>
        <v>74</v>
      </c>
      <c r="W100" s="14">
        <f>IFERROR(__xludf.DUMMYFUNCTION("""COMPUTED_VALUE"""),60.0)</f>
        <v>60</v>
      </c>
      <c r="X100" s="14">
        <f>IFERROR(__xludf.DUMMYFUNCTION("""COMPUTED_VALUE"""),14.0)</f>
        <v>14</v>
      </c>
    </row>
    <row r="101">
      <c r="A101" s="21">
        <f>Scores!A102</f>
        <v>91</v>
      </c>
      <c r="B101" s="14"/>
      <c r="C101" s="14">
        <v>62.0</v>
      </c>
      <c r="D101" s="14" t="str">
        <f t="shared" si="1"/>
        <v/>
      </c>
      <c r="F101" s="21">
        <f>IFERROR(__xludf.DUMMYFUNCTION("""COMPUTED_VALUE"""),204.0)</f>
        <v>204</v>
      </c>
      <c r="H101" s="36"/>
      <c r="I101" s="14"/>
      <c r="J101" s="14"/>
      <c r="L101" s="36"/>
      <c r="M101" s="14"/>
      <c r="N101" s="14"/>
      <c r="P101" s="21">
        <f>IFERROR(__xludf.DUMMYFUNCTION("""COMPUTED_VALUE"""),217.0)</f>
        <v>217</v>
      </c>
      <c r="Q101" s="14">
        <f>IFERROR(__xludf.DUMMYFUNCTION("""COMPUTED_VALUE"""),95.0)</f>
        <v>95</v>
      </c>
      <c r="R101" s="14" t="str">
        <f>IFERROR(__xludf.DUMMYFUNCTION("""COMPUTED_VALUE"""),"3/40")</f>
        <v>3/40</v>
      </c>
      <c r="S101" s="14" t="str">
        <f>IFERROR(__xludf.DUMMYFUNCTION("""COMPUTED_VALUE"""),"")</f>
        <v/>
      </c>
      <c r="U101" s="21">
        <f>IFERROR(__xludf.DUMMYFUNCTION("""COMPUTED_VALUE"""),56.0)</f>
        <v>56</v>
      </c>
      <c r="V101" s="14">
        <f>IFERROR(__xludf.DUMMYFUNCTION("""COMPUTED_VALUE"""),53.0)</f>
        <v>53</v>
      </c>
      <c r="W101" s="14">
        <f>IFERROR(__xludf.DUMMYFUNCTION("""COMPUTED_VALUE"""),39.0)</f>
        <v>39</v>
      </c>
      <c r="X101" s="14">
        <f>IFERROR(__xludf.DUMMYFUNCTION("""COMPUTED_VALUE"""),14.0)</f>
        <v>14</v>
      </c>
    </row>
    <row r="102">
      <c r="A102" s="21">
        <f>Scores!A103</f>
        <v>92</v>
      </c>
      <c r="B102" s="14"/>
      <c r="C102" s="14">
        <v>86.0</v>
      </c>
      <c r="D102" s="14" t="str">
        <f t="shared" si="1"/>
        <v/>
      </c>
      <c r="F102" s="21">
        <f>IFERROR(__xludf.DUMMYFUNCTION("""COMPUTED_VALUE"""),205.0)</f>
        <v>205</v>
      </c>
      <c r="H102" s="36"/>
      <c r="I102" s="14"/>
      <c r="J102" s="14"/>
      <c r="L102" s="36"/>
      <c r="M102" s="14"/>
      <c r="N102" s="14"/>
      <c r="P102" s="21">
        <f>IFERROR(__xludf.DUMMYFUNCTION("""COMPUTED_VALUE"""),36.0)</f>
        <v>36</v>
      </c>
      <c r="Q102" s="14">
        <f>IFERROR(__xludf.DUMMYFUNCTION("""COMPUTED_VALUE"""),75.0)</f>
        <v>75</v>
      </c>
      <c r="R102" s="14" t="str">
        <f>IFERROR(__xludf.DUMMYFUNCTION("""COMPUTED_VALUE"""),"3/41")</f>
        <v>3/41</v>
      </c>
      <c r="S102" s="14">
        <f>IFERROR(__xludf.DUMMYFUNCTION("""COMPUTED_VALUE"""),132.0)</f>
        <v>132</v>
      </c>
      <c r="U102" s="21">
        <f>IFERROR(__xludf.DUMMYFUNCTION("""COMPUTED_VALUE"""),75.0)</f>
        <v>75</v>
      </c>
      <c r="V102" s="14">
        <f>IFERROR(__xludf.DUMMYFUNCTION("""COMPUTED_VALUE"""),99.0)</f>
        <v>99</v>
      </c>
      <c r="W102" s="14">
        <f>IFERROR(__xludf.DUMMYFUNCTION("""COMPUTED_VALUE"""),86.0)</f>
        <v>86</v>
      </c>
      <c r="X102" s="14">
        <f>IFERROR(__xludf.DUMMYFUNCTION("""COMPUTED_VALUE"""),13.0)</f>
        <v>13</v>
      </c>
    </row>
    <row r="103">
      <c r="A103" s="21">
        <f>Scores!A104</f>
        <v>93</v>
      </c>
      <c r="B103" s="14"/>
      <c r="C103" s="14">
        <v>98.0</v>
      </c>
      <c r="D103" s="14" t="str">
        <f t="shared" si="1"/>
        <v/>
      </c>
      <c r="F103" s="21">
        <f>IFERROR(__xludf.DUMMYFUNCTION("""COMPUTED_VALUE"""),206.0)</f>
        <v>206</v>
      </c>
      <c r="H103" s="36"/>
      <c r="I103" s="14"/>
      <c r="J103" s="14"/>
      <c r="L103" s="36"/>
      <c r="M103" s="14"/>
      <c r="N103" s="14"/>
      <c r="P103" s="21">
        <f>IFERROR(__xludf.DUMMYFUNCTION("""COMPUTED_VALUE"""),132.0)</f>
        <v>132</v>
      </c>
      <c r="Q103" s="14">
        <f>IFERROR(__xludf.DUMMYFUNCTION("""COMPUTED_VALUE"""),86.0)</f>
        <v>86</v>
      </c>
      <c r="R103" s="14" t="str">
        <f>IFERROR(__xludf.DUMMYFUNCTION("""COMPUTED_VALUE"""),"3/42")</f>
        <v>3/42</v>
      </c>
      <c r="S103" s="14" t="str">
        <f>IFERROR(__xludf.DUMMYFUNCTION("""COMPUTED_VALUE"""),"")</f>
        <v/>
      </c>
      <c r="U103" s="21">
        <f>IFERROR(__xludf.DUMMYFUNCTION("""COMPUTED_VALUE"""),223.0)</f>
        <v>223</v>
      </c>
      <c r="V103" s="14">
        <f>IFERROR(__xludf.DUMMYFUNCTION("""COMPUTED_VALUE"""),59.0)</f>
        <v>59</v>
      </c>
      <c r="W103" s="14">
        <f>IFERROR(__xludf.DUMMYFUNCTION("""COMPUTED_VALUE"""),46.0)</f>
        <v>46</v>
      </c>
      <c r="X103" s="14">
        <f>IFERROR(__xludf.DUMMYFUNCTION("""COMPUTED_VALUE"""),13.0)</f>
        <v>13</v>
      </c>
    </row>
    <row r="104">
      <c r="A104" s="21">
        <f>Scores!A105</f>
        <v>94</v>
      </c>
      <c r="B104" s="14"/>
      <c r="C104" s="14">
        <v>96.0</v>
      </c>
      <c r="D104" s="14" t="str">
        <f t="shared" si="1"/>
        <v/>
      </c>
      <c r="F104" s="21">
        <f>IFERROR(__xludf.DUMMYFUNCTION("""COMPUTED_VALUE"""),207.0)</f>
        <v>207</v>
      </c>
      <c r="H104" s="36"/>
      <c r="I104" s="14"/>
      <c r="J104" s="14"/>
      <c r="L104" s="36"/>
      <c r="M104" s="14"/>
      <c r="N104" s="14"/>
      <c r="P104" s="21">
        <f>IFERROR(__xludf.DUMMYFUNCTION("""COMPUTED_VALUE"""),108.0)</f>
        <v>108</v>
      </c>
      <c r="Q104" s="14">
        <f>IFERROR(__xludf.DUMMYFUNCTION("""COMPUTED_VALUE"""),46.0)</f>
        <v>46</v>
      </c>
      <c r="R104" s="14" t="str">
        <f>IFERROR(__xludf.DUMMYFUNCTION("""COMPUTED_VALUE"""),"3/43")</f>
        <v>3/43</v>
      </c>
      <c r="S104" s="14">
        <f>IFERROR(__xludf.DUMMYFUNCTION("""COMPUTED_VALUE"""),22.0)</f>
        <v>22</v>
      </c>
      <c r="U104" s="21">
        <f>IFERROR(__xludf.DUMMYFUNCTION("""COMPUTED_VALUE"""),232.0)</f>
        <v>232</v>
      </c>
      <c r="V104" s="14">
        <f>IFERROR(__xludf.DUMMYFUNCTION("""COMPUTED_VALUE"""),70.0)</f>
        <v>70</v>
      </c>
      <c r="W104" s="14">
        <f>IFERROR(__xludf.DUMMYFUNCTION("""COMPUTED_VALUE"""),57.0)</f>
        <v>57</v>
      </c>
      <c r="X104" s="14">
        <f>IFERROR(__xludf.DUMMYFUNCTION("""COMPUTED_VALUE"""),13.0)</f>
        <v>13</v>
      </c>
    </row>
    <row r="105">
      <c r="A105" s="21">
        <f>Scores!A106</f>
        <v>95</v>
      </c>
      <c r="B105" s="14">
        <v>109.0</v>
      </c>
      <c r="C105" s="14">
        <v>70.0</v>
      </c>
      <c r="D105" s="14">
        <f t="shared" si="1"/>
        <v>39</v>
      </c>
      <c r="F105" s="21">
        <f>IFERROR(__xludf.DUMMYFUNCTION("""COMPUTED_VALUE"""),208.0)</f>
        <v>208</v>
      </c>
      <c r="H105" s="36"/>
      <c r="I105" s="14"/>
      <c r="J105" s="14"/>
      <c r="L105" s="36"/>
      <c r="M105" s="14"/>
      <c r="N105" s="14"/>
      <c r="P105" s="21">
        <f>IFERROR(__xludf.DUMMYFUNCTION("""COMPUTED_VALUE"""),215.0)</f>
        <v>215</v>
      </c>
      <c r="Q105" s="14">
        <f>IFERROR(__xludf.DUMMYFUNCTION("""COMPUTED_VALUE"""),42.0)</f>
        <v>42</v>
      </c>
      <c r="R105" s="14" t="str">
        <f>IFERROR(__xludf.DUMMYFUNCTION("""COMPUTED_VALUE"""),"3/43")</f>
        <v>3/43</v>
      </c>
      <c r="S105" s="14">
        <f>IFERROR(__xludf.DUMMYFUNCTION("""COMPUTED_VALUE"""),6.0)</f>
        <v>6</v>
      </c>
      <c r="U105" s="21">
        <f>IFERROR(__xludf.DUMMYFUNCTION("""COMPUTED_VALUE"""),243.0)</f>
        <v>243</v>
      </c>
      <c r="V105" s="14">
        <f>IFERROR(__xludf.DUMMYFUNCTION("""COMPUTED_VALUE"""),88.0)</f>
        <v>88</v>
      </c>
      <c r="W105" s="14">
        <f>IFERROR(__xludf.DUMMYFUNCTION("""COMPUTED_VALUE"""),75.0)</f>
        <v>75</v>
      </c>
      <c r="X105" s="14">
        <f>IFERROR(__xludf.DUMMYFUNCTION("""COMPUTED_VALUE"""),13.0)</f>
        <v>13</v>
      </c>
    </row>
    <row r="106">
      <c r="A106" s="21">
        <f>Scores!A107</f>
        <v>96</v>
      </c>
      <c r="B106" s="14"/>
      <c r="C106" s="14">
        <v>282.0</v>
      </c>
      <c r="D106" s="14" t="str">
        <f t="shared" si="1"/>
        <v/>
      </c>
      <c r="F106" s="21">
        <f>IFERROR(__xludf.DUMMYFUNCTION("""COMPUTED_VALUE"""),209.0)</f>
        <v>209</v>
      </c>
      <c r="H106" s="36"/>
      <c r="I106" s="14"/>
      <c r="J106" s="14"/>
      <c r="L106" s="36"/>
      <c r="M106" s="14"/>
      <c r="N106" s="14"/>
      <c r="P106" s="21">
        <f>IFERROR(__xludf.DUMMYFUNCTION("""COMPUTED_VALUE"""),332.0)</f>
        <v>332</v>
      </c>
      <c r="Q106" s="14">
        <f>IFERROR(__xludf.DUMMYFUNCTION("""COMPUTED_VALUE"""),58.0)</f>
        <v>58</v>
      </c>
      <c r="R106" s="14" t="str">
        <f>IFERROR(__xludf.DUMMYFUNCTION("""COMPUTED_VALUE"""),"3/43")</f>
        <v>3/43</v>
      </c>
      <c r="S106" s="14">
        <f>IFERROR(__xludf.DUMMYFUNCTION("""COMPUTED_VALUE"""),9.0)</f>
        <v>9</v>
      </c>
      <c r="U106" s="21">
        <f>IFERROR(__xludf.DUMMYFUNCTION("""COMPUTED_VALUE"""),303.0)</f>
        <v>303</v>
      </c>
      <c r="V106" s="14">
        <f>IFERROR(__xludf.DUMMYFUNCTION("""COMPUTED_VALUE"""),75.0)</f>
        <v>75</v>
      </c>
      <c r="W106" s="14">
        <f>IFERROR(__xludf.DUMMYFUNCTION("""COMPUTED_VALUE"""),62.0)</f>
        <v>62</v>
      </c>
      <c r="X106" s="14">
        <f>IFERROR(__xludf.DUMMYFUNCTION("""COMPUTED_VALUE"""),13.0)</f>
        <v>13</v>
      </c>
    </row>
    <row r="107">
      <c r="A107" s="21">
        <f>Scores!A108</f>
        <v>97</v>
      </c>
      <c r="B107" s="14"/>
      <c r="C107" s="14">
        <v>93.0</v>
      </c>
      <c r="D107" s="14" t="str">
        <f t="shared" si="1"/>
        <v/>
      </c>
      <c r="F107" s="21">
        <f>IFERROR(__xludf.DUMMYFUNCTION("""COMPUTED_VALUE"""),212.0)</f>
        <v>212</v>
      </c>
      <c r="H107" s="36"/>
      <c r="I107" s="14"/>
      <c r="J107" s="14"/>
      <c r="L107" s="36"/>
      <c r="M107" s="14"/>
      <c r="N107" s="14"/>
      <c r="P107" s="21">
        <f>IFERROR(__xludf.DUMMYFUNCTION("""COMPUTED_VALUE"""),28.0)</f>
        <v>28</v>
      </c>
      <c r="Q107" s="14">
        <f>IFERROR(__xludf.DUMMYFUNCTION("""COMPUTED_VALUE"""),63.0)</f>
        <v>63</v>
      </c>
      <c r="R107" s="14" t="str">
        <f>IFERROR(__xludf.DUMMYFUNCTION("""COMPUTED_VALUE"""),"3/44")</f>
        <v>3/44</v>
      </c>
      <c r="S107" s="14">
        <f>IFERROR(__xludf.DUMMYFUNCTION("""COMPUTED_VALUE"""),36.0)</f>
        <v>36</v>
      </c>
      <c r="U107" s="21">
        <f>IFERROR(__xludf.DUMMYFUNCTION("""COMPUTED_VALUE"""),393.0)</f>
        <v>393</v>
      </c>
      <c r="V107" s="14">
        <f>IFERROR(__xludf.DUMMYFUNCTION("""COMPUTED_VALUE"""),76.0)</f>
        <v>76</v>
      </c>
      <c r="W107" s="14">
        <f>IFERROR(__xludf.DUMMYFUNCTION("""COMPUTED_VALUE"""),63.0)</f>
        <v>63</v>
      </c>
      <c r="X107" s="14">
        <f>IFERROR(__xludf.DUMMYFUNCTION("""COMPUTED_VALUE"""),13.0)</f>
        <v>13</v>
      </c>
    </row>
    <row r="108">
      <c r="A108" s="21">
        <f>Scores!A109</f>
        <v>98</v>
      </c>
      <c r="B108" s="14"/>
      <c r="C108" s="14">
        <v>64.0</v>
      </c>
      <c r="D108" s="14" t="str">
        <f t="shared" si="1"/>
        <v/>
      </c>
      <c r="F108" s="21">
        <f>IFERROR(__xludf.DUMMYFUNCTION("""COMPUTED_VALUE"""),213.0)</f>
        <v>213</v>
      </c>
      <c r="H108" s="36"/>
      <c r="I108" s="14"/>
      <c r="J108" s="14"/>
      <c r="L108" s="36"/>
      <c r="M108" s="14"/>
      <c r="N108" s="14"/>
      <c r="P108" s="21">
        <f>IFERROR(__xludf.DUMMYFUNCTION("""COMPUTED_VALUE"""),223.0)</f>
        <v>223</v>
      </c>
      <c r="Q108" s="14">
        <f>IFERROR(__xludf.DUMMYFUNCTION("""COMPUTED_VALUE"""),46.0)</f>
        <v>46</v>
      </c>
      <c r="R108" s="14" t="str">
        <f>IFERROR(__xludf.DUMMYFUNCTION("""COMPUTED_VALUE"""),"3/44")</f>
        <v>3/44</v>
      </c>
      <c r="S108" s="14">
        <f>IFERROR(__xludf.DUMMYFUNCTION("""COMPUTED_VALUE"""),13.0)</f>
        <v>13</v>
      </c>
      <c r="U108" s="21">
        <f>IFERROR(__xludf.DUMMYFUNCTION("""COMPUTED_VALUE"""),242.0)</f>
        <v>242</v>
      </c>
      <c r="V108" s="14">
        <f>IFERROR(__xludf.DUMMYFUNCTION("""COMPUTED_VALUE"""),66.0)</f>
        <v>66</v>
      </c>
      <c r="W108" s="14">
        <f>IFERROR(__xludf.DUMMYFUNCTION("""COMPUTED_VALUE"""),54.0)</f>
        <v>54</v>
      </c>
      <c r="X108" s="14">
        <f>IFERROR(__xludf.DUMMYFUNCTION("""COMPUTED_VALUE"""),12.0)</f>
        <v>12</v>
      </c>
    </row>
    <row r="109">
      <c r="A109" s="21">
        <f>Scores!A110</f>
        <v>99</v>
      </c>
      <c r="B109" s="14"/>
      <c r="C109" s="14">
        <v>93.0</v>
      </c>
      <c r="D109" s="14" t="str">
        <f t="shared" si="1"/>
        <v/>
      </c>
      <c r="F109" s="21">
        <f>IFERROR(__xludf.DUMMYFUNCTION("""COMPUTED_VALUE"""),214.0)</f>
        <v>214</v>
      </c>
      <c r="H109" s="36"/>
      <c r="I109" s="14"/>
      <c r="J109" s="14"/>
      <c r="L109" s="36"/>
      <c r="M109" s="14"/>
      <c r="N109" s="14"/>
      <c r="P109" s="21">
        <f>IFERROR(__xludf.DUMMYFUNCTION("""COMPUTED_VALUE"""),321.0)</f>
        <v>321</v>
      </c>
      <c r="Q109" s="14">
        <f>IFERROR(__xludf.DUMMYFUNCTION("""COMPUTED_VALUE"""),54.0)</f>
        <v>54</v>
      </c>
      <c r="R109" s="14" t="str">
        <f>IFERROR(__xludf.DUMMYFUNCTION("""COMPUTED_VALUE"""),"3/44")</f>
        <v>3/44</v>
      </c>
      <c r="S109" s="14">
        <f>IFERROR(__xludf.DUMMYFUNCTION("""COMPUTED_VALUE"""),10.0)</f>
        <v>10</v>
      </c>
      <c r="U109" s="21">
        <f>IFERROR(__xludf.DUMMYFUNCTION("""COMPUTED_VALUE"""),267.0)</f>
        <v>267</v>
      </c>
      <c r="V109" s="14">
        <f>IFERROR(__xludf.DUMMYFUNCTION("""COMPUTED_VALUE"""),58.0)</f>
        <v>58</v>
      </c>
      <c r="W109" s="14">
        <f>IFERROR(__xludf.DUMMYFUNCTION("""COMPUTED_VALUE"""),46.0)</f>
        <v>46</v>
      </c>
      <c r="X109" s="14">
        <f>IFERROR(__xludf.DUMMYFUNCTION("""COMPUTED_VALUE"""),12.0)</f>
        <v>12</v>
      </c>
    </row>
    <row r="110">
      <c r="A110" s="21">
        <f>Scores!A111</f>
        <v>100</v>
      </c>
      <c r="B110" s="14"/>
      <c r="C110" s="14">
        <v>85.0</v>
      </c>
      <c r="D110" s="14" t="str">
        <f t="shared" si="1"/>
        <v/>
      </c>
      <c r="F110" s="21">
        <f>IFERROR(__xludf.DUMMYFUNCTION("""COMPUTED_VALUE"""),216.0)</f>
        <v>216</v>
      </c>
      <c r="H110" s="36"/>
      <c r="I110" s="14"/>
      <c r="J110" s="14"/>
      <c r="L110" s="36"/>
      <c r="M110" s="14"/>
      <c r="N110" s="14"/>
      <c r="P110" s="21">
        <f>IFERROR(__xludf.DUMMYFUNCTION("""COMPUTED_VALUE"""),337.0)</f>
        <v>337</v>
      </c>
      <c r="Q110" s="14">
        <f>IFERROR(__xludf.DUMMYFUNCTION("""COMPUTED_VALUE"""),43.0)</f>
        <v>43</v>
      </c>
      <c r="R110" s="14" t="str">
        <f>IFERROR(__xludf.DUMMYFUNCTION("""COMPUTED_VALUE"""),"3/44")</f>
        <v>3/44</v>
      </c>
      <c r="S110" s="14">
        <f>IFERROR(__xludf.DUMMYFUNCTION("""COMPUTED_VALUE"""),5.0)</f>
        <v>5</v>
      </c>
      <c r="U110" s="21">
        <f>IFERROR(__xludf.DUMMYFUNCTION("""COMPUTED_VALUE"""),318.0)</f>
        <v>318</v>
      </c>
      <c r="V110" s="14">
        <f>IFERROR(__xludf.DUMMYFUNCTION("""COMPUTED_VALUE"""),66.0)</f>
        <v>66</v>
      </c>
      <c r="W110" s="14">
        <f>IFERROR(__xludf.DUMMYFUNCTION("""COMPUTED_VALUE"""),54.0)</f>
        <v>54</v>
      </c>
      <c r="X110" s="14">
        <f>IFERROR(__xludf.DUMMYFUNCTION("""COMPUTED_VALUE"""),12.0)</f>
        <v>12</v>
      </c>
    </row>
    <row r="111">
      <c r="A111" s="21">
        <f>Scores!A112</f>
        <v>101</v>
      </c>
      <c r="B111" s="14"/>
      <c r="C111" s="14">
        <v>258.0</v>
      </c>
      <c r="D111" s="14" t="str">
        <f t="shared" si="1"/>
        <v/>
      </c>
      <c r="F111" s="21">
        <f>IFERROR(__xludf.DUMMYFUNCTION("""COMPUTED_VALUE"""),217.0)</f>
        <v>217</v>
      </c>
      <c r="H111" s="36"/>
      <c r="I111" s="14"/>
      <c r="J111" s="14"/>
      <c r="L111" s="36"/>
      <c r="M111" s="14"/>
      <c r="N111" s="14"/>
      <c r="P111" s="21">
        <f>IFERROR(__xludf.DUMMYFUNCTION("""COMPUTED_VALUE"""),372.0)</f>
        <v>372</v>
      </c>
      <c r="Q111" s="14">
        <f>IFERROR(__xludf.DUMMYFUNCTION("""COMPUTED_VALUE"""),47.0)</f>
        <v>47</v>
      </c>
      <c r="R111" s="14" t="str">
        <f>IFERROR(__xludf.DUMMYFUNCTION("""COMPUTED_VALUE"""),"3/45")</f>
        <v>3/45</v>
      </c>
      <c r="S111" s="14">
        <f>IFERROR(__xludf.DUMMYFUNCTION("""COMPUTED_VALUE"""),6.0)</f>
        <v>6</v>
      </c>
      <c r="U111" s="21">
        <f>IFERROR(__xludf.DUMMYFUNCTION("""COMPUTED_VALUE"""),375.0)</f>
        <v>375</v>
      </c>
      <c r="V111" s="14">
        <f>IFERROR(__xludf.DUMMYFUNCTION("""COMPUTED_VALUE"""),64.0)</f>
        <v>64</v>
      </c>
      <c r="W111" s="14">
        <f>IFERROR(__xludf.DUMMYFUNCTION("""COMPUTED_VALUE"""),53.0)</f>
        <v>53</v>
      </c>
      <c r="X111" s="14">
        <f>IFERROR(__xludf.DUMMYFUNCTION("""COMPUTED_VALUE"""),11.0)</f>
        <v>11</v>
      </c>
    </row>
    <row r="112">
      <c r="A112" s="21">
        <f>Scores!A113</f>
        <v>102</v>
      </c>
      <c r="B112" s="14"/>
      <c r="C112" s="14">
        <v>124.0</v>
      </c>
      <c r="D112" s="14" t="str">
        <f t="shared" si="1"/>
        <v/>
      </c>
      <c r="F112" s="21">
        <f>IFERROR(__xludf.DUMMYFUNCTION("""COMPUTED_VALUE"""),218.0)</f>
        <v>218</v>
      </c>
      <c r="H112" s="36"/>
      <c r="I112" s="14"/>
      <c r="J112" s="14"/>
      <c r="L112" s="36"/>
      <c r="M112" s="14"/>
      <c r="N112" s="14"/>
      <c r="P112" s="21">
        <f>IFERROR(__xludf.DUMMYFUNCTION("""COMPUTED_VALUE"""),386.0)</f>
        <v>386</v>
      </c>
      <c r="Q112" s="14">
        <f>IFERROR(__xludf.DUMMYFUNCTION("""COMPUTED_VALUE"""),50.0)</f>
        <v>50</v>
      </c>
      <c r="R112" s="14" t="str">
        <f>IFERROR(__xludf.DUMMYFUNCTION("""COMPUTED_VALUE"""),"3/45")</f>
        <v>3/45</v>
      </c>
      <c r="S112" s="14">
        <f>IFERROR(__xludf.DUMMYFUNCTION("""COMPUTED_VALUE"""),6.0)</f>
        <v>6</v>
      </c>
      <c r="U112" s="21">
        <f>IFERROR(__xludf.DUMMYFUNCTION("""COMPUTED_VALUE"""),391.0)</f>
        <v>391</v>
      </c>
      <c r="V112" s="14">
        <f>IFERROR(__xludf.DUMMYFUNCTION("""COMPUTED_VALUE"""),74.0)</f>
        <v>74</v>
      </c>
      <c r="W112" s="14">
        <f>IFERROR(__xludf.DUMMYFUNCTION("""COMPUTED_VALUE"""),63.0)</f>
        <v>63</v>
      </c>
      <c r="X112" s="14">
        <f>IFERROR(__xludf.DUMMYFUNCTION("""COMPUTED_VALUE"""),11.0)</f>
        <v>11</v>
      </c>
    </row>
    <row r="113">
      <c r="A113" s="21">
        <f>Scores!A114</f>
        <v>103</v>
      </c>
      <c r="B113" s="14">
        <v>29.0</v>
      </c>
      <c r="C113" s="14">
        <v>29.0</v>
      </c>
      <c r="D113" s="14">
        <f t="shared" si="1"/>
        <v>0</v>
      </c>
      <c r="F113" s="21">
        <f>IFERROR(__xludf.DUMMYFUNCTION("""COMPUTED_VALUE"""),219.0)</f>
        <v>219</v>
      </c>
      <c r="H113" s="36"/>
      <c r="I113" s="14"/>
      <c r="J113" s="14"/>
      <c r="L113" s="36"/>
      <c r="M113" s="14"/>
      <c r="N113" s="14"/>
      <c r="P113" s="21">
        <f>IFERROR(__xludf.DUMMYFUNCTION("""COMPUTED_VALUE"""),1.0)</f>
        <v>1</v>
      </c>
      <c r="Q113" s="14">
        <f>IFERROR(__xludf.DUMMYFUNCTION("""COMPUTED_VALUE"""),58.0)</f>
        <v>58</v>
      </c>
      <c r="R113" s="14" t="str">
        <f>IFERROR(__xludf.DUMMYFUNCTION("""COMPUTED_VALUE"""),"3/48")</f>
        <v>3/48</v>
      </c>
      <c r="S113" s="14">
        <f>IFERROR(__xludf.DUMMYFUNCTION("""COMPUTED_VALUE"""),3.0)</f>
        <v>3</v>
      </c>
      <c r="U113" s="21">
        <f>IFERROR(__xludf.DUMMYFUNCTION("""COMPUTED_VALUE"""),398.0)</f>
        <v>398</v>
      </c>
      <c r="V113" s="14">
        <f>IFERROR(__xludf.DUMMYFUNCTION("""COMPUTED_VALUE"""),83.0)</f>
        <v>83</v>
      </c>
      <c r="W113" s="14">
        <f>IFERROR(__xludf.DUMMYFUNCTION("""COMPUTED_VALUE"""),72.0)</f>
        <v>72</v>
      </c>
      <c r="X113" s="14">
        <f>IFERROR(__xludf.DUMMYFUNCTION("""COMPUTED_VALUE"""),11.0)</f>
        <v>11</v>
      </c>
    </row>
    <row r="114">
      <c r="A114" s="21">
        <f>Scores!A115</f>
        <v>104</v>
      </c>
      <c r="B114" s="14">
        <v>128.0</v>
      </c>
      <c r="C114" s="14">
        <v>84.0</v>
      </c>
      <c r="D114" s="14">
        <f t="shared" si="1"/>
        <v>44</v>
      </c>
      <c r="F114" s="21">
        <f>IFERROR(__xludf.DUMMYFUNCTION("""COMPUTED_VALUE"""),220.0)</f>
        <v>220</v>
      </c>
      <c r="H114" s="36"/>
      <c r="I114" s="14"/>
      <c r="J114" s="14"/>
      <c r="L114" s="36"/>
      <c r="M114" s="14"/>
      <c r="N114" s="14"/>
      <c r="P114" s="21">
        <f>IFERROR(__xludf.DUMMYFUNCTION("""COMPUTED_VALUE"""),119.0)</f>
        <v>119</v>
      </c>
      <c r="Q114" s="14">
        <f>IFERROR(__xludf.DUMMYFUNCTION("""COMPUTED_VALUE"""),102.0)</f>
        <v>102</v>
      </c>
      <c r="R114" s="14" t="str">
        <f>IFERROR(__xludf.DUMMYFUNCTION("""COMPUTED_VALUE"""),"4/35")</f>
        <v>4/35</v>
      </c>
      <c r="S114" s="14" t="str">
        <f>IFERROR(__xludf.DUMMYFUNCTION("""COMPUTED_VALUE"""),"")</f>
        <v/>
      </c>
      <c r="U114" s="21">
        <f>IFERROR(__xludf.DUMMYFUNCTION("""COMPUTED_VALUE"""),72.0)</f>
        <v>72</v>
      </c>
      <c r="V114" s="14">
        <f>IFERROR(__xludf.DUMMYFUNCTION("""COMPUTED_VALUE"""),64.0)</f>
        <v>64</v>
      </c>
      <c r="W114" s="14">
        <f>IFERROR(__xludf.DUMMYFUNCTION("""COMPUTED_VALUE"""),54.0)</f>
        <v>54</v>
      </c>
      <c r="X114" s="14">
        <f>IFERROR(__xludf.DUMMYFUNCTION("""COMPUTED_VALUE"""),10.0)</f>
        <v>10</v>
      </c>
    </row>
    <row r="115">
      <c r="A115" s="21">
        <f>Scores!A116</f>
        <v>105</v>
      </c>
      <c r="B115" s="14"/>
      <c r="C115" s="14">
        <v>124.0</v>
      </c>
      <c r="D115" s="14" t="str">
        <f t="shared" si="1"/>
        <v/>
      </c>
      <c r="F115" s="21">
        <f>IFERROR(__xludf.DUMMYFUNCTION("""COMPUTED_VALUE"""),221.0)</f>
        <v>221</v>
      </c>
      <c r="H115" s="36"/>
      <c r="I115" s="14"/>
      <c r="J115" s="14"/>
      <c r="L115" s="36"/>
      <c r="M115" s="14"/>
      <c r="N115" s="14"/>
      <c r="P115" s="21">
        <f>IFERROR(__xludf.DUMMYFUNCTION("""COMPUTED_VALUE"""),288.0)</f>
        <v>288</v>
      </c>
      <c r="Q115" s="14">
        <f>IFERROR(__xludf.DUMMYFUNCTION("""COMPUTED_VALUE"""),86.0)</f>
        <v>86</v>
      </c>
      <c r="R115" s="14" t="str">
        <f>IFERROR(__xludf.DUMMYFUNCTION("""COMPUTED_VALUE"""),"4/35")</f>
        <v>4/35</v>
      </c>
      <c r="S115" s="14" t="str">
        <f>IFERROR(__xludf.DUMMYFUNCTION("""COMPUTED_VALUE"""),"")</f>
        <v/>
      </c>
      <c r="U115" s="21">
        <f>IFERROR(__xludf.DUMMYFUNCTION("""COMPUTED_VALUE"""),144.0)</f>
        <v>144</v>
      </c>
      <c r="V115" s="14">
        <f>IFERROR(__xludf.DUMMYFUNCTION("""COMPUTED_VALUE"""),63.0)</f>
        <v>63</v>
      </c>
      <c r="W115" s="14">
        <f>IFERROR(__xludf.DUMMYFUNCTION("""COMPUTED_VALUE"""),53.0)</f>
        <v>53</v>
      </c>
      <c r="X115" s="14">
        <f>IFERROR(__xludf.DUMMYFUNCTION("""COMPUTED_VALUE"""),10.0)</f>
        <v>10</v>
      </c>
    </row>
    <row r="116">
      <c r="A116" s="21">
        <f>Scores!A117</f>
        <v>106</v>
      </c>
      <c r="B116" s="14">
        <v>110.0</v>
      </c>
      <c r="C116" s="14">
        <v>55.0</v>
      </c>
      <c r="D116" s="14">
        <f t="shared" si="1"/>
        <v>55</v>
      </c>
      <c r="F116" s="21">
        <f>IFERROR(__xludf.DUMMYFUNCTION("""COMPUTED_VALUE"""),222.0)</f>
        <v>222</v>
      </c>
      <c r="H116" s="36"/>
      <c r="I116" s="14"/>
      <c r="J116" s="14"/>
      <c r="L116" s="36"/>
      <c r="M116" s="14"/>
      <c r="N116" s="14"/>
      <c r="P116" s="21">
        <f>IFERROR(__xludf.DUMMYFUNCTION("""COMPUTED_VALUE"""),243.0)</f>
        <v>243</v>
      </c>
      <c r="Q116" s="14">
        <f>IFERROR(__xludf.DUMMYFUNCTION("""COMPUTED_VALUE"""),75.0)</f>
        <v>75</v>
      </c>
      <c r="R116" s="14" t="str">
        <f>IFERROR(__xludf.DUMMYFUNCTION("""COMPUTED_VALUE"""),"4/40")</f>
        <v>4/40</v>
      </c>
      <c r="S116" s="14">
        <f>IFERROR(__xludf.DUMMYFUNCTION("""COMPUTED_VALUE"""),13.0)</f>
        <v>13</v>
      </c>
      <c r="U116" s="21">
        <f>IFERROR(__xludf.DUMMYFUNCTION("""COMPUTED_VALUE"""),229.0)</f>
        <v>229</v>
      </c>
      <c r="V116" s="14">
        <f>IFERROR(__xludf.DUMMYFUNCTION("""COMPUTED_VALUE"""),83.0)</f>
        <v>83</v>
      </c>
      <c r="W116" s="14">
        <f>IFERROR(__xludf.DUMMYFUNCTION("""COMPUTED_VALUE"""),73.0)</f>
        <v>73</v>
      </c>
      <c r="X116" s="14">
        <f>IFERROR(__xludf.DUMMYFUNCTION("""COMPUTED_VALUE"""),10.0)</f>
        <v>10</v>
      </c>
    </row>
    <row r="117">
      <c r="A117" s="21">
        <f>Scores!A118</f>
        <v>107</v>
      </c>
      <c r="B117" s="14"/>
      <c r="C117" s="14">
        <v>132.0</v>
      </c>
      <c r="D117" s="14" t="str">
        <f t="shared" si="1"/>
        <v/>
      </c>
      <c r="F117" s="21">
        <f>IFERROR(__xludf.DUMMYFUNCTION("""COMPUTED_VALUE"""),224.0)</f>
        <v>224</v>
      </c>
      <c r="H117" s="36"/>
      <c r="I117" s="14"/>
      <c r="J117" s="14"/>
      <c r="L117" s="36"/>
      <c r="M117" s="14"/>
      <c r="N117" s="14"/>
      <c r="P117" s="21">
        <f>IFERROR(__xludf.DUMMYFUNCTION("""COMPUTED_VALUE"""),289.0)</f>
        <v>289</v>
      </c>
      <c r="Q117" s="14">
        <f>IFERROR(__xludf.DUMMYFUNCTION("""COMPUTED_VALUE"""),63.0)</f>
        <v>63</v>
      </c>
      <c r="R117" s="14" t="str">
        <f>IFERROR(__xludf.DUMMYFUNCTION("""COMPUTED_VALUE"""),"4/40")</f>
        <v>4/40</v>
      </c>
      <c r="S117" s="14" t="str">
        <f>IFERROR(__xludf.DUMMYFUNCTION("""COMPUTED_VALUE"""),"")</f>
        <v/>
      </c>
      <c r="U117" s="21">
        <f>IFERROR(__xludf.DUMMYFUNCTION("""COMPUTED_VALUE"""),292.0)</f>
        <v>292</v>
      </c>
      <c r="V117" s="14">
        <f>IFERROR(__xludf.DUMMYFUNCTION("""COMPUTED_VALUE"""),61.0)</f>
        <v>61</v>
      </c>
      <c r="W117" s="14">
        <f>IFERROR(__xludf.DUMMYFUNCTION("""COMPUTED_VALUE"""),51.0)</f>
        <v>51</v>
      </c>
      <c r="X117" s="14">
        <f>IFERROR(__xludf.DUMMYFUNCTION("""COMPUTED_VALUE"""),10.0)</f>
        <v>10</v>
      </c>
    </row>
    <row r="118">
      <c r="A118" s="21">
        <f>Scores!A119</f>
        <v>108</v>
      </c>
      <c r="B118" s="14">
        <v>68.0</v>
      </c>
      <c r="C118" s="14">
        <v>46.0</v>
      </c>
      <c r="D118" s="14">
        <f t="shared" si="1"/>
        <v>22</v>
      </c>
      <c r="F118" s="21">
        <f>IFERROR(__xludf.DUMMYFUNCTION("""COMPUTED_VALUE"""),225.0)</f>
        <v>225</v>
      </c>
      <c r="H118" s="36"/>
      <c r="I118" s="14"/>
      <c r="J118" s="14"/>
      <c r="L118" s="36"/>
      <c r="M118" s="14"/>
      <c r="N118" s="14"/>
      <c r="P118" s="21">
        <f>IFERROR(__xludf.DUMMYFUNCTION("""COMPUTED_VALUE"""),61.0)</f>
        <v>61</v>
      </c>
      <c r="Q118" s="14">
        <f>IFERROR(__xludf.DUMMYFUNCTION("""COMPUTED_VALUE"""),62.0)</f>
        <v>62</v>
      </c>
      <c r="R118" s="14" t="str">
        <f>IFERROR(__xludf.DUMMYFUNCTION("""COMPUTED_VALUE"""),"4/42")</f>
        <v>4/42</v>
      </c>
      <c r="S118" s="14">
        <f>IFERROR(__xludf.DUMMYFUNCTION("""COMPUTED_VALUE"""),66.0)</f>
        <v>66</v>
      </c>
      <c r="U118" s="21">
        <f>IFERROR(__xludf.DUMMYFUNCTION("""COMPUTED_VALUE"""),321.0)</f>
        <v>321</v>
      </c>
      <c r="V118" s="14">
        <f>IFERROR(__xludf.DUMMYFUNCTION("""COMPUTED_VALUE"""),64.0)</f>
        <v>64</v>
      </c>
      <c r="W118" s="14">
        <f>IFERROR(__xludf.DUMMYFUNCTION("""COMPUTED_VALUE"""),54.0)</f>
        <v>54</v>
      </c>
      <c r="X118" s="14">
        <f>IFERROR(__xludf.DUMMYFUNCTION("""COMPUTED_VALUE"""),10.0)</f>
        <v>10</v>
      </c>
    </row>
    <row r="119">
      <c r="A119" s="21">
        <f>Scores!A120</f>
        <v>109</v>
      </c>
      <c r="B119" s="14"/>
      <c r="C119" s="14">
        <v>77.0</v>
      </c>
      <c r="D119" s="14" t="str">
        <f t="shared" si="1"/>
        <v/>
      </c>
      <c r="F119" s="21">
        <f>IFERROR(__xludf.DUMMYFUNCTION("""COMPUTED_VALUE"""),226.0)</f>
        <v>226</v>
      </c>
      <c r="H119" s="36"/>
      <c r="I119" s="14"/>
      <c r="J119" s="14"/>
      <c r="L119" s="36"/>
      <c r="M119" s="14"/>
      <c r="N119" s="14"/>
      <c r="P119" s="21">
        <f>IFERROR(__xludf.DUMMYFUNCTION("""COMPUTED_VALUE"""),114.0)</f>
        <v>114</v>
      </c>
      <c r="Q119" s="14">
        <f>IFERROR(__xludf.DUMMYFUNCTION("""COMPUTED_VALUE"""),64.0)</f>
        <v>64</v>
      </c>
      <c r="R119" s="14" t="str">
        <f>IFERROR(__xludf.DUMMYFUNCTION("""COMPUTED_VALUE"""),"4/42")</f>
        <v>4/42</v>
      </c>
      <c r="S119" s="14" t="str">
        <f>IFERROR(__xludf.DUMMYFUNCTION("""COMPUTED_VALUE"""),"")</f>
        <v/>
      </c>
      <c r="U119" s="21">
        <f>IFERROR(__xludf.DUMMYFUNCTION("""COMPUTED_VALUE"""),395.0)</f>
        <v>395</v>
      </c>
      <c r="V119" s="14">
        <f>IFERROR(__xludf.DUMMYFUNCTION("""COMPUTED_VALUE"""),63.0)</f>
        <v>63</v>
      </c>
      <c r="W119" s="14">
        <f>IFERROR(__xludf.DUMMYFUNCTION("""COMPUTED_VALUE"""),53.0)</f>
        <v>53</v>
      </c>
      <c r="X119" s="14">
        <f>IFERROR(__xludf.DUMMYFUNCTION("""COMPUTED_VALUE"""),10.0)</f>
        <v>10</v>
      </c>
    </row>
    <row r="120">
      <c r="A120" s="21">
        <f>Scores!A121</f>
        <v>110</v>
      </c>
      <c r="B120" s="14"/>
      <c r="C120" s="14">
        <v>83.0</v>
      </c>
      <c r="D120" s="14" t="str">
        <f t="shared" si="1"/>
        <v/>
      </c>
      <c r="F120" s="21">
        <f>IFERROR(__xludf.DUMMYFUNCTION("""COMPUTED_VALUE"""),228.0)</f>
        <v>228</v>
      </c>
      <c r="H120" s="36"/>
      <c r="I120" s="14"/>
      <c r="J120" s="14"/>
      <c r="L120" s="36"/>
      <c r="M120" s="14"/>
      <c r="N120" s="14"/>
      <c r="P120" s="21">
        <f>IFERROR(__xludf.DUMMYFUNCTION("""COMPUTED_VALUE"""),236.0)</f>
        <v>236</v>
      </c>
      <c r="Q120" s="14">
        <f>IFERROR(__xludf.DUMMYFUNCTION("""COMPUTED_VALUE"""),54.0)</f>
        <v>54</v>
      </c>
      <c r="R120" s="14" t="str">
        <f>IFERROR(__xludf.DUMMYFUNCTION("""COMPUTED_VALUE"""),"4/42")</f>
        <v>4/42</v>
      </c>
      <c r="S120" s="14" t="str">
        <f>IFERROR(__xludf.DUMMYFUNCTION("""COMPUTED_VALUE"""),"")</f>
        <v/>
      </c>
      <c r="U120" s="21">
        <f>IFERROR(__xludf.DUMMYFUNCTION("""COMPUTED_VALUE"""),258.0)</f>
        <v>258</v>
      </c>
      <c r="V120" s="14">
        <f>IFERROR(__xludf.DUMMYFUNCTION("""COMPUTED_VALUE"""),70.0)</f>
        <v>70</v>
      </c>
      <c r="W120" s="14">
        <f>IFERROR(__xludf.DUMMYFUNCTION("""COMPUTED_VALUE"""),61.0)</f>
        <v>61</v>
      </c>
      <c r="X120" s="14">
        <f>IFERROR(__xludf.DUMMYFUNCTION("""COMPUTED_VALUE"""),9.0)</f>
        <v>9</v>
      </c>
    </row>
    <row r="121">
      <c r="A121" s="21">
        <f>Scores!A122</f>
        <v>111</v>
      </c>
      <c r="B121" s="14">
        <v>94.0</v>
      </c>
      <c r="C121" s="14">
        <v>60.0</v>
      </c>
      <c r="D121" s="14">
        <f t="shared" si="1"/>
        <v>34</v>
      </c>
      <c r="F121" s="21">
        <f>IFERROR(__xludf.DUMMYFUNCTION("""COMPUTED_VALUE"""),230.0)</f>
        <v>230</v>
      </c>
      <c r="H121" s="36"/>
      <c r="I121" s="14"/>
      <c r="J121" s="14"/>
      <c r="L121" s="36"/>
      <c r="M121" s="14"/>
      <c r="N121" s="14"/>
      <c r="P121" s="21">
        <f>IFERROR(__xludf.DUMMYFUNCTION("""COMPUTED_VALUE"""),269.0)</f>
        <v>269</v>
      </c>
      <c r="Q121" s="14">
        <f>IFERROR(__xludf.DUMMYFUNCTION("""COMPUTED_VALUE"""),63.0)</f>
        <v>63</v>
      </c>
      <c r="R121" s="14" t="str">
        <f>IFERROR(__xludf.DUMMYFUNCTION("""COMPUTED_VALUE"""),"4/42")</f>
        <v>4/42</v>
      </c>
      <c r="S121" s="14" t="str">
        <f>IFERROR(__xludf.DUMMYFUNCTION("""COMPUTED_VALUE"""),"")</f>
        <v/>
      </c>
      <c r="U121" s="21">
        <f>IFERROR(__xludf.DUMMYFUNCTION("""COMPUTED_VALUE"""),295.0)</f>
        <v>295</v>
      </c>
      <c r="V121" s="14">
        <f>IFERROR(__xludf.DUMMYFUNCTION("""COMPUTED_VALUE"""),63.0)</f>
        <v>63</v>
      </c>
      <c r="W121" s="14">
        <f>IFERROR(__xludf.DUMMYFUNCTION("""COMPUTED_VALUE"""),54.0)</f>
        <v>54</v>
      </c>
      <c r="X121" s="14">
        <f>IFERROR(__xludf.DUMMYFUNCTION("""COMPUTED_VALUE"""),9.0)</f>
        <v>9</v>
      </c>
    </row>
    <row r="122">
      <c r="A122" s="21">
        <f>Scores!A123</f>
        <v>112</v>
      </c>
      <c r="B122" s="14"/>
      <c r="C122" s="14">
        <v>91.0</v>
      </c>
      <c r="D122" s="14" t="str">
        <f t="shared" si="1"/>
        <v/>
      </c>
      <c r="F122" s="21">
        <f>IFERROR(__xludf.DUMMYFUNCTION("""COMPUTED_VALUE"""),233.0)</f>
        <v>233</v>
      </c>
      <c r="H122" s="36"/>
      <c r="I122" s="14"/>
      <c r="J122" s="14"/>
      <c r="L122" s="36"/>
      <c r="M122" s="14"/>
      <c r="N122" s="14"/>
      <c r="P122" s="21">
        <f>IFERROR(__xludf.DUMMYFUNCTION("""COMPUTED_VALUE"""),300.0)</f>
        <v>300</v>
      </c>
      <c r="Q122" s="14">
        <f>IFERROR(__xludf.DUMMYFUNCTION("""COMPUTED_VALUE"""),87.0)</f>
        <v>87</v>
      </c>
      <c r="R122" s="14" t="str">
        <f>IFERROR(__xludf.DUMMYFUNCTION("""COMPUTED_VALUE"""),"4/42")</f>
        <v>4/42</v>
      </c>
      <c r="S122" s="14">
        <f>IFERROR(__xludf.DUMMYFUNCTION("""COMPUTED_VALUE"""),4.0)</f>
        <v>4</v>
      </c>
      <c r="U122" s="21">
        <f>IFERROR(__xludf.DUMMYFUNCTION("""COMPUTED_VALUE"""),304.0)</f>
        <v>304</v>
      </c>
      <c r="V122" s="14">
        <f>IFERROR(__xludf.DUMMYFUNCTION("""COMPUTED_VALUE"""),101.0)</f>
        <v>101</v>
      </c>
      <c r="W122" s="14">
        <f>IFERROR(__xludf.DUMMYFUNCTION("""COMPUTED_VALUE"""),92.0)</f>
        <v>92</v>
      </c>
      <c r="X122" s="14">
        <f>IFERROR(__xludf.DUMMYFUNCTION("""COMPUTED_VALUE"""),9.0)</f>
        <v>9</v>
      </c>
    </row>
    <row r="123">
      <c r="A123" s="21">
        <f>Scores!A124</f>
        <v>113</v>
      </c>
      <c r="B123" s="14">
        <v>25.0</v>
      </c>
      <c r="C123" s="14">
        <v>25.0</v>
      </c>
      <c r="D123" s="14">
        <f t="shared" si="1"/>
        <v>0</v>
      </c>
      <c r="F123" s="21">
        <f>IFERROR(__xludf.DUMMYFUNCTION("""COMPUTED_VALUE"""),234.0)</f>
        <v>234</v>
      </c>
      <c r="H123" s="36"/>
      <c r="I123" s="14"/>
      <c r="J123" s="14"/>
      <c r="L123" s="36"/>
      <c r="M123" s="14"/>
      <c r="N123" s="14"/>
      <c r="P123" s="21">
        <f>IFERROR(__xludf.DUMMYFUNCTION("""COMPUTED_VALUE"""),395.0)</f>
        <v>395</v>
      </c>
      <c r="Q123" s="14">
        <f>IFERROR(__xludf.DUMMYFUNCTION("""COMPUTED_VALUE"""),53.0)</f>
        <v>53</v>
      </c>
      <c r="R123" s="14" t="str">
        <f>IFERROR(__xludf.DUMMYFUNCTION("""COMPUTED_VALUE"""),"4/42")</f>
        <v>4/42</v>
      </c>
      <c r="S123" s="14">
        <f>IFERROR(__xludf.DUMMYFUNCTION("""COMPUTED_VALUE"""),10.0)</f>
        <v>10</v>
      </c>
      <c r="U123" s="21">
        <f>IFERROR(__xludf.DUMMYFUNCTION("""COMPUTED_VALUE"""),332.0)</f>
        <v>332</v>
      </c>
      <c r="V123" s="14">
        <f>IFERROR(__xludf.DUMMYFUNCTION("""COMPUTED_VALUE"""),67.0)</f>
        <v>67</v>
      </c>
      <c r="W123" s="14">
        <f>IFERROR(__xludf.DUMMYFUNCTION("""COMPUTED_VALUE"""),58.0)</f>
        <v>58</v>
      </c>
      <c r="X123" s="14">
        <f>IFERROR(__xludf.DUMMYFUNCTION("""COMPUTED_VALUE"""),9.0)</f>
        <v>9</v>
      </c>
    </row>
    <row r="124">
      <c r="A124" s="21">
        <f>Scores!A125</f>
        <v>114</v>
      </c>
      <c r="B124" s="14"/>
      <c r="C124" s="14">
        <v>64.0</v>
      </c>
      <c r="D124" s="14" t="str">
        <f t="shared" si="1"/>
        <v/>
      </c>
      <c r="F124" s="21">
        <f>IFERROR(__xludf.DUMMYFUNCTION("""COMPUTED_VALUE"""),236.0)</f>
        <v>236</v>
      </c>
      <c r="H124" s="36"/>
      <c r="I124" s="14"/>
      <c r="J124" s="14"/>
      <c r="L124" s="36"/>
      <c r="M124" s="14"/>
      <c r="N124" s="14"/>
      <c r="P124" s="21">
        <f>IFERROR(__xludf.DUMMYFUNCTION("""COMPUTED_VALUE"""),85.0)</f>
        <v>85</v>
      </c>
      <c r="Q124" s="14">
        <f>IFERROR(__xludf.DUMMYFUNCTION("""COMPUTED_VALUE"""),49.0)</f>
        <v>49</v>
      </c>
      <c r="R124" s="14" t="str">
        <f>IFERROR(__xludf.DUMMYFUNCTION("""COMPUTED_VALUE"""),"4/43")</f>
        <v>4/43</v>
      </c>
      <c r="S124" s="14">
        <f>IFERROR(__xludf.DUMMYFUNCTION("""COMPUTED_VALUE"""),61.0)</f>
        <v>61</v>
      </c>
      <c r="U124" s="21">
        <f>IFERROR(__xludf.DUMMYFUNCTION("""COMPUTED_VALUE"""),373.0)</f>
        <v>373</v>
      </c>
      <c r="V124" s="14">
        <f>IFERROR(__xludf.DUMMYFUNCTION("""COMPUTED_VALUE"""),47.0)</f>
        <v>47</v>
      </c>
      <c r="W124" s="14">
        <f>IFERROR(__xludf.DUMMYFUNCTION("""COMPUTED_VALUE"""),38.0)</f>
        <v>38</v>
      </c>
      <c r="X124" s="14">
        <f>IFERROR(__xludf.DUMMYFUNCTION("""COMPUTED_VALUE"""),9.0)</f>
        <v>9</v>
      </c>
    </row>
    <row r="125">
      <c r="A125" s="21">
        <f>Scores!A126</f>
        <v>115</v>
      </c>
      <c r="B125" s="14"/>
      <c r="C125" s="14">
        <v>51.0</v>
      </c>
      <c r="D125" s="14" t="str">
        <f t="shared" si="1"/>
        <v/>
      </c>
      <c r="F125" s="21">
        <f>IFERROR(__xludf.DUMMYFUNCTION("""COMPUTED_VALUE"""),237.0)</f>
        <v>237</v>
      </c>
      <c r="H125" s="36"/>
      <c r="I125" s="14"/>
      <c r="J125" s="14"/>
      <c r="L125" s="36"/>
      <c r="M125" s="14"/>
      <c r="N125" s="14"/>
      <c r="P125" s="21">
        <f>IFERROR(__xludf.DUMMYFUNCTION("""COMPUTED_VALUE"""),227.0)</f>
        <v>227</v>
      </c>
      <c r="Q125" s="14">
        <f>IFERROR(__xludf.DUMMYFUNCTION("""COMPUTED_VALUE"""),52.0)</f>
        <v>52</v>
      </c>
      <c r="R125" s="14" t="str">
        <f>IFERROR(__xludf.DUMMYFUNCTION("""COMPUTED_VALUE"""),"4/43")</f>
        <v>4/43</v>
      </c>
      <c r="S125" s="14">
        <f>IFERROR(__xludf.DUMMYFUNCTION("""COMPUTED_VALUE"""),17.0)</f>
        <v>17</v>
      </c>
      <c r="U125" s="21">
        <f>IFERROR(__xludf.DUMMYFUNCTION("""COMPUTED_VALUE"""),399.0)</f>
        <v>399</v>
      </c>
      <c r="V125" s="14">
        <f>IFERROR(__xludf.DUMMYFUNCTION("""COMPUTED_VALUE"""),71.0)</f>
        <v>71</v>
      </c>
      <c r="W125" s="14">
        <f>IFERROR(__xludf.DUMMYFUNCTION("""COMPUTED_VALUE"""),62.0)</f>
        <v>62</v>
      </c>
      <c r="X125" s="14">
        <f>IFERROR(__xludf.DUMMYFUNCTION("""COMPUTED_VALUE"""),9.0)</f>
        <v>9</v>
      </c>
    </row>
    <row r="126">
      <c r="A126" s="21">
        <f>Scores!A127</f>
        <v>116</v>
      </c>
      <c r="B126" s="14">
        <v>20.0</v>
      </c>
      <c r="C126" s="14">
        <v>20.0</v>
      </c>
      <c r="D126" s="14">
        <f t="shared" si="1"/>
        <v>0</v>
      </c>
      <c r="F126" s="21">
        <f>IFERROR(__xludf.DUMMYFUNCTION("""COMPUTED_VALUE"""),238.0)</f>
        <v>238</v>
      </c>
      <c r="H126" s="36"/>
      <c r="I126" s="14"/>
      <c r="J126" s="14"/>
      <c r="L126" s="36"/>
      <c r="M126" s="14"/>
      <c r="N126" s="14"/>
      <c r="P126" s="21">
        <f>IFERROR(__xludf.DUMMYFUNCTION("""COMPUTED_VALUE"""),388.0)</f>
        <v>388</v>
      </c>
      <c r="Q126" s="14">
        <f>IFERROR(__xludf.DUMMYFUNCTION("""COMPUTED_VALUE"""),61.0)</f>
        <v>61</v>
      </c>
      <c r="R126" s="14" t="str">
        <f>IFERROR(__xludf.DUMMYFUNCTION("""COMPUTED_VALUE"""),"4/43")</f>
        <v>4/43</v>
      </c>
      <c r="S126" s="14">
        <f>IFERROR(__xludf.DUMMYFUNCTION("""COMPUTED_VALUE"""),17.0)</f>
        <v>17</v>
      </c>
      <c r="U126" s="21">
        <f>IFERROR(__xludf.DUMMYFUNCTION("""COMPUTED_VALUE"""),33.0)</f>
        <v>33</v>
      </c>
      <c r="V126" s="14">
        <f>IFERROR(__xludf.DUMMYFUNCTION("""COMPUTED_VALUE"""),79.0)</f>
        <v>79</v>
      </c>
      <c r="W126" s="14">
        <f>IFERROR(__xludf.DUMMYFUNCTION("""COMPUTED_VALUE"""),71.0)</f>
        <v>71</v>
      </c>
      <c r="X126" s="14">
        <f>IFERROR(__xludf.DUMMYFUNCTION("""COMPUTED_VALUE"""),8.0)</f>
        <v>8</v>
      </c>
    </row>
    <row r="127">
      <c r="A127" s="21">
        <f>Scores!A128</f>
        <v>117</v>
      </c>
      <c r="B127" s="14"/>
      <c r="C127" s="14">
        <v>115.0</v>
      </c>
      <c r="D127" s="14" t="str">
        <f t="shared" si="1"/>
        <v/>
      </c>
      <c r="F127" s="21">
        <f>IFERROR(__xludf.DUMMYFUNCTION("""COMPUTED_VALUE"""),239.0)</f>
        <v>239</v>
      </c>
      <c r="H127" s="36"/>
      <c r="I127" s="14"/>
      <c r="J127" s="14"/>
      <c r="L127" s="36"/>
      <c r="M127" s="14"/>
      <c r="N127" s="14"/>
      <c r="P127" s="21">
        <f>IFERROR(__xludf.DUMMYFUNCTION("""COMPUTED_VALUE"""),43.0)</f>
        <v>43</v>
      </c>
      <c r="Q127" s="14">
        <f>IFERROR(__xludf.DUMMYFUNCTION("""COMPUTED_VALUE"""),56.0)</f>
        <v>56</v>
      </c>
      <c r="R127" s="14" t="str">
        <f>IFERROR(__xludf.DUMMYFUNCTION("""COMPUTED_VALUE"""),"4/44")</f>
        <v>4/44</v>
      </c>
      <c r="S127" s="14">
        <f>IFERROR(__xludf.DUMMYFUNCTION("""COMPUTED_VALUE"""),6.0)</f>
        <v>6</v>
      </c>
      <c r="U127" s="21">
        <f>IFERROR(__xludf.DUMMYFUNCTION("""COMPUTED_VALUE"""),82.0)</f>
        <v>82</v>
      </c>
      <c r="V127" s="14">
        <f>IFERROR(__xludf.DUMMYFUNCTION("""COMPUTED_VALUE"""),58.0)</f>
        <v>58</v>
      </c>
      <c r="W127" s="14">
        <f>IFERROR(__xludf.DUMMYFUNCTION("""COMPUTED_VALUE"""),50.0)</f>
        <v>50</v>
      </c>
      <c r="X127" s="14">
        <f>IFERROR(__xludf.DUMMYFUNCTION("""COMPUTED_VALUE"""),8.0)</f>
        <v>8</v>
      </c>
    </row>
    <row r="128">
      <c r="A128" s="21">
        <f>Scores!A129</f>
        <v>118</v>
      </c>
      <c r="B128" s="14"/>
      <c r="C128" s="14">
        <v>225.0</v>
      </c>
      <c r="D128" s="14" t="str">
        <f t="shared" si="1"/>
        <v/>
      </c>
      <c r="F128" s="21">
        <f>IFERROR(__xludf.DUMMYFUNCTION("""COMPUTED_VALUE"""),240.0)</f>
        <v>240</v>
      </c>
      <c r="H128" s="36"/>
      <c r="I128" s="14"/>
      <c r="J128" s="14"/>
      <c r="L128" s="36"/>
      <c r="M128" s="14"/>
      <c r="N128" s="14"/>
      <c r="P128" s="21">
        <f>IFERROR(__xludf.DUMMYFUNCTION("""COMPUTED_VALUE"""),318.0)</f>
        <v>318</v>
      </c>
      <c r="Q128" s="14">
        <f>IFERROR(__xludf.DUMMYFUNCTION("""COMPUTED_VALUE"""),54.0)</f>
        <v>54</v>
      </c>
      <c r="R128" s="14" t="str">
        <f>IFERROR(__xludf.DUMMYFUNCTION("""COMPUTED_VALUE"""),"4/44")</f>
        <v>4/44</v>
      </c>
      <c r="S128" s="14">
        <f>IFERROR(__xludf.DUMMYFUNCTION("""COMPUTED_VALUE"""),12.0)</f>
        <v>12</v>
      </c>
      <c r="U128" s="21">
        <f>IFERROR(__xludf.DUMMYFUNCTION("""COMPUTED_VALUE"""),360.0)</f>
        <v>360</v>
      </c>
      <c r="V128" s="14">
        <f>IFERROR(__xludf.DUMMYFUNCTION("""COMPUTED_VALUE"""),53.0)</f>
        <v>53</v>
      </c>
      <c r="W128" s="14">
        <f>IFERROR(__xludf.DUMMYFUNCTION("""COMPUTED_VALUE"""),45.0)</f>
        <v>45</v>
      </c>
      <c r="X128" s="14">
        <f>IFERROR(__xludf.DUMMYFUNCTION("""COMPUTED_VALUE"""),8.0)</f>
        <v>8</v>
      </c>
    </row>
    <row r="129">
      <c r="A129" s="21">
        <f>Scores!A130</f>
        <v>119</v>
      </c>
      <c r="B129" s="14"/>
      <c r="C129" s="14">
        <v>102.0</v>
      </c>
      <c r="D129" s="14" t="str">
        <f t="shared" si="1"/>
        <v/>
      </c>
      <c r="F129" s="21">
        <f>IFERROR(__xludf.DUMMYFUNCTION("""COMPUTED_VALUE"""),244.0)</f>
        <v>244</v>
      </c>
      <c r="H129" s="36"/>
      <c r="I129" s="14"/>
      <c r="J129" s="14"/>
      <c r="L129" s="36"/>
      <c r="M129" s="14"/>
      <c r="N129" s="14"/>
      <c r="P129" s="21">
        <f>IFERROR(__xludf.DUMMYFUNCTION("""COMPUTED_VALUE"""),26.0)</f>
        <v>26</v>
      </c>
      <c r="Q129" s="14">
        <f>IFERROR(__xludf.DUMMYFUNCTION("""COMPUTED_VALUE"""),50.0)</f>
        <v>50</v>
      </c>
      <c r="R129" s="14" t="str">
        <f>IFERROR(__xludf.DUMMYFUNCTION("""COMPUTED_VALUE"""),"4/45")</f>
        <v>4/45</v>
      </c>
      <c r="S129" s="14">
        <f>IFERROR(__xludf.DUMMYFUNCTION("""COMPUTED_VALUE"""),7.0)</f>
        <v>7</v>
      </c>
      <c r="U129" s="21">
        <f>IFERROR(__xludf.DUMMYFUNCTION("""COMPUTED_VALUE"""),3.0)</f>
        <v>3</v>
      </c>
      <c r="V129" s="14">
        <f>IFERROR(__xludf.DUMMYFUNCTION("""COMPUTED_VALUE"""),65.0)</f>
        <v>65</v>
      </c>
      <c r="W129" s="14">
        <f>IFERROR(__xludf.DUMMYFUNCTION("""COMPUTED_VALUE"""),58.0)</f>
        <v>58</v>
      </c>
      <c r="X129" s="14">
        <f>IFERROR(__xludf.DUMMYFUNCTION("""COMPUTED_VALUE"""),7.0)</f>
        <v>7</v>
      </c>
    </row>
    <row r="130">
      <c r="A130" s="21">
        <f>Scores!A131</f>
        <v>120</v>
      </c>
      <c r="B130" s="14"/>
      <c r="C130" s="14">
        <v>78.0</v>
      </c>
      <c r="D130" s="14" t="str">
        <f t="shared" si="1"/>
        <v/>
      </c>
      <c r="F130" s="21">
        <f>IFERROR(__xludf.DUMMYFUNCTION("""COMPUTED_VALUE"""),245.0)</f>
        <v>245</v>
      </c>
      <c r="H130" s="36"/>
      <c r="I130" s="14"/>
      <c r="J130" s="14"/>
      <c r="L130" s="36"/>
      <c r="M130" s="14"/>
      <c r="N130" s="14"/>
      <c r="P130" s="21">
        <f>IFERROR(__xludf.DUMMYFUNCTION("""COMPUTED_VALUE"""),177.0)</f>
        <v>177</v>
      </c>
      <c r="Q130" s="14">
        <f>IFERROR(__xludf.DUMMYFUNCTION("""COMPUTED_VALUE"""),51.0)</f>
        <v>51</v>
      </c>
      <c r="R130" s="14" t="str">
        <f>IFERROR(__xludf.DUMMYFUNCTION("""COMPUTED_VALUE"""),"4/45")</f>
        <v>4/45</v>
      </c>
      <c r="S130" s="14">
        <f>IFERROR(__xludf.DUMMYFUNCTION("""COMPUTED_VALUE"""),17.0)</f>
        <v>17</v>
      </c>
      <c r="U130" s="21">
        <f>IFERROR(__xludf.DUMMYFUNCTION("""COMPUTED_VALUE"""),26.0)</f>
        <v>26</v>
      </c>
      <c r="V130" s="14">
        <f>IFERROR(__xludf.DUMMYFUNCTION("""COMPUTED_VALUE"""),57.0)</f>
        <v>57</v>
      </c>
      <c r="W130" s="14">
        <f>IFERROR(__xludf.DUMMYFUNCTION("""COMPUTED_VALUE"""),50.0)</f>
        <v>50</v>
      </c>
      <c r="X130" s="14">
        <f>IFERROR(__xludf.DUMMYFUNCTION("""COMPUTED_VALUE"""),7.0)</f>
        <v>7</v>
      </c>
    </row>
    <row r="131">
      <c r="A131" s="21">
        <f>Scores!A132</f>
        <v>121</v>
      </c>
      <c r="B131" s="14"/>
      <c r="C131" s="14">
        <v>85.0</v>
      </c>
      <c r="D131" s="14" t="str">
        <f t="shared" si="1"/>
        <v/>
      </c>
      <c r="F131" s="21">
        <f>IFERROR(__xludf.DUMMYFUNCTION("""COMPUTED_VALUE"""),246.0)</f>
        <v>246</v>
      </c>
      <c r="H131" s="36"/>
      <c r="I131" s="14"/>
      <c r="J131" s="14"/>
      <c r="L131" s="36"/>
      <c r="M131" s="14"/>
      <c r="N131" s="14"/>
      <c r="P131" s="21">
        <f>IFERROR(__xludf.DUMMYFUNCTION("""COMPUTED_VALUE"""),31.0)</f>
        <v>31</v>
      </c>
      <c r="Q131" s="14">
        <f>IFERROR(__xludf.DUMMYFUNCTION("""COMPUTED_VALUE"""),45.0)</f>
        <v>45</v>
      </c>
      <c r="R131" s="14" t="str">
        <f>IFERROR(__xludf.DUMMYFUNCTION("""COMPUTED_VALUE"""),"4/46")</f>
        <v>4/46</v>
      </c>
      <c r="S131" s="14">
        <f>IFERROR(__xludf.DUMMYFUNCTION("""COMPUTED_VALUE"""),15.0)</f>
        <v>15</v>
      </c>
      <c r="U131" s="21">
        <f>IFERROR(__xludf.DUMMYFUNCTION("""COMPUTED_VALUE"""),389.0)</f>
        <v>389</v>
      </c>
      <c r="V131" s="14">
        <f>IFERROR(__xludf.DUMMYFUNCTION("""COMPUTED_VALUE"""),64.0)</f>
        <v>64</v>
      </c>
      <c r="W131" s="14">
        <f>IFERROR(__xludf.DUMMYFUNCTION("""COMPUTED_VALUE"""),57.0)</f>
        <v>57</v>
      </c>
      <c r="X131" s="14">
        <f>IFERROR(__xludf.DUMMYFUNCTION("""COMPUTED_VALUE"""),7.0)</f>
        <v>7</v>
      </c>
    </row>
    <row r="132">
      <c r="A132" s="21">
        <f>Scores!A133</f>
        <v>122</v>
      </c>
      <c r="B132" s="14"/>
      <c r="C132" s="14">
        <v>70.0</v>
      </c>
      <c r="D132" s="14" t="str">
        <f t="shared" si="1"/>
        <v/>
      </c>
      <c r="F132" s="21">
        <f>IFERROR(__xludf.DUMMYFUNCTION("""COMPUTED_VALUE"""),247.0)</f>
        <v>247</v>
      </c>
      <c r="H132" s="36"/>
      <c r="I132" s="14"/>
      <c r="J132" s="14"/>
      <c r="L132" s="36"/>
      <c r="M132" s="14"/>
      <c r="N132" s="14"/>
      <c r="P132" s="21">
        <f>IFERROR(__xludf.DUMMYFUNCTION("""COMPUTED_VALUE"""),144.0)</f>
        <v>144</v>
      </c>
      <c r="Q132" s="14">
        <f>IFERROR(__xludf.DUMMYFUNCTION("""COMPUTED_VALUE"""),53.0)</f>
        <v>53</v>
      </c>
      <c r="R132" s="14" t="str">
        <f>IFERROR(__xludf.DUMMYFUNCTION("""COMPUTED_VALUE"""),"4/46")</f>
        <v>4/46</v>
      </c>
      <c r="S132" s="14">
        <f>IFERROR(__xludf.DUMMYFUNCTION("""COMPUTED_VALUE"""),10.0)</f>
        <v>10</v>
      </c>
      <c r="U132" s="21">
        <f>IFERROR(__xludf.DUMMYFUNCTION("""COMPUTED_VALUE"""),16.0)</f>
        <v>16</v>
      </c>
      <c r="V132" s="14">
        <f>IFERROR(__xludf.DUMMYFUNCTION("""COMPUTED_VALUE"""),49.0)</f>
        <v>49</v>
      </c>
      <c r="W132" s="14">
        <f>IFERROR(__xludf.DUMMYFUNCTION("""COMPUTED_VALUE"""),43.0)</f>
        <v>43</v>
      </c>
      <c r="X132" s="14">
        <f>IFERROR(__xludf.DUMMYFUNCTION("""COMPUTED_VALUE"""),6.0)</f>
        <v>6</v>
      </c>
    </row>
    <row r="133">
      <c r="A133" s="21">
        <f>Scores!A134</f>
        <v>123</v>
      </c>
      <c r="B133" s="14"/>
      <c r="C133" s="14">
        <v>71.0</v>
      </c>
      <c r="D133" s="14" t="str">
        <f t="shared" si="1"/>
        <v/>
      </c>
      <c r="F133" s="21">
        <f>IFERROR(__xludf.DUMMYFUNCTION("""COMPUTED_VALUE"""),248.0)</f>
        <v>248</v>
      </c>
      <c r="H133" s="36"/>
      <c r="I133" s="14"/>
      <c r="J133" s="14"/>
      <c r="L133" s="36"/>
      <c r="M133" s="14"/>
      <c r="N133" s="14"/>
      <c r="P133" s="21">
        <f>IFERROR(__xludf.DUMMYFUNCTION("""COMPUTED_VALUE"""),6.0)</f>
        <v>6</v>
      </c>
      <c r="Q133" s="14">
        <f>IFERROR(__xludf.DUMMYFUNCTION("""COMPUTED_VALUE"""),49.0)</f>
        <v>49</v>
      </c>
      <c r="R133" s="14" t="str">
        <f>IFERROR(__xludf.DUMMYFUNCTION("""COMPUTED_VALUE"""),"4/47")</f>
        <v>4/47</v>
      </c>
      <c r="S133" s="14">
        <f>IFERROR(__xludf.DUMMYFUNCTION("""COMPUTED_VALUE"""),4.0)</f>
        <v>4</v>
      </c>
      <c r="U133" s="21">
        <f>IFERROR(__xludf.DUMMYFUNCTION("""COMPUTED_VALUE"""),43.0)</f>
        <v>43</v>
      </c>
      <c r="V133" s="14">
        <f>IFERROR(__xludf.DUMMYFUNCTION("""COMPUTED_VALUE"""),62.0)</f>
        <v>62</v>
      </c>
      <c r="W133" s="14">
        <f>IFERROR(__xludf.DUMMYFUNCTION("""COMPUTED_VALUE"""),56.0)</f>
        <v>56</v>
      </c>
      <c r="X133" s="14">
        <f>IFERROR(__xludf.DUMMYFUNCTION("""COMPUTED_VALUE"""),6.0)</f>
        <v>6</v>
      </c>
    </row>
    <row r="134">
      <c r="A134" s="21">
        <f>Scores!A135</f>
        <v>124</v>
      </c>
      <c r="B134" s="14"/>
      <c r="C134" s="14">
        <v>95.0</v>
      </c>
      <c r="D134" s="14" t="str">
        <f t="shared" si="1"/>
        <v/>
      </c>
      <c r="F134" s="21">
        <f>IFERROR(__xludf.DUMMYFUNCTION("""COMPUTED_VALUE"""),250.0)</f>
        <v>250</v>
      </c>
      <c r="H134" s="36"/>
      <c r="I134" s="14"/>
      <c r="J134" s="14"/>
      <c r="L134" s="36"/>
      <c r="M134" s="14"/>
      <c r="N134" s="14"/>
      <c r="P134" s="21">
        <f>IFERROR(__xludf.DUMMYFUNCTION("""COMPUTED_VALUE"""),72.0)</f>
        <v>72</v>
      </c>
      <c r="Q134" s="14">
        <f>IFERROR(__xludf.DUMMYFUNCTION("""COMPUTED_VALUE"""),54.0)</f>
        <v>54</v>
      </c>
      <c r="R134" s="14" t="str">
        <f>IFERROR(__xludf.DUMMYFUNCTION("""COMPUTED_VALUE"""),"4/47")</f>
        <v>4/47</v>
      </c>
      <c r="S134" s="14">
        <f>IFERROR(__xludf.DUMMYFUNCTION("""COMPUTED_VALUE"""),10.0)</f>
        <v>10</v>
      </c>
      <c r="U134" s="21">
        <f>IFERROR(__xludf.DUMMYFUNCTION("""COMPUTED_VALUE"""),78.0)</f>
        <v>78</v>
      </c>
      <c r="V134" s="14">
        <f>IFERROR(__xludf.DUMMYFUNCTION("""COMPUTED_VALUE"""),65.0)</f>
        <v>65</v>
      </c>
      <c r="W134" s="14">
        <f>IFERROR(__xludf.DUMMYFUNCTION("""COMPUTED_VALUE"""),59.0)</f>
        <v>59</v>
      </c>
      <c r="X134" s="14">
        <f>IFERROR(__xludf.DUMMYFUNCTION("""COMPUTED_VALUE"""),6.0)</f>
        <v>6</v>
      </c>
    </row>
    <row r="135">
      <c r="A135" s="21">
        <f>Scores!A136</f>
        <v>125</v>
      </c>
      <c r="B135" s="14"/>
      <c r="C135" s="14">
        <v>110.0</v>
      </c>
      <c r="D135" s="14" t="str">
        <f t="shared" si="1"/>
        <v/>
      </c>
      <c r="F135" s="21">
        <f>IFERROR(__xludf.DUMMYFUNCTION("""COMPUTED_VALUE"""),251.0)</f>
        <v>251</v>
      </c>
      <c r="H135" s="36"/>
      <c r="I135" s="14"/>
      <c r="J135" s="14"/>
      <c r="L135" s="36"/>
      <c r="M135" s="14"/>
      <c r="N135" s="14"/>
      <c r="P135" s="21">
        <f>IFERROR(__xludf.DUMMYFUNCTION("""COMPUTED_VALUE"""),377.0)</f>
        <v>377</v>
      </c>
      <c r="Q135" s="14">
        <f>IFERROR(__xludf.DUMMYFUNCTION("""COMPUTED_VALUE"""),55.0)</f>
        <v>55</v>
      </c>
      <c r="R135" s="14" t="str">
        <f>IFERROR(__xludf.DUMMYFUNCTION("""COMPUTED_VALUE"""),"5/39")</f>
        <v>5/39</v>
      </c>
      <c r="S135" s="14" t="str">
        <f>IFERROR(__xludf.DUMMYFUNCTION("""COMPUTED_VALUE"""),"")</f>
        <v/>
      </c>
      <c r="U135" s="21">
        <f>IFERROR(__xludf.DUMMYFUNCTION("""COMPUTED_VALUE"""),126.0)</f>
        <v>126</v>
      </c>
      <c r="V135" s="14">
        <f>IFERROR(__xludf.DUMMYFUNCTION("""COMPUTED_VALUE"""),60.0)</f>
        <v>60</v>
      </c>
      <c r="W135" s="14">
        <f>IFERROR(__xludf.DUMMYFUNCTION("""COMPUTED_VALUE"""),54.0)</f>
        <v>54</v>
      </c>
      <c r="X135" s="14">
        <f>IFERROR(__xludf.DUMMYFUNCTION("""COMPUTED_VALUE"""),6.0)</f>
        <v>6</v>
      </c>
    </row>
    <row r="136">
      <c r="A136" s="21">
        <f>Scores!A137</f>
        <v>126</v>
      </c>
      <c r="B136" s="14">
        <v>60.0</v>
      </c>
      <c r="C136" s="14">
        <v>54.0</v>
      </c>
      <c r="D136" s="14">
        <f t="shared" si="1"/>
        <v>6</v>
      </c>
      <c r="F136" s="21">
        <f>IFERROR(__xludf.DUMMYFUNCTION("""COMPUTED_VALUE"""),252.0)</f>
        <v>252</v>
      </c>
      <c r="H136" s="36"/>
      <c r="I136" s="14"/>
      <c r="J136" s="14"/>
      <c r="L136" s="36"/>
      <c r="M136" s="14"/>
      <c r="N136" s="14"/>
      <c r="P136" s="21">
        <f>IFERROR(__xludf.DUMMYFUNCTION("""COMPUTED_VALUE"""),39.0)</f>
        <v>39</v>
      </c>
      <c r="Q136" s="14">
        <f>IFERROR(__xludf.DUMMYFUNCTION("""COMPUTED_VALUE"""),60.0)</f>
        <v>60</v>
      </c>
      <c r="R136" s="14" t="str">
        <f>IFERROR(__xludf.DUMMYFUNCTION("""COMPUTED_VALUE"""),"5/43")</f>
        <v>5/43</v>
      </c>
      <c r="S136" s="14">
        <f>IFERROR(__xludf.DUMMYFUNCTION("""COMPUTED_VALUE"""),14.0)</f>
        <v>14</v>
      </c>
      <c r="U136" s="21">
        <f>IFERROR(__xludf.DUMMYFUNCTION("""COMPUTED_VALUE"""),129.0)</f>
        <v>129</v>
      </c>
      <c r="V136" s="14">
        <f>IFERROR(__xludf.DUMMYFUNCTION("""COMPUTED_VALUE"""),53.0)</f>
        <v>53</v>
      </c>
      <c r="W136" s="14">
        <f>IFERROR(__xludf.DUMMYFUNCTION("""COMPUTED_VALUE"""),47.0)</f>
        <v>47</v>
      </c>
      <c r="X136" s="14">
        <f>IFERROR(__xludf.DUMMYFUNCTION("""COMPUTED_VALUE"""),6.0)</f>
        <v>6</v>
      </c>
    </row>
    <row r="137">
      <c r="A137" s="21">
        <f>Scores!A138</f>
        <v>127</v>
      </c>
      <c r="B137" s="14">
        <v>85.0</v>
      </c>
      <c r="C137" s="14">
        <v>57.0</v>
      </c>
      <c r="D137" s="14">
        <f t="shared" si="1"/>
        <v>28</v>
      </c>
      <c r="F137" s="21">
        <f>IFERROR(__xludf.DUMMYFUNCTION("""COMPUTED_VALUE"""),253.0)</f>
        <v>253</v>
      </c>
      <c r="H137" s="36"/>
      <c r="I137" s="14"/>
      <c r="J137" s="14"/>
      <c r="L137" s="36"/>
      <c r="M137" s="14"/>
      <c r="N137" s="14"/>
      <c r="P137" s="21">
        <f>IFERROR(__xludf.DUMMYFUNCTION("""COMPUTED_VALUE"""),111.0)</f>
        <v>111</v>
      </c>
      <c r="Q137" s="14">
        <f>IFERROR(__xludf.DUMMYFUNCTION("""COMPUTED_VALUE"""),60.0)</f>
        <v>60</v>
      </c>
      <c r="R137" s="14" t="str">
        <f>IFERROR(__xludf.DUMMYFUNCTION("""COMPUTED_VALUE"""),"5/43")</f>
        <v>5/43</v>
      </c>
      <c r="S137" s="14">
        <f>IFERROR(__xludf.DUMMYFUNCTION("""COMPUTED_VALUE"""),34.0)</f>
        <v>34</v>
      </c>
      <c r="U137" s="21">
        <f>IFERROR(__xludf.DUMMYFUNCTION("""COMPUTED_VALUE"""),215.0)</f>
        <v>215</v>
      </c>
      <c r="V137" s="14">
        <f>IFERROR(__xludf.DUMMYFUNCTION("""COMPUTED_VALUE"""),48.0)</f>
        <v>48</v>
      </c>
      <c r="W137" s="14">
        <f>IFERROR(__xludf.DUMMYFUNCTION("""COMPUTED_VALUE"""),42.0)</f>
        <v>42</v>
      </c>
      <c r="X137" s="14">
        <f>IFERROR(__xludf.DUMMYFUNCTION("""COMPUTED_VALUE"""),6.0)</f>
        <v>6</v>
      </c>
    </row>
    <row r="138">
      <c r="A138" s="21">
        <f>Scores!A139</f>
        <v>128</v>
      </c>
      <c r="B138" s="14">
        <v>74.0</v>
      </c>
      <c r="C138" s="14">
        <v>57.0</v>
      </c>
      <c r="D138" s="14">
        <f t="shared" si="1"/>
        <v>17</v>
      </c>
      <c r="F138" s="21">
        <f>IFERROR(__xludf.DUMMYFUNCTION("""COMPUTED_VALUE"""),254.0)</f>
        <v>254</v>
      </c>
      <c r="H138" s="36"/>
      <c r="I138" s="14"/>
      <c r="J138" s="14"/>
      <c r="L138" s="36"/>
      <c r="M138" s="14"/>
      <c r="N138" s="14"/>
      <c r="P138" s="21">
        <f>IFERROR(__xludf.DUMMYFUNCTION("""COMPUTED_VALUE"""),186.0)</f>
        <v>186</v>
      </c>
      <c r="Q138" s="14">
        <f>IFERROR(__xludf.DUMMYFUNCTION("""COMPUTED_VALUE"""),60.0)</f>
        <v>60</v>
      </c>
      <c r="R138" s="14" t="str">
        <f>IFERROR(__xludf.DUMMYFUNCTION("""COMPUTED_VALUE"""),"5/44")</f>
        <v>5/44</v>
      </c>
      <c r="S138" s="14">
        <f>IFERROR(__xludf.DUMMYFUNCTION("""COMPUTED_VALUE"""),47.0)</f>
        <v>47</v>
      </c>
      <c r="U138" s="21">
        <f>IFERROR(__xludf.DUMMYFUNCTION("""COMPUTED_VALUE"""),298.0)</f>
        <v>298</v>
      </c>
      <c r="V138" s="14">
        <f>IFERROR(__xludf.DUMMYFUNCTION("""COMPUTED_VALUE"""),60.0)</f>
        <v>60</v>
      </c>
      <c r="W138" s="14">
        <f>IFERROR(__xludf.DUMMYFUNCTION("""COMPUTED_VALUE"""),54.0)</f>
        <v>54</v>
      </c>
      <c r="X138" s="14">
        <f>IFERROR(__xludf.DUMMYFUNCTION("""COMPUTED_VALUE"""),6.0)</f>
        <v>6</v>
      </c>
    </row>
    <row r="139">
      <c r="A139" s="21">
        <f>Scores!A140</f>
        <v>129</v>
      </c>
      <c r="B139" s="14">
        <v>53.0</v>
      </c>
      <c r="C139" s="14">
        <v>47.0</v>
      </c>
      <c r="D139" s="14">
        <f t="shared" si="1"/>
        <v>6</v>
      </c>
      <c r="F139" s="21">
        <f>IFERROR(__xludf.DUMMYFUNCTION("""COMPUTED_VALUE"""),256.0)</f>
        <v>256</v>
      </c>
      <c r="H139" s="36"/>
      <c r="I139" s="14"/>
      <c r="J139" s="14"/>
      <c r="L139" s="36"/>
      <c r="M139" s="14"/>
      <c r="N139" s="14"/>
      <c r="P139" s="21">
        <f>IFERROR(__xludf.DUMMYFUNCTION("""COMPUTED_VALUE"""),16.0)</f>
        <v>16</v>
      </c>
      <c r="Q139" s="14">
        <f>IFERROR(__xludf.DUMMYFUNCTION("""COMPUTED_VALUE"""),43.0)</f>
        <v>43</v>
      </c>
      <c r="R139" s="14" t="str">
        <f>IFERROR(__xludf.DUMMYFUNCTION("""COMPUTED_VALUE"""),"5/47")</f>
        <v>5/47</v>
      </c>
      <c r="S139" s="14">
        <f>IFERROR(__xludf.DUMMYFUNCTION("""COMPUTED_VALUE"""),6.0)</f>
        <v>6</v>
      </c>
      <c r="U139" s="21">
        <f>IFERROR(__xludf.DUMMYFUNCTION("""COMPUTED_VALUE"""),339.0)</f>
        <v>339</v>
      </c>
      <c r="V139" s="14">
        <f>IFERROR(__xludf.DUMMYFUNCTION("""COMPUTED_VALUE"""),43.0)</f>
        <v>43</v>
      </c>
      <c r="W139" s="14">
        <f>IFERROR(__xludf.DUMMYFUNCTION("""COMPUTED_VALUE"""),37.0)</f>
        <v>37</v>
      </c>
      <c r="X139" s="14">
        <f>IFERROR(__xludf.DUMMYFUNCTION("""COMPUTED_VALUE"""),6.0)</f>
        <v>6</v>
      </c>
    </row>
    <row r="140">
      <c r="A140" s="21">
        <f>Scores!A141</f>
        <v>130</v>
      </c>
      <c r="B140" s="14">
        <v>65.0</v>
      </c>
      <c r="C140" s="14">
        <v>61.0</v>
      </c>
      <c r="D140" s="14">
        <f t="shared" si="1"/>
        <v>4</v>
      </c>
      <c r="F140" s="21">
        <f>IFERROR(__xludf.DUMMYFUNCTION("""COMPUTED_VALUE"""),259.0)</f>
        <v>259</v>
      </c>
      <c r="H140" s="36"/>
      <c r="I140" s="14"/>
      <c r="J140" s="14"/>
      <c r="L140" s="36"/>
      <c r="M140" s="14"/>
      <c r="N140" s="14"/>
      <c r="P140" s="21">
        <f>IFERROR(__xludf.DUMMYFUNCTION("""COMPUTED_VALUE"""),178.0)</f>
        <v>178</v>
      </c>
      <c r="Q140" s="14">
        <f>IFERROR(__xludf.DUMMYFUNCTION("""COMPUTED_VALUE"""),47.0)</f>
        <v>47</v>
      </c>
      <c r="R140" s="14" t="str">
        <f>IFERROR(__xludf.DUMMYFUNCTION("""COMPUTED_VALUE"""),"6/44")</f>
        <v>6/44</v>
      </c>
      <c r="S140" s="14" t="str">
        <f>IFERROR(__xludf.DUMMYFUNCTION("""COMPUTED_VALUE"""),"")</f>
        <v/>
      </c>
      <c r="U140" s="21">
        <f>IFERROR(__xludf.DUMMYFUNCTION("""COMPUTED_VALUE"""),372.0)</f>
        <v>372</v>
      </c>
      <c r="V140" s="14">
        <f>IFERROR(__xludf.DUMMYFUNCTION("""COMPUTED_VALUE"""),53.0)</f>
        <v>53</v>
      </c>
      <c r="W140" s="14">
        <f>IFERROR(__xludf.DUMMYFUNCTION("""COMPUTED_VALUE"""),47.0)</f>
        <v>47</v>
      </c>
      <c r="X140" s="14">
        <f>IFERROR(__xludf.DUMMYFUNCTION("""COMPUTED_VALUE"""),6.0)</f>
        <v>6</v>
      </c>
    </row>
    <row r="141">
      <c r="A141" s="21">
        <f>Scores!A142</f>
        <v>131</v>
      </c>
      <c r="B141" s="14"/>
      <c r="C141" s="14">
        <v>117.0</v>
      </c>
      <c r="D141" s="14" t="str">
        <f t="shared" si="1"/>
        <v/>
      </c>
      <c r="F141" s="21">
        <f>IFERROR(__xludf.DUMMYFUNCTION("""COMPUTED_VALUE"""),260.0)</f>
        <v>260</v>
      </c>
      <c r="H141" s="36"/>
      <c r="I141" s="14"/>
      <c r="J141" s="14"/>
      <c r="L141" s="36"/>
      <c r="M141" s="14"/>
      <c r="N141" s="14"/>
      <c r="P141" s="21">
        <f>IFERROR(__xludf.DUMMYFUNCTION("""COMPUTED_VALUE"""),60.0)</f>
        <v>60</v>
      </c>
      <c r="Q141" s="14">
        <f>IFERROR(__xludf.DUMMYFUNCTION("""COMPUTED_VALUE"""),47.0)</f>
        <v>47</v>
      </c>
      <c r="R141" s="14" t="str">
        <f>IFERROR(__xludf.DUMMYFUNCTION("""COMPUTED_VALUE"""),"6/46")</f>
        <v>6/46</v>
      </c>
      <c r="S141" s="14">
        <f>IFERROR(__xludf.DUMMYFUNCTION("""COMPUTED_VALUE"""),5.0)</f>
        <v>5</v>
      </c>
      <c r="U141" s="21">
        <f>IFERROR(__xludf.DUMMYFUNCTION("""COMPUTED_VALUE"""),386.0)</f>
        <v>386</v>
      </c>
      <c r="V141" s="14">
        <f>IFERROR(__xludf.DUMMYFUNCTION("""COMPUTED_VALUE"""),56.0)</f>
        <v>56</v>
      </c>
      <c r="W141" s="14">
        <f>IFERROR(__xludf.DUMMYFUNCTION("""COMPUTED_VALUE"""),50.0)</f>
        <v>50</v>
      </c>
      <c r="X141" s="14">
        <f>IFERROR(__xludf.DUMMYFUNCTION("""COMPUTED_VALUE"""),6.0)</f>
        <v>6</v>
      </c>
    </row>
    <row r="142">
      <c r="A142" s="21">
        <f>Scores!A143</f>
        <v>132</v>
      </c>
      <c r="B142" s="14"/>
      <c r="C142" s="14">
        <v>86.0</v>
      </c>
      <c r="D142" s="14" t="str">
        <f t="shared" si="1"/>
        <v/>
      </c>
      <c r="F142" s="21">
        <f>IFERROR(__xludf.DUMMYFUNCTION("""COMPUTED_VALUE"""),263.0)</f>
        <v>263</v>
      </c>
      <c r="H142" s="36"/>
      <c r="I142" s="14"/>
      <c r="J142" s="14"/>
      <c r="L142" s="36"/>
      <c r="M142" s="14"/>
      <c r="N142" s="14"/>
      <c r="P142" s="21">
        <f>IFERROR(__xludf.DUMMYFUNCTION("""COMPUTED_VALUE"""),49.0)</f>
        <v>49</v>
      </c>
      <c r="Q142" s="14">
        <f>IFERROR(__xludf.DUMMYFUNCTION("""COMPUTED_VALUE"""),81.0)</f>
        <v>81</v>
      </c>
      <c r="R142" s="14" t="str">
        <f>IFERROR(__xludf.DUMMYFUNCTION("""COMPUTED_VALUE"""),"7/42")</f>
        <v>7/42</v>
      </c>
      <c r="S142" s="14">
        <f>IFERROR(__xludf.DUMMYFUNCTION("""COMPUTED_VALUE"""),20.0)</f>
        <v>20</v>
      </c>
      <c r="U142" s="21">
        <f>IFERROR(__xludf.DUMMYFUNCTION("""COMPUTED_VALUE"""),60.0)</f>
        <v>60</v>
      </c>
      <c r="V142" s="14">
        <f>IFERROR(__xludf.DUMMYFUNCTION("""COMPUTED_VALUE"""),52.0)</f>
        <v>52</v>
      </c>
      <c r="W142" s="14">
        <f>IFERROR(__xludf.DUMMYFUNCTION("""COMPUTED_VALUE"""),47.0)</f>
        <v>47</v>
      </c>
      <c r="X142" s="14">
        <f>IFERROR(__xludf.DUMMYFUNCTION("""COMPUTED_VALUE"""),5.0)</f>
        <v>5</v>
      </c>
    </row>
    <row r="143">
      <c r="A143" s="21">
        <f>Scores!A144</f>
        <v>133</v>
      </c>
      <c r="B143" s="14"/>
      <c r="C143" s="14">
        <v>273.0</v>
      </c>
      <c r="D143" s="14" t="str">
        <f t="shared" si="1"/>
        <v/>
      </c>
      <c r="F143" s="21">
        <f>IFERROR(__xludf.DUMMYFUNCTION("""COMPUTED_VALUE"""),264.0)</f>
        <v>264</v>
      </c>
      <c r="H143" s="36"/>
      <c r="I143" s="14"/>
      <c r="J143" s="14"/>
      <c r="L143" s="36"/>
      <c r="M143" s="14"/>
      <c r="N143" s="14"/>
      <c r="P143" s="21">
        <f>IFERROR(__xludf.DUMMYFUNCTION("""COMPUTED_VALUE"""),315.0)</f>
        <v>315</v>
      </c>
      <c r="Q143" s="14">
        <f>IFERROR(__xludf.DUMMYFUNCTION("""COMPUTED_VALUE"""),63.0)</f>
        <v>63</v>
      </c>
      <c r="R143" s="14" t="str">
        <f>IFERROR(__xludf.DUMMYFUNCTION("""COMPUTED_VALUE"""),"7/43")</f>
        <v>7/43</v>
      </c>
      <c r="S143" s="14">
        <f>IFERROR(__xludf.DUMMYFUNCTION("""COMPUTED_VALUE"""),1.0)</f>
        <v>1</v>
      </c>
      <c r="U143" s="21">
        <f>IFERROR(__xludf.DUMMYFUNCTION("""COMPUTED_VALUE"""),337.0)</f>
        <v>337</v>
      </c>
      <c r="V143" s="14">
        <f>IFERROR(__xludf.DUMMYFUNCTION("""COMPUTED_VALUE"""),48.0)</f>
        <v>48</v>
      </c>
      <c r="W143" s="14">
        <f>IFERROR(__xludf.DUMMYFUNCTION("""COMPUTED_VALUE"""),43.0)</f>
        <v>43</v>
      </c>
      <c r="X143" s="14">
        <f>IFERROR(__xludf.DUMMYFUNCTION("""COMPUTED_VALUE"""),5.0)</f>
        <v>5</v>
      </c>
    </row>
    <row r="144">
      <c r="A144" s="21">
        <f>Scores!A145</f>
        <v>134</v>
      </c>
      <c r="B144" s="14"/>
      <c r="C144" s="14">
        <v>123.0</v>
      </c>
      <c r="D144" s="14" t="str">
        <f t="shared" si="1"/>
        <v/>
      </c>
      <c r="F144" s="21">
        <f>IFERROR(__xludf.DUMMYFUNCTION("""COMPUTED_VALUE"""),265.0)</f>
        <v>265</v>
      </c>
      <c r="H144" s="36"/>
      <c r="I144" s="14"/>
      <c r="J144" s="14"/>
      <c r="L144" s="36"/>
      <c r="M144" s="14"/>
      <c r="N144" s="14"/>
      <c r="P144" s="21">
        <f>IFERROR(__xludf.DUMMYFUNCTION("""COMPUTED_VALUE"""),203.0)</f>
        <v>203</v>
      </c>
      <c r="Q144" s="14">
        <f>IFERROR(__xludf.DUMMYFUNCTION("""COMPUTED_VALUE"""),64.0)</f>
        <v>64</v>
      </c>
      <c r="R144" s="14" t="str">
        <f>IFERROR(__xludf.DUMMYFUNCTION("""COMPUTED_VALUE"""),"8/39")</f>
        <v>8/39</v>
      </c>
      <c r="S144" s="14" t="str">
        <f>IFERROR(__xludf.DUMMYFUNCTION("""COMPUTED_VALUE"""),"")</f>
        <v/>
      </c>
      <c r="U144" s="21">
        <f>IFERROR(__xludf.DUMMYFUNCTION("""COMPUTED_VALUE"""),6.0)</f>
        <v>6</v>
      </c>
      <c r="V144" s="14">
        <f>IFERROR(__xludf.DUMMYFUNCTION("""COMPUTED_VALUE"""),53.0)</f>
        <v>53</v>
      </c>
      <c r="W144" s="14">
        <f>IFERROR(__xludf.DUMMYFUNCTION("""COMPUTED_VALUE"""),49.0)</f>
        <v>49</v>
      </c>
      <c r="X144" s="14">
        <f>IFERROR(__xludf.DUMMYFUNCTION("""COMPUTED_VALUE"""),4.0)</f>
        <v>4</v>
      </c>
    </row>
    <row r="145">
      <c r="A145" s="21">
        <f>Scores!A146</f>
        <v>135</v>
      </c>
      <c r="B145" s="14">
        <v>32.0</v>
      </c>
      <c r="C145" s="14">
        <v>32.0</v>
      </c>
      <c r="D145" s="14">
        <f t="shared" si="1"/>
        <v>0</v>
      </c>
      <c r="F145" s="21">
        <f>IFERROR(__xludf.DUMMYFUNCTION("""COMPUTED_VALUE"""),266.0)</f>
        <v>266</v>
      </c>
      <c r="H145" s="36"/>
      <c r="I145" s="14"/>
      <c r="J145" s="14"/>
      <c r="L145" s="36"/>
      <c r="M145" s="14"/>
      <c r="N145" s="14"/>
      <c r="P145" s="21">
        <f>IFERROR(__xludf.DUMMYFUNCTION("""COMPUTED_VALUE"""),181.0)</f>
        <v>181</v>
      </c>
      <c r="Q145" s="14">
        <f>IFERROR(__xludf.DUMMYFUNCTION("""COMPUTED_VALUE"""),67.0)</f>
        <v>67</v>
      </c>
      <c r="R145" s="14" t="str">
        <f>IFERROR(__xludf.DUMMYFUNCTION("""COMPUTED_VALUE"""),"8/44")</f>
        <v>8/44</v>
      </c>
      <c r="S145" s="14">
        <f>IFERROR(__xludf.DUMMYFUNCTION("""COMPUTED_VALUE"""),2.0)</f>
        <v>2</v>
      </c>
      <c r="U145" s="21">
        <f>IFERROR(__xludf.DUMMYFUNCTION("""COMPUTED_VALUE"""),130.0)</f>
        <v>130</v>
      </c>
      <c r="V145" s="14">
        <f>IFERROR(__xludf.DUMMYFUNCTION("""COMPUTED_VALUE"""),65.0)</f>
        <v>65</v>
      </c>
      <c r="W145" s="14">
        <f>IFERROR(__xludf.DUMMYFUNCTION("""COMPUTED_VALUE"""),61.0)</f>
        <v>61</v>
      </c>
      <c r="X145" s="14">
        <f>IFERROR(__xludf.DUMMYFUNCTION("""COMPUTED_VALUE"""),4.0)</f>
        <v>4</v>
      </c>
    </row>
    <row r="146">
      <c r="A146" s="21">
        <f>Scores!A147</f>
        <v>136</v>
      </c>
      <c r="B146" s="14"/>
      <c r="C146" s="14">
        <v>94.0</v>
      </c>
      <c r="D146" s="14" t="str">
        <f t="shared" si="1"/>
        <v/>
      </c>
      <c r="F146" s="21">
        <f>IFERROR(__xludf.DUMMYFUNCTION("""COMPUTED_VALUE"""),268.0)</f>
        <v>268</v>
      </c>
      <c r="H146" s="36"/>
      <c r="I146" s="14"/>
      <c r="J146" s="14"/>
      <c r="L146" s="36"/>
      <c r="M146" s="14"/>
      <c r="N146" s="14"/>
      <c r="P146" s="21">
        <f>IFERROR(__xludf.DUMMYFUNCTION("""COMPUTED_VALUE"""),267.0)</f>
        <v>267</v>
      </c>
      <c r="Q146" s="14">
        <f>IFERROR(__xludf.DUMMYFUNCTION("""COMPUTED_VALUE"""),46.0)</f>
        <v>46</v>
      </c>
      <c r="R146" s="14" t="str">
        <f>IFERROR(__xludf.DUMMYFUNCTION("""COMPUTED_VALUE"""),"8/44")</f>
        <v>8/44</v>
      </c>
      <c r="S146" s="14">
        <f>IFERROR(__xludf.DUMMYFUNCTION("""COMPUTED_VALUE"""),12.0)</f>
        <v>12</v>
      </c>
      <c r="U146" s="21">
        <f>IFERROR(__xludf.DUMMYFUNCTION("""COMPUTED_VALUE"""),297.0)</f>
        <v>297</v>
      </c>
      <c r="V146" s="14">
        <f>IFERROR(__xludf.DUMMYFUNCTION("""COMPUTED_VALUE"""),47.0)</f>
        <v>47</v>
      </c>
      <c r="W146" s="14">
        <f>IFERROR(__xludf.DUMMYFUNCTION("""COMPUTED_VALUE"""),43.0)</f>
        <v>43</v>
      </c>
      <c r="X146" s="14">
        <f>IFERROR(__xludf.DUMMYFUNCTION("""COMPUTED_VALUE"""),4.0)</f>
        <v>4</v>
      </c>
    </row>
    <row r="147">
      <c r="A147" s="21">
        <f>Scores!A148</f>
        <v>137</v>
      </c>
      <c r="B147" s="14"/>
      <c r="C147" s="14">
        <v>137.0</v>
      </c>
      <c r="D147" s="14" t="str">
        <f t="shared" si="1"/>
        <v/>
      </c>
      <c r="F147" s="21">
        <f>IFERROR(__xludf.DUMMYFUNCTION("""COMPUTED_VALUE"""),269.0)</f>
        <v>269</v>
      </c>
      <c r="H147" s="36"/>
      <c r="I147" s="14"/>
      <c r="J147" s="14"/>
      <c r="L147" s="36"/>
      <c r="M147" s="14"/>
      <c r="N147" s="14"/>
      <c r="P147" s="21">
        <f>IFERROR(__xludf.DUMMYFUNCTION("""COMPUTED_VALUE"""),373.0)</f>
        <v>373</v>
      </c>
      <c r="Q147" s="14">
        <f>IFERROR(__xludf.DUMMYFUNCTION("""COMPUTED_VALUE"""),38.0)</f>
        <v>38</v>
      </c>
      <c r="R147" s="14" t="str">
        <f>IFERROR(__xludf.DUMMYFUNCTION("""COMPUTED_VALUE"""),"8/44")</f>
        <v>8/44</v>
      </c>
      <c r="S147" s="14">
        <f>IFERROR(__xludf.DUMMYFUNCTION("""COMPUTED_VALUE"""),9.0)</f>
        <v>9</v>
      </c>
      <c r="U147" s="21">
        <f>IFERROR(__xludf.DUMMYFUNCTION("""COMPUTED_VALUE"""),300.0)</f>
        <v>300</v>
      </c>
      <c r="V147" s="14">
        <f>IFERROR(__xludf.DUMMYFUNCTION("""COMPUTED_VALUE"""),91.0)</f>
        <v>91</v>
      </c>
      <c r="W147" s="14">
        <f>IFERROR(__xludf.DUMMYFUNCTION("""COMPUTED_VALUE"""),87.0)</f>
        <v>87</v>
      </c>
      <c r="X147" s="14">
        <f>IFERROR(__xludf.DUMMYFUNCTION("""COMPUTED_VALUE"""),4.0)</f>
        <v>4</v>
      </c>
    </row>
    <row r="148">
      <c r="A148" s="21">
        <f>Scores!A149</f>
        <v>138</v>
      </c>
      <c r="B148" s="14"/>
      <c r="C148" s="14">
        <v>103.0</v>
      </c>
      <c r="D148" s="14" t="str">
        <f t="shared" si="1"/>
        <v/>
      </c>
      <c r="F148" s="21">
        <f>IFERROR(__xludf.DUMMYFUNCTION("""COMPUTED_VALUE"""),270.0)</f>
        <v>270</v>
      </c>
      <c r="H148" s="36"/>
      <c r="I148" s="14"/>
      <c r="J148" s="14"/>
      <c r="L148" s="36"/>
      <c r="M148" s="14"/>
      <c r="N148" s="14"/>
      <c r="P148" s="21">
        <f>IFERROR(__xludf.DUMMYFUNCTION("""COMPUTED_VALUE"""),294.0)</f>
        <v>294</v>
      </c>
      <c r="Q148" s="14">
        <f>IFERROR(__xludf.DUMMYFUNCTION("""COMPUTED_VALUE"""),70.0)</f>
        <v>70</v>
      </c>
      <c r="R148" s="14" t="str">
        <f>IFERROR(__xludf.DUMMYFUNCTION("""COMPUTED_VALUE"""),"9/41")</f>
        <v>9/41</v>
      </c>
      <c r="S148" s="14" t="str">
        <f>IFERROR(__xludf.DUMMYFUNCTION("""COMPUTED_VALUE"""),"")</f>
        <v/>
      </c>
      <c r="U148" s="21">
        <f>IFERROR(__xludf.DUMMYFUNCTION("""COMPUTED_VALUE"""),347.0)</f>
        <v>347</v>
      </c>
      <c r="V148" s="14">
        <f>IFERROR(__xludf.DUMMYFUNCTION("""COMPUTED_VALUE"""),54.0)</f>
        <v>54</v>
      </c>
      <c r="W148" s="14">
        <f>IFERROR(__xludf.DUMMYFUNCTION("""COMPUTED_VALUE"""),50.0)</f>
        <v>50</v>
      </c>
      <c r="X148" s="14">
        <f>IFERROR(__xludf.DUMMYFUNCTION("""COMPUTED_VALUE"""),4.0)</f>
        <v>4</v>
      </c>
    </row>
    <row r="149">
      <c r="A149" s="21">
        <f>Scores!A150</f>
        <v>139</v>
      </c>
      <c r="B149" s="14"/>
      <c r="C149" s="14">
        <v>81.0</v>
      </c>
      <c r="D149" s="14" t="str">
        <f t="shared" si="1"/>
        <v/>
      </c>
      <c r="F149" s="21">
        <f>IFERROR(__xludf.DUMMYFUNCTION("""COMPUTED_VALUE"""),272.0)</f>
        <v>272</v>
      </c>
      <c r="H149" s="36"/>
      <c r="I149" s="14"/>
      <c r="J149" s="14"/>
      <c r="L149" s="36"/>
      <c r="M149" s="14"/>
      <c r="N149" s="14"/>
      <c r="P149" s="21">
        <f>IFERROR(__xludf.DUMMYFUNCTION("""COMPUTED_VALUE"""),295.0)</f>
        <v>295</v>
      </c>
      <c r="Q149" s="14">
        <f>IFERROR(__xludf.DUMMYFUNCTION("""COMPUTED_VALUE"""),54.0)</f>
        <v>54</v>
      </c>
      <c r="R149" s="14" t="str">
        <f>IFERROR(__xludf.DUMMYFUNCTION("""COMPUTED_VALUE"""),"9/41")</f>
        <v>9/41</v>
      </c>
      <c r="S149" s="14">
        <f>IFERROR(__xludf.DUMMYFUNCTION("""COMPUTED_VALUE"""),9.0)</f>
        <v>9</v>
      </c>
      <c r="U149" s="21">
        <f>IFERROR(__xludf.DUMMYFUNCTION("""COMPUTED_VALUE"""),1.0)</f>
        <v>1</v>
      </c>
      <c r="V149" s="14">
        <f>IFERROR(__xludf.DUMMYFUNCTION("""COMPUTED_VALUE"""),61.0)</f>
        <v>61</v>
      </c>
      <c r="W149" s="14">
        <f>IFERROR(__xludf.DUMMYFUNCTION("""COMPUTED_VALUE"""),58.0)</f>
        <v>58</v>
      </c>
      <c r="X149" s="14">
        <f>IFERROR(__xludf.DUMMYFUNCTION("""COMPUTED_VALUE"""),3.0)</f>
        <v>3</v>
      </c>
    </row>
    <row r="150">
      <c r="A150" s="21">
        <f>Scores!A151</f>
        <v>140</v>
      </c>
      <c r="B150" s="14">
        <v>36.0</v>
      </c>
      <c r="C150" s="14">
        <v>36.0</v>
      </c>
      <c r="D150" s="14">
        <f t="shared" si="1"/>
        <v>0</v>
      </c>
      <c r="F150" s="21">
        <f>IFERROR(__xludf.DUMMYFUNCTION("""COMPUTED_VALUE"""),273.0)</f>
        <v>273</v>
      </c>
      <c r="H150" s="36"/>
      <c r="I150" s="14"/>
      <c r="J150" s="14"/>
      <c r="L150" s="36"/>
      <c r="M150" s="14"/>
      <c r="N150" s="14"/>
      <c r="P150" s="21">
        <f>IFERROR(__xludf.DUMMYFUNCTION("""COMPUTED_VALUE"""),389.0)</f>
        <v>389</v>
      </c>
      <c r="Q150" s="14">
        <f>IFERROR(__xludf.DUMMYFUNCTION("""COMPUTED_VALUE"""),57.0)</f>
        <v>57</v>
      </c>
      <c r="R150" s="14" t="str">
        <f>IFERROR(__xludf.DUMMYFUNCTION("""COMPUTED_VALUE"""),"9/43")</f>
        <v>9/43</v>
      </c>
      <c r="S150" s="14">
        <f>IFERROR(__xludf.DUMMYFUNCTION("""COMPUTED_VALUE"""),7.0)</f>
        <v>7</v>
      </c>
      <c r="U150" s="21">
        <f>IFERROR(__xludf.DUMMYFUNCTION("""COMPUTED_VALUE"""),45.0)</f>
        <v>45</v>
      </c>
      <c r="V150" s="14">
        <f>IFERROR(__xludf.DUMMYFUNCTION("""COMPUTED_VALUE"""),48.0)</f>
        <v>48</v>
      </c>
      <c r="W150" s="14">
        <f>IFERROR(__xludf.DUMMYFUNCTION("""COMPUTED_VALUE"""),45.0)</f>
        <v>45</v>
      </c>
      <c r="X150" s="14">
        <f>IFERROR(__xludf.DUMMYFUNCTION("""COMPUTED_VALUE"""),3.0)</f>
        <v>3</v>
      </c>
    </row>
    <row r="151">
      <c r="A151" s="21">
        <f>Scores!A152</f>
        <v>141</v>
      </c>
      <c r="B151" s="14"/>
      <c r="C151" s="14">
        <v>92.0</v>
      </c>
      <c r="D151" s="14" t="str">
        <f t="shared" si="1"/>
        <v/>
      </c>
      <c r="F151" s="21">
        <f>IFERROR(__xludf.DUMMYFUNCTION("""COMPUTED_VALUE"""),274.0)</f>
        <v>274</v>
      </c>
      <c r="H151" s="36"/>
      <c r="I151" s="14"/>
      <c r="J151" s="14"/>
      <c r="L151" s="36"/>
      <c r="M151" s="14"/>
      <c r="N151" s="14"/>
      <c r="P151" s="21">
        <f>IFERROR(__xludf.DUMMYFUNCTION("""COMPUTED_VALUE"""),47.0)</f>
        <v>47</v>
      </c>
      <c r="Q151" s="14">
        <f>IFERROR(__xludf.DUMMYFUNCTION("""COMPUTED_VALUE"""),55.0)</f>
        <v>55</v>
      </c>
      <c r="R151" s="14" t="str">
        <f>IFERROR(__xludf.DUMMYFUNCTION("""COMPUTED_VALUE"""),"9/44")</f>
        <v>9/44</v>
      </c>
      <c r="S151" s="14">
        <f>IFERROR(__xludf.DUMMYFUNCTION("""COMPUTED_VALUE"""),17.0)</f>
        <v>17</v>
      </c>
      <c r="U151" s="21">
        <f>IFERROR(__xludf.DUMMYFUNCTION("""COMPUTED_VALUE"""),262.0)</f>
        <v>262</v>
      </c>
      <c r="V151" s="14">
        <f>IFERROR(__xludf.DUMMYFUNCTION("""COMPUTED_VALUE"""),42.0)</f>
        <v>42</v>
      </c>
      <c r="W151" s="14">
        <f>IFERROR(__xludf.DUMMYFUNCTION("""COMPUTED_VALUE"""),39.0)</f>
        <v>39</v>
      </c>
      <c r="X151" s="14">
        <f>IFERROR(__xludf.DUMMYFUNCTION("""COMPUTED_VALUE"""),3.0)</f>
        <v>3</v>
      </c>
    </row>
    <row r="152">
      <c r="A152" s="21">
        <f>Scores!A153</f>
        <v>142</v>
      </c>
      <c r="B152" s="14">
        <v>40.0</v>
      </c>
      <c r="C152" s="14">
        <v>40.0</v>
      </c>
      <c r="D152" s="14">
        <f t="shared" si="1"/>
        <v>0</v>
      </c>
      <c r="F152" s="21">
        <f>IFERROR(__xludf.DUMMYFUNCTION("""COMPUTED_VALUE"""),275.0)</f>
        <v>275</v>
      </c>
      <c r="H152" s="36"/>
      <c r="I152" s="14"/>
      <c r="J152" s="14"/>
      <c r="L152" s="36"/>
      <c r="M152" s="14"/>
      <c r="N152" s="14"/>
      <c r="P152" s="21">
        <f>IFERROR(__xludf.DUMMYFUNCTION("""COMPUTED_VALUE"""),84.0)</f>
        <v>84</v>
      </c>
      <c r="Q152" s="14">
        <f>IFERROR(__xludf.DUMMYFUNCTION("""COMPUTED_VALUE"""),62.0)</f>
        <v>62</v>
      </c>
      <c r="R152" s="14" t="str">
        <f>IFERROR(__xludf.DUMMYFUNCTION("""COMPUTED_VALUE"""),"9/44")</f>
        <v>9/44</v>
      </c>
      <c r="S152" s="14">
        <f>IFERROR(__xludf.DUMMYFUNCTION("""COMPUTED_VALUE"""),20.0)</f>
        <v>20</v>
      </c>
      <c r="U152" s="21">
        <f>IFERROR(__xludf.DUMMYFUNCTION("""COMPUTED_VALUE"""),291.0)</f>
        <v>291</v>
      </c>
      <c r="V152" s="14">
        <f>IFERROR(__xludf.DUMMYFUNCTION("""COMPUTED_VALUE"""),62.0)</f>
        <v>62</v>
      </c>
      <c r="W152" s="14">
        <f>IFERROR(__xludf.DUMMYFUNCTION("""COMPUTED_VALUE"""),59.0)</f>
        <v>59</v>
      </c>
      <c r="X152" s="14">
        <f>IFERROR(__xludf.DUMMYFUNCTION("""COMPUTED_VALUE"""),3.0)</f>
        <v>3</v>
      </c>
    </row>
    <row r="153">
      <c r="A153" s="21">
        <f>Scores!A154</f>
        <v>143</v>
      </c>
      <c r="B153" s="14"/>
      <c r="C153" s="14">
        <v>127.0</v>
      </c>
      <c r="D153" s="14" t="str">
        <f t="shared" si="1"/>
        <v/>
      </c>
      <c r="F153" s="21">
        <f>IFERROR(__xludf.DUMMYFUNCTION("""COMPUTED_VALUE"""),277.0)</f>
        <v>277</v>
      </c>
      <c r="H153" s="36"/>
      <c r="I153" s="14"/>
      <c r="J153" s="14"/>
      <c r="L153" s="36"/>
      <c r="M153" s="14"/>
      <c r="N153" s="14"/>
      <c r="P153" s="21">
        <f>IFERROR(__xludf.DUMMYFUNCTION("""COMPUTED_VALUE"""),171.0)</f>
        <v>171</v>
      </c>
      <c r="Q153" s="14">
        <f>IFERROR(__xludf.DUMMYFUNCTION("""COMPUTED_VALUE"""),51.0)</f>
        <v>51</v>
      </c>
      <c r="R153" s="14" t="str">
        <f>IFERROR(__xludf.DUMMYFUNCTION("""COMPUTED_VALUE"""),"9/44")</f>
        <v>9/44</v>
      </c>
      <c r="S153" s="14">
        <f>IFERROR(__xludf.DUMMYFUNCTION("""COMPUTED_VALUE"""),15.0)</f>
        <v>15</v>
      </c>
      <c r="U153" s="21">
        <f>IFERROR(__xludf.DUMMYFUNCTION("""COMPUTED_VALUE"""),376.0)</f>
        <v>376</v>
      </c>
      <c r="V153" s="14">
        <f>IFERROR(__xludf.DUMMYFUNCTION("""COMPUTED_VALUE"""),33.0)</f>
        <v>33</v>
      </c>
      <c r="W153" s="14">
        <f>IFERROR(__xludf.DUMMYFUNCTION("""COMPUTED_VALUE"""),30.0)</f>
        <v>30</v>
      </c>
      <c r="X153" s="14">
        <f>IFERROR(__xludf.DUMMYFUNCTION("""COMPUTED_VALUE"""),3.0)</f>
        <v>3</v>
      </c>
    </row>
    <row r="154">
      <c r="A154" s="21">
        <f>Scores!A155</f>
        <v>144</v>
      </c>
      <c r="B154" s="14">
        <v>63.0</v>
      </c>
      <c r="C154" s="14">
        <v>53.0</v>
      </c>
      <c r="D154" s="14">
        <f t="shared" si="1"/>
        <v>10</v>
      </c>
      <c r="F154" s="21">
        <f>IFERROR(__xludf.DUMMYFUNCTION("""COMPUTED_VALUE"""),278.0)</f>
        <v>278</v>
      </c>
      <c r="H154" s="36"/>
      <c r="I154" s="14"/>
      <c r="J154" s="14"/>
      <c r="L154" s="36"/>
      <c r="M154" s="14"/>
      <c r="N154" s="14"/>
      <c r="P154" s="21">
        <f>IFERROR(__xludf.DUMMYFUNCTION("""COMPUTED_VALUE"""),126.0)</f>
        <v>126</v>
      </c>
      <c r="Q154" s="14">
        <f>IFERROR(__xludf.DUMMYFUNCTION("""COMPUTED_VALUE"""),54.0)</f>
        <v>54</v>
      </c>
      <c r="R154" s="14" t="str">
        <f>IFERROR(__xludf.DUMMYFUNCTION("""COMPUTED_VALUE"""),"9/45")</f>
        <v>9/45</v>
      </c>
      <c r="S154" s="14">
        <f>IFERROR(__xludf.DUMMYFUNCTION("""COMPUTED_VALUE"""),6.0)</f>
        <v>6</v>
      </c>
      <c r="U154" s="21">
        <f>IFERROR(__xludf.DUMMYFUNCTION("""COMPUTED_VALUE"""),181.0)</f>
        <v>181</v>
      </c>
      <c r="V154" s="14">
        <f>IFERROR(__xludf.DUMMYFUNCTION("""COMPUTED_VALUE"""),69.0)</f>
        <v>69</v>
      </c>
      <c r="W154" s="14">
        <f>IFERROR(__xludf.DUMMYFUNCTION("""COMPUTED_VALUE"""),67.0)</f>
        <v>67</v>
      </c>
      <c r="X154" s="14">
        <f>IFERROR(__xludf.DUMMYFUNCTION("""COMPUTED_VALUE"""),2.0)</f>
        <v>2</v>
      </c>
    </row>
    <row r="155">
      <c r="A155" s="21">
        <f>Scores!A156</f>
        <v>145</v>
      </c>
      <c r="B155" s="14"/>
      <c r="C155" s="14">
        <v>157.0</v>
      </c>
      <c r="D155" s="14" t="str">
        <f t="shared" si="1"/>
        <v/>
      </c>
      <c r="F155" s="21">
        <f>IFERROR(__xludf.DUMMYFUNCTION("""COMPUTED_VALUE"""),279.0)</f>
        <v>279</v>
      </c>
      <c r="H155" s="36"/>
      <c r="I155" s="14"/>
      <c r="J155" s="14"/>
      <c r="L155" s="36"/>
      <c r="M155" s="14"/>
      <c r="N155" s="14"/>
      <c r="P155" s="21">
        <f>IFERROR(__xludf.DUMMYFUNCTION("""COMPUTED_VALUE"""),312.0)</f>
        <v>312</v>
      </c>
      <c r="Q155" s="14">
        <f>IFERROR(__xludf.DUMMYFUNCTION("""COMPUTED_VALUE"""),44.0)</f>
        <v>44</v>
      </c>
      <c r="R155" s="14" t="str">
        <f>IFERROR(__xludf.DUMMYFUNCTION("""COMPUTED_VALUE"""),"9/45")</f>
        <v>9/45</v>
      </c>
      <c r="S155" s="14">
        <f>IFERROR(__xludf.DUMMYFUNCTION("""COMPUTED_VALUE"""),1.0)</f>
        <v>1</v>
      </c>
      <c r="U155" s="21">
        <f>IFERROR(__xludf.DUMMYFUNCTION("""COMPUTED_VALUE"""),309.0)</f>
        <v>309</v>
      </c>
      <c r="V155" s="14">
        <f>IFERROR(__xludf.DUMMYFUNCTION("""COMPUTED_VALUE"""),38.0)</f>
        <v>38</v>
      </c>
      <c r="W155" s="14">
        <f>IFERROR(__xludf.DUMMYFUNCTION("""COMPUTED_VALUE"""),36.0)</f>
        <v>36</v>
      </c>
      <c r="X155" s="14">
        <f>IFERROR(__xludf.DUMMYFUNCTION("""COMPUTED_VALUE"""),2.0)</f>
        <v>2</v>
      </c>
    </row>
    <row r="156">
      <c r="A156" s="21">
        <f>Scores!A157</f>
        <v>146</v>
      </c>
      <c r="B156" s="14"/>
      <c r="C156" s="14">
        <v>58.0</v>
      </c>
      <c r="D156" s="14" t="str">
        <f t="shared" si="1"/>
        <v/>
      </c>
      <c r="F156" s="21">
        <f>IFERROR(__xludf.DUMMYFUNCTION("""COMPUTED_VALUE"""),280.0)</f>
        <v>280</v>
      </c>
      <c r="H156" s="36"/>
      <c r="I156" s="14"/>
      <c r="J156" s="14"/>
      <c r="L156" s="36"/>
      <c r="M156" s="14"/>
      <c r="N156" s="14"/>
      <c r="P156" s="36"/>
      <c r="Q156" s="14"/>
      <c r="R156" s="14"/>
      <c r="S156" s="14"/>
      <c r="U156" s="21">
        <f>IFERROR(__xludf.DUMMYFUNCTION("""COMPUTED_VALUE"""),329.0)</f>
        <v>329</v>
      </c>
      <c r="V156" s="14">
        <f>IFERROR(__xludf.DUMMYFUNCTION("""COMPUTED_VALUE"""),56.0)</f>
        <v>56</v>
      </c>
      <c r="W156" s="14">
        <f>IFERROR(__xludf.DUMMYFUNCTION("""COMPUTED_VALUE"""),54.0)</f>
        <v>54</v>
      </c>
      <c r="X156" s="14">
        <f>IFERROR(__xludf.DUMMYFUNCTION("""COMPUTED_VALUE"""),2.0)</f>
        <v>2</v>
      </c>
    </row>
    <row r="157">
      <c r="A157" s="21">
        <f>Scores!A158</f>
        <v>147</v>
      </c>
      <c r="B157" s="14"/>
      <c r="C157" s="14">
        <v>72.0</v>
      </c>
      <c r="D157" s="14" t="str">
        <f t="shared" si="1"/>
        <v/>
      </c>
      <c r="F157" s="21">
        <f>IFERROR(__xludf.DUMMYFUNCTION("""COMPUTED_VALUE"""),281.0)</f>
        <v>281</v>
      </c>
      <c r="H157" s="36"/>
      <c r="I157" s="14"/>
      <c r="J157" s="14"/>
      <c r="L157" s="36"/>
      <c r="M157" s="14"/>
      <c r="N157" s="14"/>
      <c r="P157" s="36"/>
      <c r="Q157" s="14"/>
      <c r="R157" s="14"/>
      <c r="S157" s="14"/>
      <c r="U157" s="21">
        <f>IFERROR(__xludf.DUMMYFUNCTION("""COMPUTED_VALUE"""),38.0)</f>
        <v>38</v>
      </c>
      <c r="V157" s="14">
        <f>IFERROR(__xludf.DUMMYFUNCTION("""COMPUTED_VALUE"""),52.0)</f>
        <v>52</v>
      </c>
      <c r="W157" s="14">
        <f>IFERROR(__xludf.DUMMYFUNCTION("""COMPUTED_VALUE"""),51.0)</f>
        <v>51</v>
      </c>
      <c r="X157" s="14">
        <f>IFERROR(__xludf.DUMMYFUNCTION("""COMPUTED_VALUE"""),1.0)</f>
        <v>1</v>
      </c>
    </row>
    <row r="158">
      <c r="A158" s="21">
        <f>Scores!A159</f>
        <v>148</v>
      </c>
      <c r="B158" s="14"/>
      <c r="C158" s="14">
        <v>118.0</v>
      </c>
      <c r="D158" s="14" t="str">
        <f t="shared" si="1"/>
        <v/>
      </c>
      <c r="F158" s="21">
        <f>IFERROR(__xludf.DUMMYFUNCTION("""COMPUTED_VALUE"""),282.0)</f>
        <v>282</v>
      </c>
      <c r="G158" s="14"/>
      <c r="H158" s="36"/>
      <c r="I158" s="14"/>
      <c r="J158" s="14"/>
      <c r="K158" s="14"/>
      <c r="L158" s="36"/>
      <c r="M158" s="14"/>
      <c r="N158" s="14"/>
      <c r="O158" s="14"/>
      <c r="P158" s="36"/>
      <c r="Q158" s="14"/>
      <c r="R158" s="14"/>
      <c r="S158" s="14"/>
      <c r="U158" s="21">
        <f>IFERROR(__xludf.DUMMYFUNCTION("""COMPUTED_VALUE"""),52.0)</f>
        <v>52</v>
      </c>
      <c r="V158" s="14">
        <f>IFERROR(__xludf.DUMMYFUNCTION("""COMPUTED_VALUE"""),41.0)</f>
        <v>41</v>
      </c>
      <c r="W158" s="14">
        <f>IFERROR(__xludf.DUMMYFUNCTION("""COMPUTED_VALUE"""),40.0)</f>
        <v>40</v>
      </c>
      <c r="X158" s="14">
        <f>IFERROR(__xludf.DUMMYFUNCTION("""COMPUTED_VALUE"""),1.0)</f>
        <v>1</v>
      </c>
    </row>
    <row r="159">
      <c r="A159" s="21">
        <f>Scores!A160</f>
        <v>149</v>
      </c>
      <c r="B159" s="14"/>
      <c r="C159" s="14">
        <v>74.0</v>
      </c>
      <c r="D159" s="14" t="str">
        <f t="shared" si="1"/>
        <v/>
      </c>
      <c r="F159" s="21">
        <f>IFERROR(__xludf.DUMMYFUNCTION("""COMPUTED_VALUE"""),283.0)</f>
        <v>283</v>
      </c>
      <c r="G159" s="14"/>
      <c r="H159" s="36"/>
      <c r="I159" s="14"/>
      <c r="J159" s="14"/>
      <c r="K159" s="14"/>
      <c r="L159" s="36"/>
      <c r="M159" s="14"/>
      <c r="N159" s="14"/>
      <c r="O159" s="14"/>
      <c r="P159" s="36"/>
      <c r="Q159" s="14"/>
      <c r="R159" s="14"/>
      <c r="S159" s="14"/>
      <c r="U159" s="21">
        <f>IFERROR(__xludf.DUMMYFUNCTION("""COMPUTED_VALUE"""),53.0)</f>
        <v>53</v>
      </c>
      <c r="V159" s="14">
        <f>IFERROR(__xludf.DUMMYFUNCTION("""COMPUTED_VALUE"""),22.0)</f>
        <v>22</v>
      </c>
      <c r="W159" s="14">
        <f>IFERROR(__xludf.DUMMYFUNCTION("""COMPUTED_VALUE"""),21.0)</f>
        <v>21</v>
      </c>
      <c r="X159" s="14">
        <f>IFERROR(__xludf.DUMMYFUNCTION("""COMPUTED_VALUE"""),1.0)</f>
        <v>1</v>
      </c>
    </row>
    <row r="160">
      <c r="A160" s="21">
        <f>Scores!A161</f>
        <v>150</v>
      </c>
      <c r="B160" s="14">
        <v>30.0</v>
      </c>
      <c r="C160" s="14">
        <v>30.0</v>
      </c>
      <c r="D160" s="14">
        <f t="shared" si="1"/>
        <v>0</v>
      </c>
      <c r="F160" s="21">
        <f>IFERROR(__xludf.DUMMYFUNCTION("""COMPUTED_VALUE"""),284.0)</f>
        <v>284</v>
      </c>
      <c r="G160" s="14"/>
      <c r="H160" s="36"/>
      <c r="I160" s="14"/>
      <c r="J160" s="14"/>
      <c r="K160" s="14"/>
      <c r="L160" s="36"/>
      <c r="M160" s="14"/>
      <c r="N160" s="14"/>
      <c r="O160" s="14"/>
      <c r="P160" s="36"/>
      <c r="Q160" s="14"/>
      <c r="R160" s="14"/>
      <c r="S160" s="14"/>
      <c r="U160" s="21">
        <f>IFERROR(__xludf.DUMMYFUNCTION("""COMPUTED_VALUE"""),152.0)</f>
        <v>152</v>
      </c>
      <c r="V160" s="14">
        <f>IFERROR(__xludf.DUMMYFUNCTION("""COMPUTED_VALUE"""),40.0)</f>
        <v>40</v>
      </c>
      <c r="W160" s="14">
        <f>IFERROR(__xludf.DUMMYFUNCTION("""COMPUTED_VALUE"""),39.0)</f>
        <v>39</v>
      </c>
      <c r="X160" s="14">
        <f>IFERROR(__xludf.DUMMYFUNCTION("""COMPUTED_VALUE"""),1.0)</f>
        <v>1</v>
      </c>
    </row>
    <row r="161">
      <c r="A161" s="21">
        <f>Scores!A162</f>
        <v>151</v>
      </c>
      <c r="B161" s="14"/>
      <c r="C161" s="14">
        <v>100.0</v>
      </c>
      <c r="D161" s="14" t="str">
        <f t="shared" si="1"/>
        <v/>
      </c>
      <c r="F161" s="21">
        <f>IFERROR(__xludf.DUMMYFUNCTION("""COMPUTED_VALUE"""),285.0)</f>
        <v>285</v>
      </c>
      <c r="G161" s="14"/>
      <c r="H161" s="36"/>
      <c r="I161" s="14"/>
      <c r="J161" s="14"/>
      <c r="K161" s="14"/>
      <c r="L161" s="36"/>
      <c r="M161" s="14"/>
      <c r="N161" s="14"/>
      <c r="O161" s="14"/>
      <c r="P161" s="36"/>
      <c r="Q161" s="14"/>
      <c r="R161" s="14"/>
      <c r="S161" s="14"/>
      <c r="U161" s="21">
        <f>IFERROR(__xludf.DUMMYFUNCTION("""COMPUTED_VALUE"""),211.0)</f>
        <v>211</v>
      </c>
      <c r="V161" s="14">
        <f>IFERROR(__xludf.DUMMYFUNCTION("""COMPUTED_VALUE"""),49.0)</f>
        <v>49</v>
      </c>
      <c r="W161" s="14">
        <f>IFERROR(__xludf.DUMMYFUNCTION("""COMPUTED_VALUE"""),48.0)</f>
        <v>48</v>
      </c>
      <c r="X161" s="14">
        <f>IFERROR(__xludf.DUMMYFUNCTION("""COMPUTED_VALUE"""),1.0)</f>
        <v>1</v>
      </c>
    </row>
    <row r="162">
      <c r="A162" s="21">
        <f>Scores!A163</f>
        <v>152</v>
      </c>
      <c r="B162" s="14">
        <v>40.0</v>
      </c>
      <c r="C162" s="14">
        <v>39.0</v>
      </c>
      <c r="D162" s="14">
        <f t="shared" si="1"/>
        <v>1</v>
      </c>
      <c r="F162" s="21">
        <f>IFERROR(__xludf.DUMMYFUNCTION("""COMPUTED_VALUE"""),286.0)</f>
        <v>286</v>
      </c>
      <c r="G162" s="14"/>
      <c r="H162" s="36"/>
      <c r="I162" s="14"/>
      <c r="J162" s="14"/>
      <c r="K162" s="14"/>
      <c r="L162" s="36"/>
      <c r="M162" s="14"/>
      <c r="N162" s="14"/>
      <c r="O162" s="14"/>
      <c r="P162" s="36"/>
      <c r="Q162" s="14"/>
      <c r="R162" s="14"/>
      <c r="S162" s="14"/>
      <c r="U162" s="21">
        <f>IFERROR(__xludf.DUMMYFUNCTION("""COMPUTED_VALUE"""),231.0)</f>
        <v>231</v>
      </c>
      <c r="V162" s="14">
        <f>IFERROR(__xludf.DUMMYFUNCTION("""COMPUTED_VALUE"""),43.0)</f>
        <v>43</v>
      </c>
      <c r="W162" s="14">
        <f>IFERROR(__xludf.DUMMYFUNCTION("""COMPUTED_VALUE"""),42.0)</f>
        <v>42</v>
      </c>
      <c r="X162" s="14">
        <f>IFERROR(__xludf.DUMMYFUNCTION("""COMPUTED_VALUE"""),1.0)</f>
        <v>1</v>
      </c>
    </row>
    <row r="163">
      <c r="A163" s="21">
        <f>Scores!A164</f>
        <v>153</v>
      </c>
      <c r="B163" s="14"/>
      <c r="C163" s="14">
        <v>118.0</v>
      </c>
      <c r="D163" s="14" t="str">
        <f t="shared" si="1"/>
        <v/>
      </c>
      <c r="F163" s="21">
        <f>IFERROR(__xludf.DUMMYFUNCTION("""COMPUTED_VALUE"""),287.0)</f>
        <v>287</v>
      </c>
      <c r="G163" s="14"/>
      <c r="H163" s="36"/>
      <c r="I163" s="14"/>
      <c r="J163" s="14"/>
      <c r="K163" s="14"/>
      <c r="L163" s="36"/>
      <c r="M163" s="14"/>
      <c r="N163" s="14"/>
      <c r="O163" s="14"/>
      <c r="P163" s="36"/>
      <c r="Q163" s="14"/>
      <c r="R163" s="14"/>
      <c r="S163" s="14"/>
      <c r="U163" s="21">
        <f>IFERROR(__xludf.DUMMYFUNCTION("""COMPUTED_VALUE"""),261.0)</f>
        <v>261</v>
      </c>
      <c r="V163" s="14">
        <f>IFERROR(__xludf.DUMMYFUNCTION("""COMPUTED_VALUE"""),48.0)</f>
        <v>48</v>
      </c>
      <c r="W163" s="14">
        <f>IFERROR(__xludf.DUMMYFUNCTION("""COMPUTED_VALUE"""),47.0)</f>
        <v>47</v>
      </c>
      <c r="X163" s="14">
        <f>IFERROR(__xludf.DUMMYFUNCTION("""COMPUTED_VALUE"""),1.0)</f>
        <v>1</v>
      </c>
    </row>
    <row r="164">
      <c r="A164" s="21">
        <f>Scores!A165</f>
        <v>154</v>
      </c>
      <c r="B164" s="14"/>
      <c r="C164" s="14">
        <v>96.0</v>
      </c>
      <c r="D164" s="14" t="str">
        <f t="shared" si="1"/>
        <v/>
      </c>
      <c r="F164" s="21">
        <f>IFERROR(__xludf.DUMMYFUNCTION("""COMPUTED_VALUE"""),288.0)</f>
        <v>288</v>
      </c>
      <c r="G164" s="14"/>
      <c r="H164" s="36"/>
      <c r="I164" s="14"/>
      <c r="J164" s="14"/>
      <c r="K164" s="14"/>
      <c r="L164" s="36"/>
      <c r="M164" s="14"/>
      <c r="N164" s="14"/>
      <c r="O164" s="14"/>
      <c r="P164" s="36"/>
      <c r="Q164" s="14"/>
      <c r="R164" s="14"/>
      <c r="S164" s="14"/>
      <c r="U164" s="21">
        <f>IFERROR(__xludf.DUMMYFUNCTION("""COMPUTED_VALUE"""),276.0)</f>
        <v>276</v>
      </c>
      <c r="V164" s="14">
        <f>IFERROR(__xludf.DUMMYFUNCTION("""COMPUTED_VALUE"""),38.0)</f>
        <v>38</v>
      </c>
      <c r="W164" s="14">
        <f>IFERROR(__xludf.DUMMYFUNCTION("""COMPUTED_VALUE"""),37.0)</f>
        <v>37</v>
      </c>
      <c r="X164" s="14">
        <f>IFERROR(__xludf.DUMMYFUNCTION("""COMPUTED_VALUE"""),1.0)</f>
        <v>1</v>
      </c>
    </row>
    <row r="165">
      <c r="A165" s="21">
        <f>Scores!A166</f>
        <v>155</v>
      </c>
      <c r="B165" s="14">
        <v>18.0</v>
      </c>
      <c r="C165" s="14">
        <v>18.0</v>
      </c>
      <c r="D165" s="14">
        <f t="shared" si="1"/>
        <v>0</v>
      </c>
      <c r="F165" s="21">
        <f>IFERROR(__xludf.DUMMYFUNCTION("""COMPUTED_VALUE"""),289.0)</f>
        <v>289</v>
      </c>
      <c r="G165" s="14"/>
      <c r="H165" s="36"/>
      <c r="I165" s="14"/>
      <c r="J165" s="14"/>
      <c r="K165" s="14"/>
      <c r="L165" s="36"/>
      <c r="M165" s="14"/>
      <c r="N165" s="14"/>
      <c r="O165" s="14"/>
      <c r="P165" s="36"/>
      <c r="Q165" s="14"/>
      <c r="R165" s="14"/>
      <c r="S165" s="14"/>
      <c r="U165" s="21">
        <f>IFERROR(__xludf.DUMMYFUNCTION("""COMPUTED_VALUE"""),312.0)</f>
        <v>312</v>
      </c>
      <c r="V165" s="14">
        <f>IFERROR(__xludf.DUMMYFUNCTION("""COMPUTED_VALUE"""),45.0)</f>
        <v>45</v>
      </c>
      <c r="W165" s="14">
        <f>IFERROR(__xludf.DUMMYFUNCTION("""COMPUTED_VALUE"""),44.0)</f>
        <v>44</v>
      </c>
      <c r="X165" s="14">
        <f>IFERROR(__xludf.DUMMYFUNCTION("""COMPUTED_VALUE"""),1.0)</f>
        <v>1</v>
      </c>
    </row>
    <row r="166">
      <c r="A166" s="21">
        <f>Scores!A167</f>
        <v>156</v>
      </c>
      <c r="B166" s="14"/>
      <c r="C166" s="14">
        <v>118.0</v>
      </c>
      <c r="D166" s="14" t="str">
        <f t="shared" si="1"/>
        <v/>
      </c>
      <c r="F166" s="21">
        <f>IFERROR(__xludf.DUMMYFUNCTION("""COMPUTED_VALUE"""),290.0)</f>
        <v>290</v>
      </c>
      <c r="G166" s="14"/>
      <c r="H166" s="36"/>
      <c r="I166" s="14"/>
      <c r="J166" s="14"/>
      <c r="K166" s="14"/>
      <c r="L166" s="36"/>
      <c r="M166" s="14"/>
      <c r="N166" s="14"/>
      <c r="O166" s="14"/>
      <c r="P166" s="36"/>
      <c r="Q166" s="14"/>
      <c r="R166" s="14"/>
      <c r="S166" s="14"/>
      <c r="U166" s="21">
        <f>IFERROR(__xludf.DUMMYFUNCTION("""COMPUTED_VALUE"""),315.0)</f>
        <v>315</v>
      </c>
      <c r="V166" s="14">
        <f>IFERROR(__xludf.DUMMYFUNCTION("""COMPUTED_VALUE"""),64.0)</f>
        <v>64</v>
      </c>
      <c r="W166" s="14">
        <f>IFERROR(__xludf.DUMMYFUNCTION("""COMPUTED_VALUE"""),63.0)</f>
        <v>63</v>
      </c>
      <c r="X166" s="14">
        <f>IFERROR(__xludf.DUMMYFUNCTION("""COMPUTED_VALUE"""),1.0)</f>
        <v>1</v>
      </c>
    </row>
    <row r="167">
      <c r="A167" s="21">
        <f>Scores!A168</f>
        <v>157</v>
      </c>
      <c r="B167" s="14"/>
      <c r="C167" s="14">
        <v>237.0</v>
      </c>
      <c r="D167" s="14" t="str">
        <f t="shared" si="1"/>
        <v/>
      </c>
      <c r="F167" s="21">
        <f>IFERROR(__xludf.DUMMYFUNCTION("""COMPUTED_VALUE"""),294.0)</f>
        <v>294</v>
      </c>
      <c r="G167" s="14"/>
      <c r="H167" s="36"/>
      <c r="I167" s="14"/>
      <c r="J167" s="14"/>
      <c r="K167" s="14"/>
      <c r="L167" s="36"/>
      <c r="M167" s="14"/>
      <c r="N167" s="14"/>
      <c r="O167" s="14"/>
      <c r="P167" s="36"/>
      <c r="Q167" s="14"/>
      <c r="R167" s="14"/>
      <c r="S167" s="14"/>
      <c r="U167" s="21">
        <f>IFERROR(__xludf.DUMMYFUNCTION("""COMPUTED_VALUE"""),32.0)</f>
        <v>32</v>
      </c>
      <c r="V167" s="14">
        <f>IFERROR(__xludf.DUMMYFUNCTION("""COMPUTED_VALUE"""),39.0)</f>
        <v>39</v>
      </c>
      <c r="W167" s="14">
        <f>IFERROR(__xludf.DUMMYFUNCTION("""COMPUTED_VALUE"""),39.0)</f>
        <v>39</v>
      </c>
      <c r="X167" s="14">
        <f>IFERROR(__xludf.DUMMYFUNCTION("""COMPUTED_VALUE"""),0.0)</f>
        <v>0</v>
      </c>
    </row>
    <row r="168">
      <c r="A168" s="21">
        <f>Scores!A169</f>
        <v>158</v>
      </c>
      <c r="B168" s="14"/>
      <c r="C168" s="14">
        <v>260.0</v>
      </c>
      <c r="D168" s="14" t="str">
        <f t="shared" si="1"/>
        <v/>
      </c>
      <c r="F168" s="21">
        <f>IFERROR(__xludf.DUMMYFUNCTION("""COMPUTED_VALUE"""),296.0)</f>
        <v>296</v>
      </c>
      <c r="G168" s="14"/>
      <c r="H168" s="36"/>
      <c r="I168" s="14"/>
      <c r="J168" s="14"/>
      <c r="K168" s="14"/>
      <c r="L168" s="36"/>
      <c r="M168" s="14"/>
      <c r="N168" s="14"/>
      <c r="O168" s="14"/>
      <c r="P168" s="36"/>
      <c r="Q168" s="14"/>
      <c r="R168" s="14"/>
      <c r="S168" s="14"/>
      <c r="U168" s="21">
        <f>IFERROR(__xludf.DUMMYFUNCTION("""COMPUTED_VALUE"""),67.0)</f>
        <v>67</v>
      </c>
      <c r="V168" s="14">
        <f>IFERROR(__xludf.DUMMYFUNCTION("""COMPUTED_VALUE"""),33.0)</f>
        <v>33</v>
      </c>
      <c r="W168" s="14">
        <f>IFERROR(__xludf.DUMMYFUNCTION("""COMPUTED_VALUE"""),33.0)</f>
        <v>33</v>
      </c>
      <c r="X168" s="14">
        <f>IFERROR(__xludf.DUMMYFUNCTION("""COMPUTED_VALUE"""),0.0)</f>
        <v>0</v>
      </c>
    </row>
    <row r="169">
      <c r="A169" s="21">
        <f>Scores!A170</f>
        <v>159</v>
      </c>
      <c r="B169" s="14"/>
      <c r="C169" s="14">
        <v>103.0</v>
      </c>
      <c r="D169" s="14" t="str">
        <f t="shared" si="1"/>
        <v/>
      </c>
      <c r="F169" s="21">
        <f>IFERROR(__xludf.DUMMYFUNCTION("""COMPUTED_VALUE"""),299.0)</f>
        <v>299</v>
      </c>
      <c r="G169" s="14"/>
      <c r="H169" s="36"/>
      <c r="I169" s="14"/>
      <c r="J169" s="14"/>
      <c r="K169" s="14"/>
      <c r="L169" s="36"/>
      <c r="M169" s="14"/>
      <c r="N169" s="14"/>
      <c r="O169" s="14"/>
      <c r="P169" s="36"/>
      <c r="Q169" s="14"/>
      <c r="R169" s="14"/>
      <c r="S169" s="14"/>
      <c r="U169" s="21">
        <f>IFERROR(__xludf.DUMMYFUNCTION("""COMPUTED_VALUE"""),73.0)</f>
        <v>73</v>
      </c>
      <c r="V169" s="14">
        <f>IFERROR(__xludf.DUMMYFUNCTION("""COMPUTED_VALUE"""),46.0)</f>
        <v>46</v>
      </c>
      <c r="W169" s="14">
        <f>IFERROR(__xludf.DUMMYFUNCTION("""COMPUTED_VALUE"""),46.0)</f>
        <v>46</v>
      </c>
      <c r="X169" s="14">
        <f>IFERROR(__xludf.DUMMYFUNCTION("""COMPUTED_VALUE"""),0.0)</f>
        <v>0</v>
      </c>
    </row>
    <row r="170">
      <c r="A170" s="21">
        <f>Scores!A171</f>
        <v>160</v>
      </c>
      <c r="B170" s="14"/>
      <c r="C170" s="14">
        <v>100.0</v>
      </c>
      <c r="D170" s="14" t="str">
        <f t="shared" si="1"/>
        <v/>
      </c>
      <c r="F170" s="21">
        <f>IFERROR(__xludf.DUMMYFUNCTION("""COMPUTED_VALUE"""),302.0)</f>
        <v>302</v>
      </c>
      <c r="G170" s="14"/>
      <c r="H170" s="36"/>
      <c r="I170" s="14"/>
      <c r="J170" s="14"/>
      <c r="K170" s="14"/>
      <c r="L170" s="36"/>
      <c r="M170" s="14"/>
      <c r="N170" s="14"/>
      <c r="O170" s="14"/>
      <c r="P170" s="36"/>
      <c r="Q170" s="14"/>
      <c r="R170" s="14"/>
      <c r="S170" s="14"/>
      <c r="U170" s="21">
        <f>IFERROR(__xludf.DUMMYFUNCTION("""COMPUTED_VALUE"""),83.0)</f>
        <v>83</v>
      </c>
      <c r="V170" s="14">
        <f>IFERROR(__xludf.DUMMYFUNCTION("""COMPUTED_VALUE"""),40.0)</f>
        <v>40</v>
      </c>
      <c r="W170" s="14">
        <f>IFERROR(__xludf.DUMMYFUNCTION("""COMPUTED_VALUE"""),40.0)</f>
        <v>40</v>
      </c>
      <c r="X170" s="14">
        <f>IFERROR(__xludf.DUMMYFUNCTION("""COMPUTED_VALUE"""),0.0)</f>
        <v>0</v>
      </c>
    </row>
    <row r="171">
      <c r="A171" s="21">
        <f>Scores!A172</f>
        <v>161</v>
      </c>
      <c r="B171" s="14"/>
      <c r="C171" s="14">
        <v>79.0</v>
      </c>
      <c r="D171" s="14" t="str">
        <f t="shared" si="1"/>
        <v/>
      </c>
      <c r="F171" s="21">
        <f>IFERROR(__xludf.DUMMYFUNCTION("""COMPUTED_VALUE"""),310.0)</f>
        <v>310</v>
      </c>
      <c r="G171" s="14"/>
      <c r="H171" s="36"/>
      <c r="I171" s="14"/>
      <c r="J171" s="14"/>
      <c r="K171" s="14"/>
      <c r="L171" s="36"/>
      <c r="M171" s="14"/>
      <c r="N171" s="14"/>
      <c r="O171" s="14"/>
      <c r="P171" s="36"/>
      <c r="Q171" s="14"/>
      <c r="R171" s="14"/>
      <c r="S171" s="14"/>
      <c r="U171" s="21">
        <f>IFERROR(__xludf.DUMMYFUNCTION("""COMPUTED_VALUE"""),87.0)</f>
        <v>87</v>
      </c>
      <c r="V171" s="14">
        <f>IFERROR(__xludf.DUMMYFUNCTION("""COMPUTED_VALUE"""),36.0)</f>
        <v>36</v>
      </c>
      <c r="W171" s="14">
        <f>IFERROR(__xludf.DUMMYFUNCTION("""COMPUTED_VALUE"""),36.0)</f>
        <v>36</v>
      </c>
      <c r="X171" s="14">
        <f>IFERROR(__xludf.DUMMYFUNCTION("""COMPUTED_VALUE"""),0.0)</f>
        <v>0</v>
      </c>
    </row>
    <row r="172">
      <c r="A172" s="21">
        <f>Scores!A173</f>
        <v>162</v>
      </c>
      <c r="B172" s="14"/>
      <c r="C172" s="14">
        <v>96.0</v>
      </c>
      <c r="D172" s="14" t="str">
        <f t="shared" si="1"/>
        <v/>
      </c>
      <c r="F172" s="21">
        <f>IFERROR(__xludf.DUMMYFUNCTION("""COMPUTED_VALUE"""),313.0)</f>
        <v>313</v>
      </c>
      <c r="G172" s="14"/>
      <c r="H172" s="36"/>
      <c r="I172" s="14"/>
      <c r="J172" s="14"/>
      <c r="K172" s="14"/>
      <c r="L172" s="36"/>
      <c r="M172" s="14"/>
      <c r="N172" s="14"/>
      <c r="O172" s="14"/>
      <c r="P172" s="36"/>
      <c r="Q172" s="14"/>
      <c r="R172" s="14"/>
      <c r="S172" s="14"/>
      <c r="U172" s="21">
        <f>IFERROR(__xludf.DUMMYFUNCTION("""COMPUTED_VALUE"""),103.0)</f>
        <v>103</v>
      </c>
      <c r="V172" s="14">
        <f>IFERROR(__xludf.DUMMYFUNCTION("""COMPUTED_VALUE"""),29.0)</f>
        <v>29</v>
      </c>
      <c r="W172" s="14">
        <f>IFERROR(__xludf.DUMMYFUNCTION("""COMPUTED_VALUE"""),29.0)</f>
        <v>29</v>
      </c>
      <c r="X172" s="14">
        <f>IFERROR(__xludf.DUMMYFUNCTION("""COMPUTED_VALUE"""),0.0)</f>
        <v>0</v>
      </c>
    </row>
    <row r="173">
      <c r="A173" s="21">
        <f>Scores!A174</f>
        <v>163</v>
      </c>
      <c r="B173" s="14"/>
      <c r="C173" s="14">
        <v>130.0</v>
      </c>
      <c r="D173" s="14" t="str">
        <f t="shared" si="1"/>
        <v/>
      </c>
      <c r="F173" s="21">
        <f>IFERROR(__xludf.DUMMYFUNCTION("""COMPUTED_VALUE"""),314.0)</f>
        <v>314</v>
      </c>
      <c r="G173" s="14"/>
      <c r="H173" s="36"/>
      <c r="I173" s="14"/>
      <c r="J173" s="14"/>
      <c r="K173" s="14"/>
      <c r="L173" s="36"/>
      <c r="M173" s="14"/>
      <c r="N173" s="14"/>
      <c r="O173" s="14"/>
      <c r="P173" s="36"/>
      <c r="Q173" s="14"/>
      <c r="R173" s="14"/>
      <c r="S173" s="14"/>
      <c r="U173" s="21">
        <f>IFERROR(__xludf.DUMMYFUNCTION("""COMPUTED_VALUE"""),113.0)</f>
        <v>113</v>
      </c>
      <c r="V173" s="14">
        <f>IFERROR(__xludf.DUMMYFUNCTION("""COMPUTED_VALUE"""),25.0)</f>
        <v>25</v>
      </c>
      <c r="W173" s="14">
        <f>IFERROR(__xludf.DUMMYFUNCTION("""COMPUTED_VALUE"""),25.0)</f>
        <v>25</v>
      </c>
      <c r="X173" s="14">
        <f>IFERROR(__xludf.DUMMYFUNCTION("""COMPUTED_VALUE"""),0.0)</f>
        <v>0</v>
      </c>
    </row>
    <row r="174">
      <c r="A174" s="21">
        <f>Scores!A175</f>
        <v>164</v>
      </c>
      <c r="B174" s="14">
        <v>32.0</v>
      </c>
      <c r="C174" s="14">
        <v>32.0</v>
      </c>
      <c r="D174" s="14">
        <f t="shared" si="1"/>
        <v>0</v>
      </c>
      <c r="F174" s="21">
        <f>IFERROR(__xludf.DUMMYFUNCTION("""COMPUTED_VALUE"""),316.0)</f>
        <v>316</v>
      </c>
      <c r="G174" s="14"/>
      <c r="H174" s="36"/>
      <c r="I174" s="14"/>
      <c r="J174" s="14"/>
      <c r="K174" s="14"/>
      <c r="L174" s="36"/>
      <c r="M174" s="14"/>
      <c r="N174" s="14"/>
      <c r="O174" s="14"/>
      <c r="P174" s="36"/>
      <c r="Q174" s="14"/>
      <c r="R174" s="14"/>
      <c r="S174" s="14"/>
      <c r="U174" s="21">
        <f>IFERROR(__xludf.DUMMYFUNCTION("""COMPUTED_VALUE"""),116.0)</f>
        <v>116</v>
      </c>
      <c r="V174" s="14">
        <f>IFERROR(__xludf.DUMMYFUNCTION("""COMPUTED_VALUE"""),20.0)</f>
        <v>20</v>
      </c>
      <c r="W174" s="14">
        <f>IFERROR(__xludf.DUMMYFUNCTION("""COMPUTED_VALUE"""),20.0)</f>
        <v>20</v>
      </c>
      <c r="X174" s="14">
        <f>IFERROR(__xludf.DUMMYFUNCTION("""COMPUTED_VALUE"""),0.0)</f>
        <v>0</v>
      </c>
    </row>
    <row r="175">
      <c r="A175" s="21">
        <f>Scores!A176</f>
        <v>165</v>
      </c>
      <c r="B175" s="14"/>
      <c r="C175" s="14">
        <v>112.0</v>
      </c>
      <c r="D175" s="14" t="str">
        <f t="shared" si="1"/>
        <v/>
      </c>
      <c r="F175" s="21">
        <f>IFERROR(__xludf.DUMMYFUNCTION("""COMPUTED_VALUE"""),317.0)</f>
        <v>317</v>
      </c>
      <c r="G175" s="14"/>
      <c r="H175" s="36"/>
      <c r="I175" s="14"/>
      <c r="J175" s="14"/>
      <c r="K175" s="14"/>
      <c r="L175" s="36"/>
      <c r="M175" s="14"/>
      <c r="N175" s="14"/>
      <c r="O175" s="14"/>
      <c r="P175" s="36"/>
      <c r="Q175" s="14"/>
      <c r="R175" s="14"/>
      <c r="S175" s="14"/>
      <c r="U175" s="21">
        <f>IFERROR(__xludf.DUMMYFUNCTION("""COMPUTED_VALUE"""),135.0)</f>
        <v>135</v>
      </c>
      <c r="V175" s="14">
        <f>IFERROR(__xludf.DUMMYFUNCTION("""COMPUTED_VALUE"""),32.0)</f>
        <v>32</v>
      </c>
      <c r="W175" s="14">
        <f>IFERROR(__xludf.DUMMYFUNCTION("""COMPUTED_VALUE"""),32.0)</f>
        <v>32</v>
      </c>
      <c r="X175" s="14">
        <f>IFERROR(__xludf.DUMMYFUNCTION("""COMPUTED_VALUE"""),0.0)</f>
        <v>0</v>
      </c>
    </row>
    <row r="176">
      <c r="A176" s="21">
        <f>Scores!A177</f>
        <v>166</v>
      </c>
      <c r="B176" s="14">
        <v>81.0</v>
      </c>
      <c r="C176" s="14">
        <v>61.0</v>
      </c>
      <c r="D176" s="14">
        <f t="shared" si="1"/>
        <v>20</v>
      </c>
      <c r="F176" s="21">
        <f>IFERROR(__xludf.DUMMYFUNCTION("""COMPUTED_VALUE"""),319.0)</f>
        <v>319</v>
      </c>
      <c r="G176" s="14"/>
      <c r="H176" s="36"/>
      <c r="I176" s="14"/>
      <c r="J176" s="14"/>
      <c r="K176" s="14"/>
      <c r="L176" s="36"/>
      <c r="M176" s="14"/>
      <c r="N176" s="14"/>
      <c r="O176" s="14"/>
      <c r="P176" s="36"/>
      <c r="Q176" s="14"/>
      <c r="R176" s="14"/>
      <c r="S176" s="14"/>
      <c r="U176" s="21">
        <f>IFERROR(__xludf.DUMMYFUNCTION("""COMPUTED_VALUE"""),140.0)</f>
        <v>140</v>
      </c>
      <c r="V176" s="14">
        <f>IFERROR(__xludf.DUMMYFUNCTION("""COMPUTED_VALUE"""),36.0)</f>
        <v>36</v>
      </c>
      <c r="W176" s="14">
        <f>IFERROR(__xludf.DUMMYFUNCTION("""COMPUTED_VALUE"""),36.0)</f>
        <v>36</v>
      </c>
      <c r="X176" s="14">
        <f>IFERROR(__xludf.DUMMYFUNCTION("""COMPUTED_VALUE"""),0.0)</f>
        <v>0</v>
      </c>
    </row>
    <row r="177">
      <c r="A177" s="21">
        <f>Scores!A178</f>
        <v>167</v>
      </c>
      <c r="B177" s="14"/>
      <c r="C177" s="14">
        <v>70.0</v>
      </c>
      <c r="D177" s="14" t="str">
        <f t="shared" si="1"/>
        <v/>
      </c>
      <c r="F177" s="21">
        <f>IFERROR(__xludf.DUMMYFUNCTION("""COMPUTED_VALUE"""),320.0)</f>
        <v>320</v>
      </c>
      <c r="G177" s="14"/>
      <c r="H177" s="36"/>
      <c r="I177" s="14"/>
      <c r="J177" s="14"/>
      <c r="K177" s="14"/>
      <c r="L177" s="36"/>
      <c r="M177" s="14"/>
      <c r="N177" s="14"/>
      <c r="O177" s="14"/>
      <c r="P177" s="36"/>
      <c r="Q177" s="14"/>
      <c r="R177" s="14"/>
      <c r="S177" s="14"/>
      <c r="U177" s="21">
        <f>IFERROR(__xludf.DUMMYFUNCTION("""COMPUTED_VALUE"""),142.0)</f>
        <v>142</v>
      </c>
      <c r="V177" s="14">
        <f>IFERROR(__xludf.DUMMYFUNCTION("""COMPUTED_VALUE"""),40.0)</f>
        <v>40</v>
      </c>
      <c r="W177" s="14">
        <f>IFERROR(__xludf.DUMMYFUNCTION("""COMPUTED_VALUE"""),40.0)</f>
        <v>40</v>
      </c>
      <c r="X177" s="14">
        <f>IFERROR(__xludf.DUMMYFUNCTION("""COMPUTED_VALUE"""),0.0)</f>
        <v>0</v>
      </c>
    </row>
    <row r="178">
      <c r="A178" s="21">
        <f>Scores!A179</f>
        <v>168</v>
      </c>
      <c r="B178" s="14"/>
      <c r="C178" s="14">
        <v>110.0</v>
      </c>
      <c r="D178" s="14" t="str">
        <f t="shared" si="1"/>
        <v/>
      </c>
      <c r="F178" s="21">
        <f>IFERROR(__xludf.DUMMYFUNCTION("""COMPUTED_VALUE"""),323.0)</f>
        <v>323</v>
      </c>
      <c r="G178" s="14"/>
      <c r="H178" s="36"/>
      <c r="I178" s="14"/>
      <c r="J178" s="14"/>
      <c r="K178" s="14"/>
      <c r="L178" s="36"/>
      <c r="M178" s="14"/>
      <c r="N178" s="14"/>
      <c r="O178" s="14"/>
      <c r="P178" s="36"/>
      <c r="Q178" s="14"/>
      <c r="R178" s="14"/>
      <c r="S178" s="14"/>
      <c r="U178" s="21">
        <f>IFERROR(__xludf.DUMMYFUNCTION("""COMPUTED_VALUE"""),150.0)</f>
        <v>150</v>
      </c>
      <c r="V178" s="14">
        <f>IFERROR(__xludf.DUMMYFUNCTION("""COMPUTED_VALUE"""),30.0)</f>
        <v>30</v>
      </c>
      <c r="W178" s="14">
        <f>IFERROR(__xludf.DUMMYFUNCTION("""COMPUTED_VALUE"""),30.0)</f>
        <v>30</v>
      </c>
      <c r="X178" s="14">
        <f>IFERROR(__xludf.DUMMYFUNCTION("""COMPUTED_VALUE"""),0.0)</f>
        <v>0</v>
      </c>
    </row>
    <row r="179">
      <c r="A179" s="21">
        <f>Scores!A180</f>
        <v>169</v>
      </c>
      <c r="B179" s="14"/>
      <c r="C179" s="14">
        <v>108.0</v>
      </c>
      <c r="D179" s="14" t="str">
        <f t="shared" si="1"/>
        <v/>
      </c>
      <c r="F179" s="21">
        <f>IFERROR(__xludf.DUMMYFUNCTION("""COMPUTED_VALUE"""),324.0)</f>
        <v>324</v>
      </c>
      <c r="G179" s="14"/>
      <c r="H179" s="36"/>
      <c r="I179" s="14"/>
      <c r="J179" s="14"/>
      <c r="K179" s="14"/>
      <c r="L179" s="36"/>
      <c r="M179" s="14"/>
      <c r="N179" s="14"/>
      <c r="O179" s="14"/>
      <c r="P179" s="36"/>
      <c r="Q179" s="14"/>
      <c r="R179" s="14"/>
      <c r="S179" s="14"/>
      <c r="U179" s="21">
        <f>IFERROR(__xludf.DUMMYFUNCTION("""COMPUTED_VALUE"""),155.0)</f>
        <v>155</v>
      </c>
      <c r="V179" s="14">
        <f>IFERROR(__xludf.DUMMYFUNCTION("""COMPUTED_VALUE"""),18.0)</f>
        <v>18</v>
      </c>
      <c r="W179" s="14">
        <f>IFERROR(__xludf.DUMMYFUNCTION("""COMPUTED_VALUE"""),18.0)</f>
        <v>18</v>
      </c>
      <c r="X179" s="14">
        <f>IFERROR(__xludf.DUMMYFUNCTION("""COMPUTED_VALUE"""),0.0)</f>
        <v>0</v>
      </c>
    </row>
    <row r="180">
      <c r="A180" s="21">
        <f>Scores!A181</f>
        <v>170</v>
      </c>
      <c r="B180" s="14"/>
      <c r="C180" s="14">
        <v>163.0</v>
      </c>
      <c r="D180" s="14" t="str">
        <f t="shared" si="1"/>
        <v/>
      </c>
      <c r="F180" s="21">
        <f>IFERROR(__xludf.DUMMYFUNCTION("""COMPUTED_VALUE"""),325.0)</f>
        <v>325</v>
      </c>
      <c r="G180" s="14"/>
      <c r="H180" s="36"/>
      <c r="I180" s="14"/>
      <c r="J180" s="14"/>
      <c r="K180" s="14"/>
      <c r="L180" s="36"/>
      <c r="M180" s="14"/>
      <c r="N180" s="14"/>
      <c r="O180" s="14"/>
      <c r="P180" s="36"/>
      <c r="Q180" s="14"/>
      <c r="R180" s="14"/>
      <c r="S180" s="14"/>
      <c r="U180" s="21">
        <f>IFERROR(__xludf.DUMMYFUNCTION("""COMPUTED_VALUE"""),164.0)</f>
        <v>164</v>
      </c>
      <c r="V180" s="14">
        <f>IFERROR(__xludf.DUMMYFUNCTION("""COMPUTED_VALUE"""),32.0)</f>
        <v>32</v>
      </c>
      <c r="W180" s="14">
        <f>IFERROR(__xludf.DUMMYFUNCTION("""COMPUTED_VALUE"""),32.0)</f>
        <v>32</v>
      </c>
      <c r="X180" s="14">
        <f>IFERROR(__xludf.DUMMYFUNCTION("""COMPUTED_VALUE"""),0.0)</f>
        <v>0</v>
      </c>
    </row>
    <row r="181">
      <c r="A181" s="21">
        <f>Scores!A182</f>
        <v>171</v>
      </c>
      <c r="B181" s="14">
        <v>66.0</v>
      </c>
      <c r="C181" s="14">
        <v>51.0</v>
      </c>
      <c r="D181" s="14">
        <f t="shared" si="1"/>
        <v>15</v>
      </c>
      <c r="F181" s="21">
        <f>IFERROR(__xludf.DUMMYFUNCTION("""COMPUTED_VALUE"""),327.0)</f>
        <v>327</v>
      </c>
      <c r="G181" s="14"/>
      <c r="H181" s="36"/>
      <c r="I181" s="14"/>
      <c r="J181" s="14"/>
      <c r="K181" s="14"/>
      <c r="L181" s="36"/>
      <c r="M181" s="14"/>
      <c r="N181" s="14"/>
      <c r="O181" s="14"/>
      <c r="P181" s="36"/>
      <c r="Q181" s="14"/>
      <c r="R181" s="14"/>
      <c r="S181" s="14"/>
      <c r="U181" s="21">
        <f>IFERROR(__xludf.DUMMYFUNCTION("""COMPUTED_VALUE"""),172.0)</f>
        <v>172</v>
      </c>
      <c r="V181" s="14">
        <f>IFERROR(__xludf.DUMMYFUNCTION("""COMPUTED_VALUE"""),20.0)</f>
        <v>20</v>
      </c>
      <c r="W181" s="14">
        <f>IFERROR(__xludf.DUMMYFUNCTION("""COMPUTED_VALUE"""),20.0)</f>
        <v>20</v>
      </c>
      <c r="X181" s="14">
        <f>IFERROR(__xludf.DUMMYFUNCTION("""COMPUTED_VALUE"""),0.0)</f>
        <v>0</v>
      </c>
    </row>
    <row r="182">
      <c r="A182" s="21">
        <f>Scores!A183</f>
        <v>172</v>
      </c>
      <c r="B182" s="14">
        <v>20.0</v>
      </c>
      <c r="C182" s="14">
        <v>20.0</v>
      </c>
      <c r="D182" s="14">
        <f t="shared" si="1"/>
        <v>0</v>
      </c>
      <c r="F182" s="21">
        <f>IFERROR(__xludf.DUMMYFUNCTION("""COMPUTED_VALUE"""),328.0)</f>
        <v>328</v>
      </c>
      <c r="G182" s="14"/>
      <c r="H182" s="36"/>
      <c r="I182" s="14"/>
      <c r="J182" s="14"/>
      <c r="K182" s="14"/>
      <c r="L182" s="36"/>
      <c r="M182" s="14"/>
      <c r="N182" s="14"/>
      <c r="O182" s="14"/>
      <c r="P182" s="36"/>
      <c r="Q182" s="14"/>
      <c r="R182" s="14"/>
      <c r="S182" s="14"/>
      <c r="U182" s="21">
        <f>IFERROR(__xludf.DUMMYFUNCTION("""COMPUTED_VALUE"""),179.0)</f>
        <v>179</v>
      </c>
      <c r="V182" s="14">
        <f>IFERROR(__xludf.DUMMYFUNCTION("""COMPUTED_VALUE"""),21.0)</f>
        <v>21</v>
      </c>
      <c r="W182" s="14">
        <f>IFERROR(__xludf.DUMMYFUNCTION("""COMPUTED_VALUE"""),21.0)</f>
        <v>21</v>
      </c>
      <c r="X182" s="14">
        <f>IFERROR(__xludf.DUMMYFUNCTION("""COMPUTED_VALUE"""),0.0)</f>
        <v>0</v>
      </c>
    </row>
    <row r="183">
      <c r="A183" s="21">
        <f>Scores!A184</f>
        <v>173</v>
      </c>
      <c r="B183" s="14"/>
      <c r="C183" s="14">
        <v>201.0</v>
      </c>
      <c r="D183" s="14" t="str">
        <f t="shared" si="1"/>
        <v/>
      </c>
      <c r="F183" s="21">
        <f>IFERROR(__xludf.DUMMYFUNCTION("""COMPUTED_VALUE"""),330.0)</f>
        <v>330</v>
      </c>
      <c r="G183" s="14"/>
      <c r="H183" s="36"/>
      <c r="I183" s="14"/>
      <c r="J183" s="14"/>
      <c r="K183" s="14"/>
      <c r="L183" s="36"/>
      <c r="M183" s="14"/>
      <c r="N183" s="14"/>
      <c r="O183" s="14"/>
      <c r="P183" s="36"/>
      <c r="Q183" s="14"/>
      <c r="R183" s="14"/>
      <c r="S183" s="14"/>
      <c r="U183" s="21">
        <f>IFERROR(__xludf.DUMMYFUNCTION("""COMPUTED_VALUE"""),210.0)</f>
        <v>210</v>
      </c>
      <c r="V183" s="14">
        <f>IFERROR(__xludf.DUMMYFUNCTION("""COMPUTED_VALUE"""),20.0)</f>
        <v>20</v>
      </c>
      <c r="W183" s="14">
        <f>IFERROR(__xludf.DUMMYFUNCTION("""COMPUTED_VALUE"""),20.0)</f>
        <v>20</v>
      </c>
      <c r="X183" s="14">
        <f>IFERROR(__xludf.DUMMYFUNCTION("""COMPUTED_VALUE"""),0.0)</f>
        <v>0</v>
      </c>
    </row>
    <row r="184">
      <c r="A184" s="21">
        <f>Scores!A185</f>
        <v>174</v>
      </c>
      <c r="B184" s="14"/>
      <c r="C184" s="14">
        <v>89.0</v>
      </c>
      <c r="D184" s="14" t="str">
        <f t="shared" si="1"/>
        <v/>
      </c>
      <c r="F184" s="21">
        <f>IFERROR(__xludf.DUMMYFUNCTION("""COMPUTED_VALUE"""),331.0)</f>
        <v>331</v>
      </c>
      <c r="G184" s="14"/>
      <c r="H184" s="36"/>
      <c r="I184" s="14"/>
      <c r="J184" s="14"/>
      <c r="K184" s="14"/>
      <c r="L184" s="36"/>
      <c r="M184" s="14"/>
      <c r="N184" s="14"/>
      <c r="O184" s="14"/>
      <c r="P184" s="36"/>
      <c r="Q184" s="14"/>
      <c r="R184" s="14"/>
      <c r="S184" s="14"/>
      <c r="U184" s="21">
        <f>IFERROR(__xludf.DUMMYFUNCTION("""COMPUTED_VALUE"""),241.0)</f>
        <v>241</v>
      </c>
      <c r="V184" s="14">
        <f>IFERROR(__xludf.DUMMYFUNCTION("""COMPUTED_VALUE"""),21.0)</f>
        <v>21</v>
      </c>
      <c r="W184" s="14">
        <f>IFERROR(__xludf.DUMMYFUNCTION("""COMPUTED_VALUE"""),21.0)</f>
        <v>21</v>
      </c>
      <c r="X184" s="14">
        <f>IFERROR(__xludf.DUMMYFUNCTION("""COMPUTED_VALUE"""),0.0)</f>
        <v>0</v>
      </c>
    </row>
    <row r="185">
      <c r="A185" s="21">
        <f>Scores!A186</f>
        <v>175</v>
      </c>
      <c r="B185" s="14"/>
      <c r="C185" s="14">
        <v>74.0</v>
      </c>
      <c r="D185" s="14" t="str">
        <f t="shared" si="1"/>
        <v/>
      </c>
      <c r="F185" s="21">
        <f>IFERROR(__xludf.DUMMYFUNCTION("""COMPUTED_VALUE"""),333.0)</f>
        <v>333</v>
      </c>
      <c r="G185" s="14"/>
      <c r="H185" s="36"/>
      <c r="I185" s="14"/>
      <c r="J185" s="14"/>
      <c r="K185" s="14"/>
      <c r="L185" s="36"/>
      <c r="M185" s="14"/>
      <c r="N185" s="14"/>
      <c r="O185" s="14"/>
      <c r="P185" s="36"/>
      <c r="Q185" s="14"/>
      <c r="R185" s="14"/>
      <c r="S185" s="14"/>
      <c r="U185" s="21">
        <f>IFERROR(__xludf.DUMMYFUNCTION("""COMPUTED_VALUE"""),249.0)</f>
        <v>249</v>
      </c>
      <c r="V185" s="14">
        <f>IFERROR(__xludf.DUMMYFUNCTION("""COMPUTED_VALUE"""),26.0)</f>
        <v>26</v>
      </c>
      <c r="W185" s="14">
        <f>IFERROR(__xludf.DUMMYFUNCTION("""COMPUTED_VALUE"""),26.0)</f>
        <v>26</v>
      </c>
      <c r="X185" s="14">
        <f>IFERROR(__xludf.DUMMYFUNCTION("""COMPUTED_VALUE"""),0.0)</f>
        <v>0</v>
      </c>
    </row>
    <row r="186">
      <c r="A186" s="21">
        <f>Scores!A187</f>
        <v>176</v>
      </c>
      <c r="B186" s="14"/>
      <c r="C186" s="14">
        <v>61.0</v>
      </c>
      <c r="D186" s="14" t="str">
        <f t="shared" si="1"/>
        <v/>
      </c>
      <c r="F186" s="21">
        <f>IFERROR(__xludf.DUMMYFUNCTION("""COMPUTED_VALUE"""),335.0)</f>
        <v>335</v>
      </c>
      <c r="G186" s="14"/>
      <c r="H186" s="36"/>
      <c r="I186" s="14"/>
      <c r="J186" s="14"/>
      <c r="K186" s="14"/>
      <c r="L186" s="36"/>
      <c r="M186" s="14"/>
      <c r="N186" s="14"/>
      <c r="O186" s="14"/>
      <c r="P186" s="36"/>
      <c r="Q186" s="14"/>
      <c r="R186" s="14"/>
      <c r="S186" s="14"/>
      <c r="U186" s="21">
        <f>IFERROR(__xludf.DUMMYFUNCTION("""COMPUTED_VALUE"""),301.0)</f>
        <v>301</v>
      </c>
      <c r="V186" s="14">
        <f>IFERROR(__xludf.DUMMYFUNCTION("""COMPUTED_VALUE"""),31.0)</f>
        <v>31</v>
      </c>
      <c r="W186" s="14">
        <f>IFERROR(__xludf.DUMMYFUNCTION("""COMPUTED_VALUE"""),31.0)</f>
        <v>31</v>
      </c>
      <c r="X186" s="14">
        <f>IFERROR(__xludf.DUMMYFUNCTION("""COMPUTED_VALUE"""),0.0)</f>
        <v>0</v>
      </c>
    </row>
    <row r="187">
      <c r="A187" s="21">
        <f>Scores!A188</f>
        <v>177</v>
      </c>
      <c r="B187" s="14">
        <v>68.0</v>
      </c>
      <c r="C187" s="14">
        <v>51.0</v>
      </c>
      <c r="D187" s="14">
        <f t="shared" si="1"/>
        <v>17</v>
      </c>
      <c r="F187" s="21">
        <f>IFERROR(__xludf.DUMMYFUNCTION("""COMPUTED_VALUE"""),336.0)</f>
        <v>336</v>
      </c>
      <c r="G187" s="14"/>
      <c r="H187" s="36"/>
      <c r="I187" s="14"/>
      <c r="J187" s="14"/>
      <c r="K187" s="14"/>
      <c r="L187" s="36"/>
      <c r="M187" s="14"/>
      <c r="N187" s="14"/>
      <c r="O187" s="14"/>
      <c r="P187" s="36"/>
      <c r="Q187" s="14"/>
      <c r="R187" s="14"/>
      <c r="S187" s="14"/>
      <c r="U187" s="21">
        <f>IFERROR(__xludf.DUMMYFUNCTION("""COMPUTED_VALUE"""),311.0)</f>
        <v>311</v>
      </c>
      <c r="V187" s="14">
        <f>IFERROR(__xludf.DUMMYFUNCTION("""COMPUTED_VALUE"""),32.0)</f>
        <v>32</v>
      </c>
      <c r="W187" s="14">
        <f>IFERROR(__xludf.DUMMYFUNCTION("""COMPUTED_VALUE"""),32.0)</f>
        <v>32</v>
      </c>
      <c r="X187" s="14">
        <f>IFERROR(__xludf.DUMMYFUNCTION("""COMPUTED_VALUE"""),0.0)</f>
        <v>0</v>
      </c>
    </row>
    <row r="188">
      <c r="A188" s="21">
        <f>Scores!A189</f>
        <v>178</v>
      </c>
      <c r="B188" s="14"/>
      <c r="C188" s="14">
        <v>47.0</v>
      </c>
      <c r="D188" s="14" t="str">
        <f t="shared" si="1"/>
        <v/>
      </c>
      <c r="F188" s="21">
        <f>IFERROR(__xludf.DUMMYFUNCTION("""COMPUTED_VALUE"""),338.0)</f>
        <v>338</v>
      </c>
      <c r="G188" s="14"/>
      <c r="H188" s="36"/>
      <c r="I188" s="14"/>
      <c r="J188" s="14"/>
      <c r="K188" s="14"/>
      <c r="L188" s="36"/>
      <c r="M188" s="14"/>
      <c r="N188" s="14"/>
      <c r="O188" s="14"/>
      <c r="P188" s="36"/>
      <c r="Q188" s="14"/>
      <c r="R188" s="14"/>
      <c r="S188" s="14"/>
      <c r="U188" s="21">
        <f>IFERROR(__xludf.DUMMYFUNCTION("""COMPUTED_VALUE"""),326.0)</f>
        <v>326</v>
      </c>
      <c r="V188" s="14">
        <f>IFERROR(__xludf.DUMMYFUNCTION("""COMPUTED_VALUE"""),30.0)</f>
        <v>30</v>
      </c>
      <c r="W188" s="14">
        <f>IFERROR(__xludf.DUMMYFUNCTION("""COMPUTED_VALUE"""),30.0)</f>
        <v>30</v>
      </c>
      <c r="X188" s="14">
        <f>IFERROR(__xludf.DUMMYFUNCTION("""COMPUTED_VALUE"""),0.0)</f>
        <v>0</v>
      </c>
    </row>
    <row r="189">
      <c r="A189" s="21">
        <f>Scores!A190</f>
        <v>179</v>
      </c>
      <c r="B189" s="14">
        <v>21.0</v>
      </c>
      <c r="C189" s="14">
        <v>21.0</v>
      </c>
      <c r="D189" s="14">
        <f t="shared" si="1"/>
        <v>0</v>
      </c>
      <c r="F189" s="21">
        <f>IFERROR(__xludf.DUMMYFUNCTION("""COMPUTED_VALUE"""),340.0)</f>
        <v>340</v>
      </c>
      <c r="G189" s="14"/>
      <c r="H189" s="36"/>
      <c r="I189" s="14"/>
      <c r="J189" s="14"/>
      <c r="K189" s="14"/>
      <c r="L189" s="36"/>
      <c r="M189" s="14"/>
      <c r="N189" s="14"/>
      <c r="O189" s="14"/>
      <c r="P189" s="36"/>
      <c r="Q189" s="14"/>
      <c r="R189" s="14"/>
      <c r="S189" s="14"/>
      <c r="U189" s="21">
        <f>IFERROR(__xludf.DUMMYFUNCTION("""COMPUTED_VALUE"""),380.0)</f>
        <v>380</v>
      </c>
      <c r="V189" s="14">
        <f>IFERROR(__xludf.DUMMYFUNCTION("""COMPUTED_VALUE"""),27.0)</f>
        <v>27</v>
      </c>
      <c r="W189" s="14">
        <f>IFERROR(__xludf.DUMMYFUNCTION("""COMPUTED_VALUE"""),27.0)</f>
        <v>27</v>
      </c>
      <c r="X189" s="14">
        <f>IFERROR(__xludf.DUMMYFUNCTION("""COMPUTED_VALUE"""),0.0)</f>
        <v>0</v>
      </c>
    </row>
    <row r="190">
      <c r="A190" s="21">
        <f>Scores!A191</f>
        <v>180</v>
      </c>
      <c r="B190" s="14">
        <v>91.0</v>
      </c>
      <c r="C190" s="14">
        <v>74.0</v>
      </c>
      <c r="D190" s="14">
        <f t="shared" si="1"/>
        <v>17</v>
      </c>
      <c r="F190" s="21">
        <f>IFERROR(__xludf.DUMMYFUNCTION("""COMPUTED_VALUE"""),341.0)</f>
        <v>341</v>
      </c>
      <c r="G190" s="14"/>
      <c r="H190" s="36"/>
      <c r="I190" s="14"/>
      <c r="J190" s="14"/>
      <c r="K190" s="14"/>
      <c r="L190" s="36"/>
      <c r="M190" s="14"/>
      <c r="N190" s="14"/>
      <c r="O190" s="14"/>
      <c r="P190" s="36"/>
      <c r="Q190" s="14"/>
      <c r="R190" s="14"/>
      <c r="S190" s="14"/>
      <c r="U190" s="21">
        <f>IFERROR(__xludf.DUMMYFUNCTION("""COMPUTED_VALUE"""),385.0)</f>
        <v>385</v>
      </c>
      <c r="V190" s="14">
        <f>IFERROR(__xludf.DUMMYFUNCTION("""COMPUTED_VALUE"""),25.0)</f>
        <v>25</v>
      </c>
      <c r="W190" s="14">
        <f>IFERROR(__xludf.DUMMYFUNCTION("""COMPUTED_VALUE"""),25.0)</f>
        <v>25</v>
      </c>
      <c r="X190" s="14">
        <f>IFERROR(__xludf.DUMMYFUNCTION("""COMPUTED_VALUE"""),0.0)</f>
        <v>0</v>
      </c>
    </row>
    <row r="191">
      <c r="A191" s="21">
        <f>Scores!A192</f>
        <v>181</v>
      </c>
      <c r="B191" s="14">
        <v>69.0</v>
      </c>
      <c r="C191" s="14">
        <v>67.0</v>
      </c>
      <c r="D191" s="14">
        <f t="shared" si="1"/>
        <v>2</v>
      </c>
      <c r="F191" s="21">
        <f>IFERROR(__xludf.DUMMYFUNCTION("""COMPUTED_VALUE"""),342.0)</f>
        <v>342</v>
      </c>
      <c r="G191" s="14"/>
      <c r="H191" s="36"/>
      <c r="I191" s="14"/>
      <c r="J191" s="14"/>
      <c r="K191" s="14"/>
      <c r="L191" s="36"/>
      <c r="M191" s="14"/>
      <c r="N191" s="14"/>
      <c r="O191" s="14"/>
      <c r="P191" s="36"/>
      <c r="Q191" s="14"/>
      <c r="R191" s="14"/>
      <c r="S191" s="14"/>
      <c r="U191" s="36"/>
      <c r="V191" s="14"/>
      <c r="W191" s="14"/>
      <c r="X191" s="14"/>
    </row>
    <row r="192">
      <c r="A192" s="21">
        <f>Scores!A193</f>
        <v>182</v>
      </c>
      <c r="B192" s="14"/>
      <c r="C192" s="14">
        <v>160.0</v>
      </c>
      <c r="D192" s="14" t="str">
        <f t="shared" si="1"/>
        <v/>
      </c>
      <c r="F192" s="21">
        <f>IFERROR(__xludf.DUMMYFUNCTION("""COMPUTED_VALUE"""),343.0)</f>
        <v>343</v>
      </c>
      <c r="G192" s="14"/>
      <c r="H192" s="36"/>
      <c r="I192" s="14"/>
      <c r="J192" s="14"/>
      <c r="K192" s="14"/>
      <c r="L192" s="36"/>
      <c r="M192" s="14"/>
      <c r="N192" s="14"/>
      <c r="O192" s="14"/>
      <c r="P192" s="36"/>
      <c r="Q192" s="14"/>
      <c r="R192" s="14"/>
      <c r="S192" s="14"/>
      <c r="U192" s="36"/>
      <c r="V192" s="14"/>
      <c r="W192" s="14"/>
      <c r="X192" s="14"/>
    </row>
    <row r="193">
      <c r="A193" s="21">
        <f>Scores!A194</f>
        <v>183</v>
      </c>
      <c r="B193" s="14"/>
      <c r="C193" s="14">
        <v>79.0</v>
      </c>
      <c r="D193" s="14" t="str">
        <f t="shared" si="1"/>
        <v/>
      </c>
      <c r="F193" s="21">
        <f>IFERROR(__xludf.DUMMYFUNCTION("""COMPUTED_VALUE"""),344.0)</f>
        <v>344</v>
      </c>
      <c r="G193" s="14"/>
      <c r="H193" s="36"/>
      <c r="I193" s="14"/>
      <c r="J193" s="14"/>
      <c r="K193" s="14"/>
      <c r="L193" s="36"/>
      <c r="M193" s="14"/>
      <c r="N193" s="14"/>
      <c r="O193" s="14"/>
      <c r="P193" s="36"/>
      <c r="Q193" s="14"/>
      <c r="R193" s="14"/>
      <c r="S193" s="14"/>
      <c r="U193" s="36"/>
      <c r="V193" s="14"/>
      <c r="W193" s="14"/>
      <c r="X193" s="14"/>
    </row>
    <row r="194">
      <c r="A194" s="21">
        <f>Scores!A195</f>
        <v>184</v>
      </c>
      <c r="B194" s="14"/>
      <c r="C194" s="14">
        <v>91.0</v>
      </c>
      <c r="D194" s="14" t="str">
        <f t="shared" si="1"/>
        <v/>
      </c>
      <c r="F194" s="21">
        <f>IFERROR(__xludf.DUMMYFUNCTION("""COMPUTED_VALUE"""),345.0)</f>
        <v>345</v>
      </c>
      <c r="G194" s="14"/>
      <c r="H194" s="36"/>
      <c r="I194" s="14"/>
      <c r="J194" s="14"/>
      <c r="K194" s="14"/>
      <c r="L194" s="36"/>
      <c r="M194" s="14"/>
      <c r="N194" s="14"/>
      <c r="O194" s="14"/>
      <c r="P194" s="36"/>
      <c r="Q194" s="14"/>
      <c r="R194" s="14"/>
      <c r="S194" s="14"/>
      <c r="U194" s="36"/>
      <c r="V194" s="14"/>
      <c r="W194" s="14"/>
      <c r="X194" s="14"/>
    </row>
    <row r="195">
      <c r="A195" s="21">
        <f>Scores!A196</f>
        <v>185</v>
      </c>
      <c r="B195" s="14"/>
      <c r="C195" s="14">
        <v>107.0</v>
      </c>
      <c r="D195" s="14" t="str">
        <f t="shared" si="1"/>
        <v/>
      </c>
      <c r="F195" s="21">
        <f>IFERROR(__xludf.DUMMYFUNCTION("""COMPUTED_VALUE"""),346.0)</f>
        <v>346</v>
      </c>
      <c r="G195" s="14"/>
      <c r="H195" s="36"/>
      <c r="I195" s="14"/>
      <c r="J195" s="14"/>
      <c r="K195" s="14"/>
      <c r="L195" s="36"/>
      <c r="M195" s="14"/>
      <c r="N195" s="14"/>
      <c r="O195" s="14"/>
      <c r="P195" s="36"/>
      <c r="Q195" s="14"/>
      <c r="R195" s="14"/>
      <c r="S195" s="14"/>
      <c r="U195" s="36"/>
      <c r="V195" s="14"/>
      <c r="W195" s="14"/>
      <c r="X195" s="14"/>
    </row>
    <row r="196">
      <c r="A196" s="21">
        <f>Scores!A197</f>
        <v>186</v>
      </c>
      <c r="B196" s="14">
        <v>107.0</v>
      </c>
      <c r="C196" s="14">
        <v>60.0</v>
      </c>
      <c r="D196" s="14">
        <f t="shared" si="1"/>
        <v>47</v>
      </c>
      <c r="F196" s="21">
        <f>IFERROR(__xludf.DUMMYFUNCTION("""COMPUTED_VALUE"""),348.0)</f>
        <v>348</v>
      </c>
      <c r="G196" s="14"/>
      <c r="H196" s="36"/>
      <c r="I196" s="14"/>
      <c r="J196" s="14"/>
      <c r="K196" s="14"/>
      <c r="L196" s="36"/>
      <c r="M196" s="14"/>
      <c r="N196" s="14"/>
      <c r="O196" s="14"/>
      <c r="P196" s="36"/>
      <c r="Q196" s="14"/>
      <c r="R196" s="14"/>
      <c r="S196" s="14"/>
      <c r="U196" s="36"/>
      <c r="V196" s="14"/>
      <c r="W196" s="14"/>
      <c r="X196" s="14"/>
    </row>
    <row r="197">
      <c r="A197" s="21">
        <f>Scores!A198</f>
        <v>187</v>
      </c>
      <c r="B197" s="14"/>
      <c r="C197" s="14">
        <v>83.0</v>
      </c>
      <c r="D197" s="14" t="str">
        <f t="shared" si="1"/>
        <v/>
      </c>
      <c r="F197" s="21">
        <f>IFERROR(__xludf.DUMMYFUNCTION("""COMPUTED_VALUE"""),349.0)</f>
        <v>349</v>
      </c>
      <c r="G197" s="14"/>
      <c r="H197" s="36"/>
      <c r="I197" s="14"/>
      <c r="J197" s="14"/>
      <c r="K197" s="14"/>
      <c r="L197" s="36"/>
      <c r="M197" s="14"/>
      <c r="N197" s="14"/>
      <c r="O197" s="14"/>
      <c r="P197" s="36"/>
      <c r="Q197" s="14"/>
      <c r="R197" s="14"/>
      <c r="S197" s="14"/>
      <c r="U197" s="36"/>
      <c r="V197" s="14"/>
      <c r="W197" s="14"/>
      <c r="X197" s="14"/>
    </row>
    <row r="198">
      <c r="A198" s="21">
        <f>Scores!A199</f>
        <v>188</v>
      </c>
      <c r="B198" s="14"/>
      <c r="C198" s="14">
        <v>53.0</v>
      </c>
      <c r="D198" s="14" t="str">
        <f t="shared" si="1"/>
        <v/>
      </c>
      <c r="F198" s="21">
        <f>IFERROR(__xludf.DUMMYFUNCTION("""COMPUTED_VALUE"""),350.0)</f>
        <v>350</v>
      </c>
      <c r="G198" s="14"/>
      <c r="H198" s="36"/>
      <c r="I198" s="14"/>
      <c r="J198" s="14"/>
      <c r="K198" s="14"/>
      <c r="L198" s="36"/>
      <c r="M198" s="14"/>
      <c r="N198" s="14"/>
      <c r="O198" s="14"/>
      <c r="P198" s="36"/>
      <c r="Q198" s="14"/>
      <c r="R198" s="14"/>
      <c r="S198" s="14"/>
      <c r="U198" s="36"/>
      <c r="V198" s="14"/>
      <c r="W198" s="14"/>
      <c r="X198" s="14"/>
    </row>
    <row r="199">
      <c r="A199" s="21">
        <f>Scores!A200</f>
        <v>189</v>
      </c>
      <c r="B199" s="14"/>
      <c r="C199" s="14">
        <v>95.0</v>
      </c>
      <c r="D199" s="14" t="str">
        <f t="shared" si="1"/>
        <v/>
      </c>
      <c r="F199" s="21">
        <f>IFERROR(__xludf.DUMMYFUNCTION("""COMPUTED_VALUE"""),351.0)</f>
        <v>351</v>
      </c>
      <c r="G199" s="14"/>
      <c r="H199" s="36"/>
      <c r="I199" s="14"/>
      <c r="J199" s="14"/>
      <c r="K199" s="14"/>
      <c r="L199" s="36"/>
      <c r="M199" s="14"/>
      <c r="N199" s="14"/>
      <c r="O199" s="14"/>
      <c r="P199" s="36"/>
      <c r="Q199" s="14"/>
      <c r="R199" s="14"/>
      <c r="S199" s="14"/>
      <c r="U199" s="36"/>
      <c r="V199" s="14"/>
      <c r="W199" s="14"/>
      <c r="X199" s="14"/>
    </row>
    <row r="200">
      <c r="A200" s="21">
        <f>Scores!A201</f>
        <v>190</v>
      </c>
      <c r="B200" s="14"/>
      <c r="C200" s="14">
        <v>103.0</v>
      </c>
      <c r="D200" s="14" t="str">
        <f t="shared" si="1"/>
        <v/>
      </c>
      <c r="F200" s="21">
        <f>IFERROR(__xludf.DUMMYFUNCTION("""COMPUTED_VALUE"""),352.0)</f>
        <v>352</v>
      </c>
      <c r="G200" s="14"/>
      <c r="H200" s="36"/>
      <c r="I200" s="14"/>
      <c r="J200" s="14"/>
      <c r="K200" s="14"/>
      <c r="L200" s="36"/>
      <c r="M200" s="14"/>
      <c r="N200" s="14"/>
      <c r="O200" s="14"/>
      <c r="P200" s="36"/>
      <c r="Q200" s="14"/>
      <c r="R200" s="14"/>
      <c r="S200" s="14"/>
      <c r="U200" s="36"/>
      <c r="V200" s="14"/>
      <c r="W200" s="14"/>
      <c r="X200" s="14"/>
    </row>
    <row r="201">
      <c r="A201" s="21">
        <f>Scores!A202</f>
        <v>191</v>
      </c>
      <c r="B201" s="14"/>
      <c r="C201" s="14">
        <v>221.0</v>
      </c>
      <c r="D201" s="14" t="str">
        <f t="shared" si="1"/>
        <v/>
      </c>
      <c r="F201" s="21">
        <f>IFERROR(__xludf.DUMMYFUNCTION("""COMPUTED_VALUE"""),354.0)</f>
        <v>354</v>
      </c>
      <c r="G201" s="14"/>
      <c r="H201" s="36"/>
      <c r="I201" s="14"/>
      <c r="J201" s="14"/>
      <c r="K201" s="14"/>
      <c r="L201" s="36"/>
      <c r="M201" s="14"/>
      <c r="N201" s="14"/>
      <c r="O201" s="14"/>
      <c r="P201" s="36"/>
      <c r="Q201" s="14"/>
      <c r="R201" s="14"/>
      <c r="S201" s="14"/>
      <c r="U201" s="36"/>
      <c r="V201" s="14"/>
      <c r="W201" s="14"/>
      <c r="X201" s="14"/>
    </row>
    <row r="202">
      <c r="A202" s="21">
        <f>Scores!A203</f>
        <v>192</v>
      </c>
      <c r="B202" s="14"/>
      <c r="C202" s="14">
        <v>99.0</v>
      </c>
      <c r="D202" s="14" t="str">
        <f t="shared" si="1"/>
        <v/>
      </c>
      <c r="F202" s="21">
        <f>IFERROR(__xludf.DUMMYFUNCTION("""COMPUTED_VALUE"""),355.0)</f>
        <v>355</v>
      </c>
      <c r="G202" s="14"/>
      <c r="H202" s="36"/>
      <c r="I202" s="14"/>
      <c r="J202" s="14"/>
      <c r="K202" s="14"/>
      <c r="L202" s="36"/>
      <c r="M202" s="14"/>
      <c r="N202" s="14"/>
      <c r="O202" s="14"/>
      <c r="P202" s="36"/>
      <c r="Q202" s="14"/>
      <c r="R202" s="14"/>
      <c r="S202" s="14"/>
      <c r="U202" s="36"/>
      <c r="V202" s="14"/>
      <c r="W202" s="14"/>
      <c r="X202" s="14"/>
    </row>
    <row r="203">
      <c r="A203" s="21">
        <f>Scores!A204</f>
        <v>193</v>
      </c>
      <c r="B203" s="14"/>
      <c r="C203" s="14">
        <v>71.0</v>
      </c>
      <c r="D203" s="14" t="str">
        <f t="shared" si="1"/>
        <v/>
      </c>
      <c r="F203" s="21">
        <f>IFERROR(__xludf.DUMMYFUNCTION("""COMPUTED_VALUE"""),356.0)</f>
        <v>356</v>
      </c>
      <c r="G203" s="14"/>
      <c r="H203" s="36"/>
      <c r="I203" s="14"/>
      <c r="J203" s="14"/>
      <c r="K203" s="14"/>
      <c r="L203" s="36"/>
      <c r="M203" s="14"/>
      <c r="N203" s="14"/>
      <c r="O203" s="14"/>
      <c r="P203" s="36"/>
      <c r="Q203" s="14"/>
      <c r="R203" s="14"/>
      <c r="S203" s="14"/>
      <c r="U203" s="36"/>
      <c r="V203" s="14"/>
      <c r="W203" s="14"/>
      <c r="X203" s="14"/>
    </row>
    <row r="204">
      <c r="A204" s="21">
        <f>Scores!A205</f>
        <v>194</v>
      </c>
      <c r="B204" s="14"/>
      <c r="C204" s="14">
        <v>55.0</v>
      </c>
      <c r="D204" s="14" t="str">
        <f t="shared" si="1"/>
        <v/>
      </c>
      <c r="F204" s="21">
        <f>IFERROR(__xludf.DUMMYFUNCTION("""COMPUTED_VALUE"""),357.0)</f>
        <v>357</v>
      </c>
      <c r="G204" s="14"/>
      <c r="H204" s="36"/>
      <c r="I204" s="14"/>
      <c r="J204" s="14"/>
      <c r="K204" s="14"/>
      <c r="L204" s="36"/>
      <c r="M204" s="14"/>
      <c r="N204" s="14"/>
      <c r="O204" s="14"/>
      <c r="P204" s="36"/>
      <c r="Q204" s="14"/>
      <c r="R204" s="14"/>
      <c r="S204" s="14"/>
      <c r="U204" s="36"/>
      <c r="V204" s="14"/>
      <c r="W204" s="14"/>
      <c r="X204" s="14"/>
    </row>
    <row r="205">
      <c r="A205" s="21">
        <f>Scores!A206</f>
        <v>195</v>
      </c>
      <c r="B205" s="14"/>
      <c r="C205" s="14">
        <v>94.0</v>
      </c>
      <c r="D205" s="14" t="str">
        <f t="shared" si="1"/>
        <v/>
      </c>
      <c r="F205" s="21">
        <f>IFERROR(__xludf.DUMMYFUNCTION("""COMPUTED_VALUE"""),358.0)</f>
        <v>358</v>
      </c>
      <c r="G205" s="14"/>
      <c r="H205" s="36"/>
      <c r="I205" s="14"/>
      <c r="J205" s="14"/>
      <c r="K205" s="14"/>
      <c r="L205" s="36"/>
      <c r="M205" s="14"/>
      <c r="N205" s="14"/>
      <c r="O205" s="14"/>
      <c r="P205" s="36"/>
      <c r="Q205" s="14"/>
      <c r="R205" s="14"/>
      <c r="S205" s="14"/>
      <c r="U205" s="36"/>
      <c r="V205" s="14"/>
      <c r="W205" s="14"/>
      <c r="X205" s="14"/>
    </row>
    <row r="206">
      <c r="A206" s="21">
        <f>Scores!A207</f>
        <v>196</v>
      </c>
      <c r="B206" s="14"/>
      <c r="C206" s="14">
        <v>105.0</v>
      </c>
      <c r="D206" s="14" t="str">
        <f t="shared" si="1"/>
        <v/>
      </c>
      <c r="F206" s="21">
        <f>IFERROR(__xludf.DUMMYFUNCTION("""COMPUTED_VALUE"""),359.0)</f>
        <v>359</v>
      </c>
      <c r="G206" s="14"/>
      <c r="H206" s="36"/>
      <c r="I206" s="14"/>
      <c r="J206" s="14"/>
      <c r="K206" s="14"/>
      <c r="L206" s="36"/>
      <c r="M206" s="14"/>
      <c r="N206" s="14"/>
      <c r="O206" s="14"/>
      <c r="P206" s="36"/>
      <c r="Q206" s="14"/>
      <c r="R206" s="14"/>
      <c r="S206" s="14"/>
      <c r="U206" s="36"/>
      <c r="V206" s="14"/>
      <c r="W206" s="14"/>
      <c r="X206" s="14"/>
    </row>
    <row r="207">
      <c r="A207" s="21">
        <f>Scores!A208</f>
        <v>197</v>
      </c>
      <c r="B207" s="14">
        <v>69.0</v>
      </c>
      <c r="C207" s="14">
        <v>51.0</v>
      </c>
      <c r="D207" s="14">
        <f t="shared" si="1"/>
        <v>18</v>
      </c>
      <c r="F207" s="21">
        <f>IFERROR(__xludf.DUMMYFUNCTION("""COMPUTED_VALUE"""),361.0)</f>
        <v>361</v>
      </c>
      <c r="G207" s="14"/>
      <c r="H207" s="36"/>
      <c r="I207" s="14"/>
      <c r="J207" s="14"/>
      <c r="K207" s="14"/>
      <c r="L207" s="36"/>
      <c r="M207" s="14"/>
      <c r="N207" s="14"/>
      <c r="O207" s="14"/>
      <c r="P207" s="36"/>
      <c r="Q207" s="14"/>
      <c r="R207" s="14"/>
      <c r="S207" s="14"/>
      <c r="U207" s="36"/>
      <c r="V207" s="14"/>
      <c r="W207" s="14"/>
      <c r="X207" s="14"/>
    </row>
    <row r="208">
      <c r="A208" s="21">
        <f>Scores!A209</f>
        <v>198</v>
      </c>
      <c r="B208" s="14"/>
      <c r="C208" s="14">
        <v>107.0</v>
      </c>
      <c r="D208" s="14" t="str">
        <f t="shared" si="1"/>
        <v/>
      </c>
      <c r="F208" s="21">
        <f>IFERROR(__xludf.DUMMYFUNCTION("""COMPUTED_VALUE"""),362.0)</f>
        <v>362</v>
      </c>
      <c r="G208" s="14"/>
      <c r="H208" s="36"/>
      <c r="I208" s="14"/>
      <c r="J208" s="14"/>
      <c r="K208" s="14"/>
      <c r="L208" s="36"/>
      <c r="M208" s="14"/>
      <c r="N208" s="14"/>
      <c r="O208" s="14"/>
      <c r="P208" s="36"/>
      <c r="Q208" s="14"/>
      <c r="R208" s="14"/>
      <c r="S208" s="14"/>
      <c r="U208" s="36"/>
      <c r="V208" s="14"/>
      <c r="W208" s="14"/>
      <c r="X208" s="14"/>
    </row>
    <row r="209">
      <c r="A209" s="21">
        <f>Scores!A210</f>
        <v>199</v>
      </c>
      <c r="B209" s="14"/>
      <c r="C209" s="14">
        <v>77.0</v>
      </c>
      <c r="D209" s="14" t="str">
        <f t="shared" si="1"/>
        <v/>
      </c>
      <c r="F209" s="21">
        <f>IFERROR(__xludf.DUMMYFUNCTION("""COMPUTED_VALUE"""),363.0)</f>
        <v>363</v>
      </c>
      <c r="G209" s="14"/>
      <c r="H209" s="36"/>
      <c r="I209" s="14"/>
      <c r="J209" s="14"/>
      <c r="K209" s="14"/>
      <c r="L209" s="36"/>
      <c r="M209" s="14"/>
      <c r="N209" s="14"/>
      <c r="O209" s="14"/>
      <c r="P209" s="36"/>
      <c r="Q209" s="14"/>
      <c r="R209" s="14"/>
      <c r="S209" s="14"/>
      <c r="U209" s="36"/>
      <c r="V209" s="14"/>
      <c r="W209" s="14"/>
      <c r="X209" s="14"/>
    </row>
    <row r="210">
      <c r="A210" s="21">
        <f>Scores!A211</f>
        <v>200</v>
      </c>
      <c r="B210" s="14"/>
      <c r="C210" s="14">
        <v>84.0</v>
      </c>
      <c r="D210" s="14" t="str">
        <f t="shared" si="1"/>
        <v/>
      </c>
      <c r="F210" s="21">
        <f>IFERROR(__xludf.DUMMYFUNCTION("""COMPUTED_VALUE"""),364.0)</f>
        <v>364</v>
      </c>
      <c r="G210" s="14"/>
      <c r="H210" s="36"/>
      <c r="I210" s="14"/>
      <c r="J210" s="14"/>
      <c r="K210" s="14"/>
      <c r="L210" s="36"/>
      <c r="M210" s="14"/>
      <c r="N210" s="14"/>
      <c r="O210" s="14"/>
      <c r="P210" s="36"/>
      <c r="Q210" s="14"/>
      <c r="R210" s="14"/>
      <c r="S210" s="14"/>
      <c r="U210" s="36"/>
      <c r="V210" s="14"/>
      <c r="W210" s="14"/>
      <c r="X210" s="14"/>
    </row>
    <row r="211">
      <c r="A211" s="21">
        <f>Scores!A212</f>
        <v>201</v>
      </c>
      <c r="B211" s="14"/>
      <c r="C211" s="14">
        <v>187.0</v>
      </c>
      <c r="D211" s="14" t="str">
        <f t="shared" si="1"/>
        <v/>
      </c>
      <c r="F211" s="21">
        <f>IFERROR(__xludf.DUMMYFUNCTION("""COMPUTED_VALUE"""),365.0)</f>
        <v>365</v>
      </c>
      <c r="G211" s="14"/>
      <c r="H211" s="36"/>
      <c r="I211" s="14"/>
      <c r="J211" s="14"/>
      <c r="K211" s="14"/>
      <c r="L211" s="36"/>
      <c r="M211" s="14"/>
      <c r="N211" s="14"/>
      <c r="O211" s="14"/>
      <c r="P211" s="36"/>
      <c r="Q211" s="14"/>
      <c r="R211" s="14"/>
      <c r="S211" s="14"/>
      <c r="U211" s="36"/>
      <c r="V211" s="14"/>
      <c r="W211" s="14"/>
      <c r="X211" s="14"/>
    </row>
    <row r="212">
      <c r="A212" s="21">
        <f>Scores!A213</f>
        <v>202</v>
      </c>
      <c r="B212" s="14"/>
      <c r="C212" s="14">
        <v>98.0</v>
      </c>
      <c r="D212" s="14" t="str">
        <f t="shared" si="1"/>
        <v/>
      </c>
      <c r="F212" s="21">
        <f>IFERROR(__xludf.DUMMYFUNCTION("""COMPUTED_VALUE"""),366.0)</f>
        <v>366</v>
      </c>
      <c r="G212" s="14"/>
      <c r="H212" s="36"/>
      <c r="I212" s="14"/>
      <c r="J212" s="14"/>
      <c r="K212" s="14"/>
      <c r="L212" s="36"/>
      <c r="M212" s="14"/>
      <c r="N212" s="14"/>
      <c r="O212" s="14"/>
      <c r="P212" s="36"/>
      <c r="Q212" s="14"/>
      <c r="R212" s="14"/>
      <c r="S212" s="14"/>
      <c r="U212" s="36"/>
      <c r="V212" s="14"/>
      <c r="W212" s="14"/>
      <c r="X212" s="14"/>
    </row>
    <row r="213">
      <c r="A213" s="21">
        <f>Scores!A214</f>
        <v>203</v>
      </c>
      <c r="B213" s="14"/>
      <c r="C213" s="14">
        <v>64.0</v>
      </c>
      <c r="D213" s="14" t="str">
        <f t="shared" si="1"/>
        <v/>
      </c>
      <c r="F213" s="21">
        <f>IFERROR(__xludf.DUMMYFUNCTION("""COMPUTED_VALUE"""),367.0)</f>
        <v>367</v>
      </c>
      <c r="G213" s="14"/>
      <c r="H213" s="36"/>
      <c r="I213" s="14"/>
      <c r="J213" s="14"/>
      <c r="K213" s="14"/>
      <c r="L213" s="36"/>
      <c r="M213" s="14"/>
      <c r="N213" s="14"/>
      <c r="O213" s="14"/>
      <c r="P213" s="36"/>
      <c r="Q213" s="14"/>
      <c r="R213" s="14"/>
      <c r="S213" s="14"/>
      <c r="U213" s="36"/>
      <c r="V213" s="14"/>
      <c r="W213" s="14"/>
      <c r="X213" s="14"/>
    </row>
    <row r="214">
      <c r="A214" s="21">
        <f>Scores!A215</f>
        <v>204</v>
      </c>
      <c r="B214" s="14"/>
      <c r="C214" s="14">
        <v>93.0</v>
      </c>
      <c r="D214" s="14" t="str">
        <f t="shared" si="1"/>
        <v/>
      </c>
      <c r="F214" s="21">
        <f>IFERROR(__xludf.DUMMYFUNCTION("""COMPUTED_VALUE"""),368.0)</f>
        <v>368</v>
      </c>
      <c r="G214" s="14"/>
      <c r="H214" s="36"/>
      <c r="I214" s="14"/>
      <c r="J214" s="14"/>
      <c r="K214" s="14"/>
      <c r="L214" s="36"/>
      <c r="M214" s="14"/>
      <c r="N214" s="14"/>
      <c r="O214" s="14"/>
      <c r="P214" s="36"/>
      <c r="Q214" s="14"/>
      <c r="R214" s="14"/>
      <c r="S214" s="14"/>
      <c r="U214" s="36"/>
      <c r="V214" s="14"/>
      <c r="W214" s="14"/>
      <c r="X214" s="14"/>
    </row>
    <row r="215">
      <c r="A215" s="21">
        <f>Scores!A216</f>
        <v>205</v>
      </c>
      <c r="B215" s="14"/>
      <c r="C215" s="14">
        <v>134.0</v>
      </c>
      <c r="D215" s="14" t="str">
        <f t="shared" si="1"/>
        <v/>
      </c>
      <c r="F215" s="21">
        <f>IFERROR(__xludf.DUMMYFUNCTION("""COMPUTED_VALUE"""),369.0)</f>
        <v>369</v>
      </c>
      <c r="G215" s="14"/>
      <c r="H215" s="36"/>
      <c r="I215" s="14"/>
      <c r="J215" s="14"/>
      <c r="K215" s="14"/>
      <c r="L215" s="36"/>
      <c r="M215" s="14"/>
      <c r="N215" s="14"/>
      <c r="O215" s="14"/>
      <c r="P215" s="36"/>
      <c r="Q215" s="14"/>
      <c r="R215" s="14"/>
      <c r="S215" s="14"/>
      <c r="U215" s="36"/>
      <c r="V215" s="14"/>
      <c r="W215" s="14"/>
      <c r="X215" s="14"/>
    </row>
    <row r="216">
      <c r="A216" s="21">
        <f>Scores!A217</f>
        <v>206</v>
      </c>
      <c r="B216" s="14"/>
      <c r="C216" s="14">
        <v>139.0</v>
      </c>
      <c r="D216" s="14" t="str">
        <f t="shared" si="1"/>
        <v/>
      </c>
      <c r="F216" s="21">
        <f>IFERROR(__xludf.DUMMYFUNCTION("""COMPUTED_VALUE"""),370.0)</f>
        <v>370</v>
      </c>
      <c r="G216" s="14"/>
      <c r="H216" s="36"/>
      <c r="I216" s="14"/>
      <c r="J216" s="14"/>
      <c r="K216" s="14"/>
      <c r="L216" s="36"/>
      <c r="M216" s="14"/>
      <c r="N216" s="14"/>
      <c r="O216" s="14"/>
      <c r="P216" s="36"/>
      <c r="Q216" s="14"/>
      <c r="R216" s="14"/>
      <c r="S216" s="14"/>
      <c r="U216" s="36"/>
      <c r="V216" s="14"/>
      <c r="W216" s="14"/>
      <c r="X216" s="14"/>
    </row>
    <row r="217">
      <c r="A217" s="21">
        <f>Scores!A218</f>
        <v>207</v>
      </c>
      <c r="B217" s="14"/>
      <c r="C217" s="14">
        <v>74.0</v>
      </c>
      <c r="D217" s="14" t="str">
        <f t="shared" si="1"/>
        <v/>
      </c>
      <c r="F217" s="21">
        <f>IFERROR(__xludf.DUMMYFUNCTION("""COMPUTED_VALUE"""),371.0)</f>
        <v>371</v>
      </c>
      <c r="G217" s="14"/>
      <c r="H217" s="36"/>
      <c r="I217" s="14"/>
      <c r="J217" s="14"/>
      <c r="K217" s="14"/>
      <c r="L217" s="36"/>
      <c r="M217" s="14"/>
      <c r="N217" s="14"/>
      <c r="O217" s="14"/>
      <c r="P217" s="36"/>
      <c r="Q217" s="14"/>
      <c r="R217" s="14"/>
      <c r="S217" s="14"/>
      <c r="U217" s="36"/>
      <c r="V217" s="14"/>
      <c r="W217" s="14"/>
      <c r="X217" s="14"/>
    </row>
    <row r="218">
      <c r="A218" s="21">
        <f>Scores!A219</f>
        <v>208</v>
      </c>
      <c r="B218" s="14"/>
      <c r="C218" s="14">
        <v>163.0</v>
      </c>
      <c r="D218" s="14" t="str">
        <f t="shared" si="1"/>
        <v/>
      </c>
      <c r="F218" s="21">
        <f>IFERROR(__xludf.DUMMYFUNCTION("""COMPUTED_VALUE"""),374.0)</f>
        <v>374</v>
      </c>
      <c r="G218" s="14"/>
      <c r="H218" s="36"/>
      <c r="I218" s="14"/>
      <c r="J218" s="14"/>
      <c r="K218" s="14"/>
      <c r="L218" s="36"/>
      <c r="M218" s="14"/>
      <c r="N218" s="14"/>
      <c r="O218" s="14"/>
      <c r="P218" s="36"/>
      <c r="Q218" s="14"/>
      <c r="R218" s="14"/>
      <c r="S218" s="14"/>
      <c r="U218" s="36"/>
      <c r="V218" s="14"/>
      <c r="W218" s="14"/>
      <c r="X218" s="14"/>
    </row>
    <row r="219">
      <c r="A219" s="21">
        <f>Scores!A220</f>
        <v>209</v>
      </c>
      <c r="B219" s="14"/>
      <c r="C219" s="14">
        <v>247.0</v>
      </c>
      <c r="D219" s="14" t="str">
        <f t="shared" si="1"/>
        <v/>
      </c>
      <c r="F219" s="21">
        <f>IFERROR(__xludf.DUMMYFUNCTION("""COMPUTED_VALUE"""),377.0)</f>
        <v>377</v>
      </c>
      <c r="G219" s="14"/>
      <c r="H219" s="36"/>
      <c r="I219" s="14"/>
      <c r="J219" s="14"/>
      <c r="K219" s="14"/>
      <c r="L219" s="36"/>
      <c r="M219" s="14"/>
      <c r="N219" s="14"/>
      <c r="O219" s="14"/>
      <c r="P219" s="36"/>
      <c r="Q219" s="14"/>
      <c r="R219" s="14"/>
      <c r="S219" s="14"/>
      <c r="U219" s="36"/>
      <c r="V219" s="14"/>
      <c r="W219" s="14"/>
      <c r="X219" s="14"/>
    </row>
    <row r="220">
      <c r="A220" s="21">
        <f>Scores!A221</f>
        <v>210</v>
      </c>
      <c r="B220" s="14">
        <v>20.0</v>
      </c>
      <c r="C220" s="14">
        <v>20.0</v>
      </c>
      <c r="D220" s="14">
        <f t="shared" si="1"/>
        <v>0</v>
      </c>
      <c r="F220" s="21">
        <f>IFERROR(__xludf.DUMMYFUNCTION("""COMPUTED_VALUE"""),378.0)</f>
        <v>378</v>
      </c>
      <c r="G220" s="14"/>
      <c r="H220" s="36"/>
      <c r="I220" s="14"/>
      <c r="J220" s="14"/>
      <c r="K220" s="14"/>
      <c r="L220" s="36"/>
      <c r="M220" s="14"/>
      <c r="N220" s="14"/>
      <c r="O220" s="14"/>
      <c r="P220" s="36"/>
      <c r="Q220" s="14"/>
      <c r="R220" s="14"/>
      <c r="S220" s="14"/>
      <c r="U220" s="36"/>
      <c r="V220" s="14"/>
      <c r="W220" s="14"/>
      <c r="X220" s="14"/>
    </row>
    <row r="221">
      <c r="A221" s="21">
        <f>Scores!A222</f>
        <v>211</v>
      </c>
      <c r="B221" s="14">
        <v>49.0</v>
      </c>
      <c r="C221" s="14">
        <v>48.0</v>
      </c>
      <c r="D221" s="14">
        <f t="shared" si="1"/>
        <v>1</v>
      </c>
      <c r="F221" s="21">
        <f>IFERROR(__xludf.DUMMYFUNCTION("""COMPUTED_VALUE"""),381.0)</f>
        <v>381</v>
      </c>
      <c r="G221" s="14"/>
      <c r="H221" s="36"/>
      <c r="I221" s="14"/>
      <c r="J221" s="14"/>
      <c r="K221" s="14"/>
      <c r="L221" s="36"/>
      <c r="M221" s="14"/>
      <c r="N221" s="14"/>
      <c r="O221" s="14"/>
      <c r="P221" s="36"/>
      <c r="Q221" s="14"/>
      <c r="R221" s="14"/>
      <c r="S221" s="14"/>
      <c r="U221" s="36"/>
      <c r="V221" s="14"/>
      <c r="W221" s="14"/>
      <c r="X221" s="14"/>
    </row>
    <row r="222">
      <c r="A222" s="21">
        <f>Scores!A223</f>
        <v>212</v>
      </c>
      <c r="B222" s="14"/>
      <c r="C222" s="14">
        <v>93.0</v>
      </c>
      <c r="D222" s="14" t="str">
        <f t="shared" si="1"/>
        <v/>
      </c>
      <c r="F222" s="21">
        <f>IFERROR(__xludf.DUMMYFUNCTION("""COMPUTED_VALUE"""),382.0)</f>
        <v>382</v>
      </c>
      <c r="G222" s="14"/>
      <c r="H222" s="36"/>
      <c r="I222" s="14"/>
      <c r="J222" s="14"/>
      <c r="K222" s="14"/>
      <c r="L222" s="36"/>
      <c r="M222" s="14"/>
      <c r="N222" s="14"/>
      <c r="O222" s="14"/>
      <c r="P222" s="36"/>
      <c r="Q222" s="14"/>
      <c r="R222" s="14"/>
      <c r="S222" s="14"/>
      <c r="U222" s="36"/>
      <c r="V222" s="14"/>
      <c r="W222" s="14"/>
      <c r="X222" s="14"/>
    </row>
    <row r="223">
      <c r="A223" s="21">
        <f>Scores!A224</f>
        <v>213</v>
      </c>
      <c r="B223" s="14"/>
      <c r="C223" s="14">
        <v>86.0</v>
      </c>
      <c r="D223" s="14" t="str">
        <f t="shared" si="1"/>
        <v/>
      </c>
      <c r="F223" s="21">
        <f>IFERROR(__xludf.DUMMYFUNCTION("""COMPUTED_VALUE"""),383.0)</f>
        <v>383</v>
      </c>
      <c r="G223" s="14"/>
      <c r="H223" s="36"/>
      <c r="I223" s="14"/>
      <c r="J223" s="14"/>
      <c r="K223" s="14"/>
      <c r="L223" s="36"/>
      <c r="M223" s="14"/>
      <c r="N223" s="14"/>
      <c r="O223" s="14"/>
      <c r="P223" s="36"/>
      <c r="Q223" s="14"/>
      <c r="R223" s="14"/>
      <c r="S223" s="14"/>
      <c r="U223" s="36"/>
      <c r="V223" s="14"/>
      <c r="W223" s="14"/>
      <c r="X223" s="14"/>
    </row>
    <row r="224">
      <c r="A224" s="21">
        <f>Scores!A225</f>
        <v>214</v>
      </c>
      <c r="B224" s="14"/>
      <c r="C224" s="14">
        <v>61.0</v>
      </c>
      <c r="D224" s="14" t="str">
        <f t="shared" si="1"/>
        <v/>
      </c>
      <c r="F224" s="21">
        <f>IFERROR(__xludf.DUMMYFUNCTION("""COMPUTED_VALUE"""),384.0)</f>
        <v>384</v>
      </c>
      <c r="G224" s="14"/>
      <c r="H224" s="36"/>
      <c r="I224" s="14"/>
      <c r="J224" s="14"/>
      <c r="K224" s="14"/>
      <c r="L224" s="36"/>
      <c r="M224" s="14"/>
      <c r="N224" s="14"/>
      <c r="O224" s="14"/>
      <c r="P224" s="36"/>
      <c r="Q224" s="14"/>
      <c r="R224" s="14"/>
      <c r="S224" s="14"/>
      <c r="U224" s="36"/>
      <c r="V224" s="14"/>
      <c r="W224" s="14"/>
      <c r="X224" s="14"/>
    </row>
    <row r="225">
      <c r="A225" s="21">
        <f>Scores!A226</f>
        <v>215</v>
      </c>
      <c r="B225" s="14">
        <v>48.0</v>
      </c>
      <c r="C225" s="14">
        <v>42.0</v>
      </c>
      <c r="D225" s="14">
        <f t="shared" si="1"/>
        <v>6</v>
      </c>
      <c r="F225" s="21">
        <f>IFERROR(__xludf.DUMMYFUNCTION("""COMPUTED_VALUE"""),387.0)</f>
        <v>387</v>
      </c>
      <c r="G225" s="14"/>
      <c r="H225" s="36"/>
      <c r="I225" s="14"/>
      <c r="J225" s="14"/>
      <c r="K225" s="14"/>
      <c r="L225" s="36"/>
      <c r="M225" s="14"/>
      <c r="N225" s="14"/>
      <c r="O225" s="14"/>
      <c r="P225" s="36"/>
      <c r="Q225" s="14"/>
      <c r="R225" s="14"/>
      <c r="S225" s="14"/>
      <c r="U225" s="36"/>
      <c r="V225" s="14"/>
      <c r="W225" s="14"/>
      <c r="X225" s="14"/>
    </row>
    <row r="226">
      <c r="A226" s="21">
        <f>Scores!A227</f>
        <v>216</v>
      </c>
      <c r="B226" s="14"/>
      <c r="C226" s="14">
        <v>111.0</v>
      </c>
      <c r="D226" s="14" t="str">
        <f t="shared" si="1"/>
        <v/>
      </c>
      <c r="F226" s="21">
        <f>IFERROR(__xludf.DUMMYFUNCTION("""COMPUTED_VALUE"""),390.0)</f>
        <v>390</v>
      </c>
      <c r="G226" s="14"/>
      <c r="H226" s="36"/>
      <c r="I226" s="14"/>
      <c r="J226" s="14"/>
      <c r="K226" s="14"/>
      <c r="L226" s="36"/>
      <c r="M226" s="14"/>
      <c r="N226" s="14"/>
      <c r="O226" s="14"/>
      <c r="P226" s="36"/>
      <c r="Q226" s="14"/>
      <c r="R226" s="14"/>
      <c r="S226" s="14"/>
      <c r="U226" s="36"/>
      <c r="V226" s="14"/>
      <c r="W226" s="14"/>
      <c r="X226" s="14"/>
    </row>
    <row r="227">
      <c r="A227" s="21">
        <f>Scores!A228</f>
        <v>217</v>
      </c>
      <c r="B227" s="14"/>
      <c r="C227" s="14">
        <v>95.0</v>
      </c>
      <c r="D227" s="14" t="str">
        <f t="shared" si="1"/>
        <v/>
      </c>
      <c r="F227" s="21">
        <f>IFERROR(__xludf.DUMMYFUNCTION("""COMPUTED_VALUE"""),392.0)</f>
        <v>392</v>
      </c>
      <c r="G227" s="14"/>
      <c r="H227" s="36"/>
      <c r="I227" s="14"/>
      <c r="J227" s="14"/>
      <c r="K227" s="14"/>
      <c r="L227" s="36"/>
      <c r="M227" s="14"/>
      <c r="N227" s="14"/>
      <c r="O227" s="14"/>
      <c r="P227" s="36"/>
      <c r="Q227" s="14"/>
      <c r="R227" s="14"/>
      <c r="S227" s="14"/>
      <c r="U227" s="36"/>
      <c r="V227" s="14"/>
      <c r="W227" s="14"/>
      <c r="X227" s="14"/>
    </row>
    <row r="228">
      <c r="A228" s="21">
        <f>Scores!A229</f>
        <v>218</v>
      </c>
      <c r="B228" s="14"/>
      <c r="C228" s="14">
        <v>56.0</v>
      </c>
      <c r="D228" s="14" t="str">
        <f t="shared" si="1"/>
        <v/>
      </c>
      <c r="F228" s="21">
        <f>IFERROR(__xludf.DUMMYFUNCTION("""COMPUTED_VALUE"""),394.0)</f>
        <v>394</v>
      </c>
      <c r="G228" s="14"/>
      <c r="H228" s="36"/>
      <c r="I228" s="14"/>
      <c r="J228" s="14"/>
      <c r="K228" s="14"/>
      <c r="L228" s="36"/>
      <c r="M228" s="14"/>
      <c r="N228" s="14"/>
      <c r="O228" s="14"/>
      <c r="P228" s="36"/>
      <c r="Q228" s="14"/>
      <c r="R228" s="14"/>
      <c r="S228" s="14"/>
      <c r="U228" s="36"/>
      <c r="V228" s="14"/>
      <c r="W228" s="14"/>
      <c r="X228" s="14"/>
    </row>
    <row r="229">
      <c r="A229" s="21">
        <f>Scores!A230</f>
        <v>219</v>
      </c>
      <c r="B229" s="14"/>
      <c r="C229" s="14">
        <v>241.0</v>
      </c>
      <c r="D229" s="14" t="str">
        <f t="shared" si="1"/>
        <v/>
      </c>
      <c r="F229" s="21">
        <f>IFERROR(__xludf.DUMMYFUNCTION("""COMPUTED_VALUE"""),396.0)</f>
        <v>396</v>
      </c>
      <c r="G229" s="14"/>
      <c r="H229" s="36"/>
      <c r="I229" s="14"/>
      <c r="J229" s="14"/>
      <c r="K229" s="14"/>
      <c r="L229" s="36"/>
      <c r="M229" s="14"/>
      <c r="N229" s="14"/>
      <c r="O229" s="14"/>
      <c r="P229" s="36"/>
      <c r="Q229" s="14"/>
      <c r="R229" s="14"/>
      <c r="S229" s="14"/>
      <c r="U229" s="36"/>
      <c r="V229" s="14"/>
      <c r="W229" s="14"/>
      <c r="X229" s="14"/>
    </row>
    <row r="230">
      <c r="A230" s="21">
        <f>Scores!A231</f>
        <v>220</v>
      </c>
      <c r="B230" s="14"/>
      <c r="C230" s="14">
        <v>82.0</v>
      </c>
      <c r="D230" s="14" t="str">
        <f t="shared" si="1"/>
        <v/>
      </c>
      <c r="F230" s="21">
        <f>IFERROR(__xludf.DUMMYFUNCTION("""COMPUTED_VALUE"""),397.0)</f>
        <v>397</v>
      </c>
      <c r="G230" s="14"/>
      <c r="H230" s="36"/>
      <c r="I230" s="14"/>
      <c r="J230" s="14"/>
      <c r="K230" s="14"/>
      <c r="L230" s="36"/>
      <c r="M230" s="14"/>
      <c r="N230" s="14"/>
      <c r="O230" s="14"/>
      <c r="P230" s="36"/>
      <c r="Q230" s="14"/>
      <c r="R230" s="14"/>
      <c r="S230" s="14"/>
      <c r="U230" s="36"/>
      <c r="V230" s="14"/>
      <c r="W230" s="14"/>
      <c r="X230" s="14"/>
    </row>
    <row r="231">
      <c r="A231" s="21">
        <f>Scores!A232</f>
        <v>221</v>
      </c>
      <c r="B231" s="14"/>
      <c r="C231" s="14">
        <v>86.0</v>
      </c>
      <c r="D231" s="14" t="str">
        <f t="shared" si="1"/>
        <v/>
      </c>
      <c r="F231" s="36"/>
      <c r="G231" s="14"/>
      <c r="H231" s="36"/>
      <c r="I231" s="14"/>
      <c r="J231" s="14"/>
      <c r="K231" s="14"/>
      <c r="L231" s="36"/>
      <c r="M231" s="14"/>
      <c r="N231" s="14"/>
      <c r="O231" s="14"/>
      <c r="P231" s="36"/>
      <c r="Q231" s="14"/>
      <c r="R231" s="14"/>
      <c r="S231" s="14"/>
      <c r="U231" s="36"/>
      <c r="V231" s="14"/>
      <c r="W231" s="14"/>
      <c r="X231" s="14"/>
    </row>
    <row r="232">
      <c r="A232" s="21">
        <f>Scores!A233</f>
        <v>222</v>
      </c>
      <c r="B232" s="14"/>
      <c r="C232" s="14">
        <v>93.0</v>
      </c>
      <c r="D232" s="14" t="str">
        <f t="shared" si="1"/>
        <v/>
      </c>
      <c r="F232" s="36"/>
      <c r="G232" s="14"/>
      <c r="H232" s="36"/>
      <c r="I232" s="14"/>
      <c r="J232" s="14"/>
      <c r="K232" s="14"/>
      <c r="L232" s="36"/>
      <c r="M232" s="14"/>
      <c r="N232" s="14"/>
      <c r="O232" s="14"/>
      <c r="P232" s="36"/>
      <c r="Q232" s="14"/>
      <c r="R232" s="14"/>
      <c r="S232" s="14"/>
      <c r="U232" s="36"/>
      <c r="V232" s="14"/>
      <c r="W232" s="14"/>
      <c r="X232" s="14"/>
    </row>
    <row r="233">
      <c r="A233" s="21">
        <f>Scores!A234</f>
        <v>223</v>
      </c>
      <c r="B233" s="14">
        <v>59.0</v>
      </c>
      <c r="C233" s="14">
        <v>46.0</v>
      </c>
      <c r="D233" s="14">
        <f t="shared" si="1"/>
        <v>13</v>
      </c>
      <c r="F233" s="36"/>
      <c r="G233" s="14"/>
      <c r="H233" s="36"/>
      <c r="I233" s="14"/>
      <c r="J233" s="14"/>
      <c r="K233" s="14"/>
      <c r="L233" s="36"/>
      <c r="M233" s="14"/>
      <c r="N233" s="14"/>
      <c r="O233" s="14"/>
      <c r="P233" s="36"/>
      <c r="Q233" s="14"/>
      <c r="R233" s="14"/>
      <c r="S233" s="14"/>
      <c r="U233" s="36"/>
      <c r="V233" s="14"/>
      <c r="W233" s="14"/>
      <c r="X233" s="14"/>
    </row>
    <row r="234">
      <c r="A234" s="21">
        <f>Scores!A235</f>
        <v>224</v>
      </c>
      <c r="B234" s="14"/>
      <c r="C234" s="14">
        <v>114.0</v>
      </c>
      <c r="D234" s="14" t="str">
        <f t="shared" si="1"/>
        <v/>
      </c>
      <c r="F234" s="36"/>
      <c r="G234" s="14"/>
      <c r="H234" s="36"/>
      <c r="I234" s="14"/>
      <c r="J234" s="14"/>
      <c r="K234" s="14"/>
      <c r="L234" s="36"/>
      <c r="M234" s="14"/>
      <c r="N234" s="14"/>
      <c r="O234" s="14"/>
      <c r="P234" s="36"/>
      <c r="Q234" s="14"/>
      <c r="R234" s="14"/>
      <c r="S234" s="14"/>
      <c r="U234" s="36"/>
      <c r="V234" s="14"/>
      <c r="W234" s="14"/>
      <c r="X234" s="14"/>
    </row>
    <row r="235">
      <c r="A235" s="21">
        <f>Scores!A236</f>
        <v>225</v>
      </c>
      <c r="B235" s="14"/>
      <c r="C235" s="14">
        <v>123.0</v>
      </c>
      <c r="D235" s="14" t="str">
        <f t="shared" si="1"/>
        <v/>
      </c>
      <c r="F235" s="36"/>
      <c r="G235" s="14"/>
      <c r="H235" s="36"/>
      <c r="I235" s="14"/>
      <c r="J235" s="14"/>
      <c r="K235" s="14"/>
      <c r="L235" s="36"/>
      <c r="M235" s="14"/>
      <c r="N235" s="14"/>
      <c r="O235" s="14"/>
      <c r="P235" s="36"/>
      <c r="Q235" s="14"/>
      <c r="R235" s="14"/>
      <c r="S235" s="14"/>
      <c r="U235" s="36"/>
      <c r="V235" s="14"/>
      <c r="W235" s="14"/>
      <c r="X235" s="14"/>
    </row>
    <row r="236">
      <c r="A236" s="21">
        <f>Scores!A237</f>
        <v>226</v>
      </c>
      <c r="B236" s="14"/>
      <c r="C236" s="14">
        <v>117.0</v>
      </c>
      <c r="D236" s="14" t="str">
        <f t="shared" si="1"/>
        <v/>
      </c>
      <c r="F236" s="36"/>
      <c r="G236" s="14"/>
      <c r="H236" s="36"/>
      <c r="I236" s="14"/>
      <c r="J236" s="14"/>
      <c r="K236" s="14"/>
      <c r="L236" s="36"/>
      <c r="M236" s="14"/>
      <c r="N236" s="14"/>
      <c r="O236" s="14"/>
      <c r="P236" s="36"/>
      <c r="Q236" s="14"/>
      <c r="R236" s="14"/>
      <c r="S236" s="14"/>
      <c r="U236" s="36"/>
      <c r="V236" s="14"/>
      <c r="W236" s="14"/>
      <c r="X236" s="14"/>
    </row>
    <row r="237">
      <c r="A237" s="21">
        <f>Scores!A238</f>
        <v>227</v>
      </c>
      <c r="B237" s="14">
        <v>69.0</v>
      </c>
      <c r="C237" s="14">
        <v>52.0</v>
      </c>
      <c r="D237" s="14">
        <f t="shared" si="1"/>
        <v>17</v>
      </c>
      <c r="F237" s="36"/>
      <c r="G237" s="14"/>
      <c r="H237" s="36"/>
      <c r="I237" s="14"/>
      <c r="J237" s="14"/>
      <c r="K237" s="14"/>
      <c r="L237" s="36"/>
      <c r="M237" s="14"/>
      <c r="N237" s="14"/>
      <c r="O237" s="14"/>
      <c r="P237" s="36"/>
      <c r="Q237" s="14"/>
      <c r="R237" s="14"/>
      <c r="S237" s="14"/>
      <c r="U237" s="36"/>
      <c r="V237" s="14"/>
      <c r="W237" s="14"/>
      <c r="X237" s="14"/>
    </row>
    <row r="238">
      <c r="A238" s="21">
        <f>Scores!A239</f>
        <v>228</v>
      </c>
      <c r="B238" s="14"/>
      <c r="C238" s="14">
        <v>116.0</v>
      </c>
      <c r="D238" s="14" t="str">
        <f t="shared" si="1"/>
        <v/>
      </c>
      <c r="F238" s="36"/>
      <c r="G238" s="14"/>
      <c r="H238" s="36"/>
      <c r="I238" s="14"/>
      <c r="J238" s="14"/>
      <c r="K238" s="14"/>
      <c r="L238" s="36"/>
      <c r="M238" s="14"/>
      <c r="N238" s="14"/>
      <c r="O238" s="14"/>
      <c r="P238" s="36"/>
      <c r="Q238" s="14"/>
      <c r="R238" s="14"/>
      <c r="S238" s="14"/>
      <c r="U238" s="36"/>
      <c r="V238" s="14"/>
      <c r="W238" s="14"/>
      <c r="X238" s="14"/>
    </row>
    <row r="239">
      <c r="A239" s="21">
        <f>Scores!A240</f>
        <v>229</v>
      </c>
      <c r="B239" s="14">
        <v>83.0</v>
      </c>
      <c r="C239" s="14">
        <v>73.0</v>
      </c>
      <c r="D239" s="14">
        <f t="shared" si="1"/>
        <v>10</v>
      </c>
      <c r="F239" s="36"/>
      <c r="G239" s="14"/>
      <c r="H239" s="36"/>
      <c r="I239" s="14"/>
      <c r="J239" s="14"/>
      <c r="K239" s="14"/>
      <c r="L239" s="36"/>
      <c r="M239" s="14"/>
      <c r="N239" s="14"/>
      <c r="O239" s="14"/>
      <c r="P239" s="36"/>
      <c r="Q239" s="14"/>
      <c r="R239" s="14"/>
      <c r="S239" s="14"/>
      <c r="U239" s="36"/>
      <c r="V239" s="14"/>
      <c r="W239" s="14"/>
      <c r="X239" s="14"/>
    </row>
    <row r="240">
      <c r="A240" s="21">
        <f>Scores!A241</f>
        <v>230</v>
      </c>
      <c r="B240" s="14"/>
      <c r="C240" s="14">
        <v>95.0</v>
      </c>
      <c r="D240" s="14" t="str">
        <f t="shared" si="1"/>
        <v/>
      </c>
      <c r="F240" s="36"/>
      <c r="G240" s="14"/>
      <c r="H240" s="36"/>
      <c r="I240" s="14"/>
      <c r="J240" s="14"/>
      <c r="K240" s="14"/>
      <c r="L240" s="36"/>
      <c r="M240" s="14"/>
      <c r="N240" s="14"/>
      <c r="O240" s="14"/>
      <c r="P240" s="36"/>
      <c r="Q240" s="14"/>
      <c r="R240" s="14"/>
      <c r="S240" s="14"/>
      <c r="U240" s="36"/>
      <c r="V240" s="14"/>
      <c r="W240" s="14"/>
      <c r="X240" s="14"/>
    </row>
    <row r="241">
      <c r="A241" s="21">
        <f>Scores!A242</f>
        <v>231</v>
      </c>
      <c r="B241" s="14">
        <v>43.0</v>
      </c>
      <c r="C241" s="14">
        <v>42.0</v>
      </c>
      <c r="D241" s="14">
        <f t="shared" si="1"/>
        <v>1</v>
      </c>
      <c r="F241" s="36"/>
      <c r="G241" s="14"/>
      <c r="H241" s="36"/>
      <c r="I241" s="14"/>
      <c r="J241" s="14"/>
      <c r="K241" s="14"/>
      <c r="L241" s="36"/>
      <c r="M241" s="14"/>
      <c r="N241" s="14"/>
      <c r="O241" s="14"/>
      <c r="P241" s="36"/>
      <c r="Q241" s="14"/>
      <c r="R241" s="14"/>
      <c r="S241" s="14"/>
      <c r="U241" s="36"/>
      <c r="V241" s="14"/>
      <c r="W241" s="14"/>
      <c r="X241" s="14"/>
    </row>
    <row r="242">
      <c r="A242" s="21">
        <f>Scores!A243</f>
        <v>232</v>
      </c>
      <c r="B242" s="14">
        <v>70.0</v>
      </c>
      <c r="C242" s="14">
        <v>57.0</v>
      </c>
      <c r="D242" s="14">
        <f t="shared" si="1"/>
        <v>13</v>
      </c>
      <c r="F242" s="36"/>
      <c r="G242" s="14"/>
      <c r="H242" s="36"/>
      <c r="I242" s="14"/>
      <c r="J242" s="14"/>
      <c r="K242" s="14"/>
      <c r="L242" s="36"/>
      <c r="M242" s="14"/>
      <c r="N242" s="14"/>
      <c r="O242" s="14"/>
      <c r="P242" s="36"/>
      <c r="Q242" s="14"/>
      <c r="R242" s="14"/>
      <c r="S242" s="14"/>
      <c r="U242" s="36"/>
      <c r="V242" s="14"/>
      <c r="W242" s="14"/>
      <c r="X242" s="14"/>
    </row>
    <row r="243">
      <c r="A243" s="21">
        <f>Scores!A244</f>
        <v>233</v>
      </c>
      <c r="B243" s="14"/>
      <c r="C243" s="14">
        <v>261.0</v>
      </c>
      <c r="D243" s="14" t="str">
        <f t="shared" si="1"/>
        <v/>
      </c>
      <c r="F243" s="36"/>
      <c r="G243" s="14"/>
      <c r="H243" s="36"/>
      <c r="I243" s="14"/>
      <c r="J243" s="14"/>
      <c r="K243" s="14"/>
      <c r="L243" s="36"/>
      <c r="M243" s="14"/>
      <c r="N243" s="14"/>
      <c r="O243" s="14"/>
      <c r="P243" s="36"/>
      <c r="Q243" s="14"/>
      <c r="R243" s="14"/>
      <c r="S243" s="14"/>
      <c r="U243" s="36"/>
      <c r="V243" s="14"/>
      <c r="W243" s="14"/>
      <c r="X243" s="14"/>
    </row>
    <row r="244">
      <c r="A244" s="21">
        <f>Scores!A245</f>
        <v>234</v>
      </c>
      <c r="B244" s="14"/>
      <c r="C244" s="14">
        <v>106.0</v>
      </c>
      <c r="D244" s="14" t="str">
        <f t="shared" si="1"/>
        <v/>
      </c>
      <c r="F244" s="36"/>
      <c r="G244" s="14"/>
      <c r="H244" s="36"/>
      <c r="I244" s="14"/>
      <c r="J244" s="14"/>
      <c r="K244" s="14"/>
      <c r="L244" s="36"/>
      <c r="M244" s="14"/>
      <c r="N244" s="14"/>
      <c r="O244" s="14"/>
      <c r="P244" s="36"/>
      <c r="Q244" s="14"/>
      <c r="R244" s="14"/>
      <c r="S244" s="14"/>
      <c r="U244" s="36"/>
      <c r="V244" s="14"/>
      <c r="W244" s="14"/>
      <c r="X244" s="14"/>
    </row>
    <row r="245">
      <c r="A245" s="21">
        <f>Scores!A246</f>
        <v>235</v>
      </c>
      <c r="B245" s="14">
        <v>78.0</v>
      </c>
      <c r="C245" s="14">
        <v>61.0</v>
      </c>
      <c r="D245" s="14">
        <f t="shared" si="1"/>
        <v>17</v>
      </c>
      <c r="F245" s="36"/>
      <c r="G245" s="14"/>
      <c r="H245" s="36"/>
      <c r="I245" s="14"/>
      <c r="J245" s="14"/>
      <c r="K245" s="14"/>
      <c r="L245" s="36"/>
      <c r="M245" s="14"/>
      <c r="N245" s="14"/>
      <c r="O245" s="14"/>
      <c r="P245" s="36"/>
      <c r="Q245" s="14"/>
      <c r="R245" s="14"/>
      <c r="S245" s="14"/>
      <c r="U245" s="36"/>
      <c r="V245" s="14"/>
      <c r="W245" s="14"/>
      <c r="X245" s="14"/>
    </row>
    <row r="246">
      <c r="A246" s="21">
        <f>Scores!A247</f>
        <v>236</v>
      </c>
      <c r="B246" s="14"/>
      <c r="C246" s="14">
        <v>54.0</v>
      </c>
      <c r="D246" s="14" t="str">
        <f t="shared" si="1"/>
        <v/>
      </c>
      <c r="F246" s="36"/>
      <c r="G246" s="14"/>
      <c r="H246" s="36"/>
      <c r="I246" s="14"/>
      <c r="J246" s="14"/>
      <c r="K246" s="14"/>
      <c r="L246" s="36"/>
      <c r="M246" s="14"/>
      <c r="N246" s="14"/>
      <c r="O246" s="14"/>
      <c r="P246" s="36"/>
      <c r="Q246" s="14"/>
      <c r="R246" s="14"/>
      <c r="S246" s="14"/>
      <c r="U246" s="36"/>
      <c r="V246" s="14"/>
      <c r="W246" s="14"/>
      <c r="X246" s="14"/>
    </row>
    <row r="247">
      <c r="A247" s="21">
        <f>Scores!A248</f>
        <v>237</v>
      </c>
      <c r="B247" s="14"/>
      <c r="C247" s="14">
        <v>66.0</v>
      </c>
      <c r="D247" s="14" t="str">
        <f t="shared" si="1"/>
        <v/>
      </c>
      <c r="F247" s="36"/>
      <c r="G247" s="14"/>
      <c r="H247" s="36"/>
      <c r="I247" s="14"/>
      <c r="J247" s="14"/>
      <c r="K247" s="14"/>
      <c r="L247" s="36"/>
      <c r="M247" s="14"/>
      <c r="N247" s="14"/>
      <c r="O247" s="14"/>
      <c r="P247" s="36"/>
      <c r="Q247" s="14"/>
      <c r="R247" s="14"/>
      <c r="S247" s="14"/>
      <c r="U247" s="36"/>
      <c r="V247" s="14"/>
      <c r="W247" s="14"/>
      <c r="X247" s="14"/>
    </row>
    <row r="248">
      <c r="A248" s="21">
        <f>Scores!A249</f>
        <v>238</v>
      </c>
      <c r="B248" s="14"/>
      <c r="C248" s="14">
        <v>195.0</v>
      </c>
      <c r="D248" s="14" t="str">
        <f t="shared" si="1"/>
        <v/>
      </c>
      <c r="F248" s="36"/>
      <c r="G248" s="14"/>
      <c r="H248" s="36"/>
      <c r="I248" s="14"/>
      <c r="J248" s="14"/>
      <c r="K248" s="14"/>
      <c r="L248" s="36"/>
      <c r="M248" s="14"/>
      <c r="N248" s="14"/>
      <c r="O248" s="14"/>
      <c r="P248" s="36"/>
      <c r="Q248" s="14"/>
      <c r="R248" s="14"/>
      <c r="S248" s="14"/>
      <c r="U248" s="36"/>
      <c r="V248" s="14"/>
      <c r="W248" s="14"/>
      <c r="X248" s="14"/>
    </row>
    <row r="249">
      <c r="A249" s="21">
        <f>Scores!A250</f>
        <v>239</v>
      </c>
      <c r="B249" s="14"/>
      <c r="C249" s="14">
        <v>99.0</v>
      </c>
      <c r="D249" s="14" t="str">
        <f t="shared" si="1"/>
        <v/>
      </c>
      <c r="F249" s="36"/>
      <c r="G249" s="14"/>
      <c r="H249" s="36"/>
      <c r="I249" s="14"/>
      <c r="J249" s="14"/>
      <c r="K249" s="14"/>
      <c r="L249" s="36"/>
      <c r="M249" s="14"/>
      <c r="N249" s="14"/>
      <c r="O249" s="14"/>
      <c r="P249" s="36"/>
      <c r="Q249" s="14"/>
      <c r="R249" s="14"/>
      <c r="S249" s="14"/>
      <c r="U249" s="36"/>
      <c r="V249" s="14"/>
      <c r="W249" s="14"/>
      <c r="X249" s="14"/>
    </row>
    <row r="250">
      <c r="A250" s="21">
        <f>Scores!A251</f>
        <v>240</v>
      </c>
      <c r="B250" s="14"/>
      <c r="C250" s="14">
        <v>89.0</v>
      </c>
      <c r="D250" s="14" t="str">
        <f t="shared" si="1"/>
        <v/>
      </c>
      <c r="F250" s="36"/>
      <c r="G250" s="14"/>
      <c r="H250" s="36"/>
      <c r="I250" s="14"/>
      <c r="J250" s="14"/>
      <c r="K250" s="14"/>
      <c r="L250" s="36"/>
      <c r="M250" s="14"/>
      <c r="N250" s="14"/>
      <c r="O250" s="14"/>
      <c r="P250" s="36"/>
      <c r="Q250" s="14"/>
      <c r="R250" s="14"/>
      <c r="S250" s="14"/>
      <c r="U250" s="36"/>
      <c r="V250" s="14"/>
      <c r="W250" s="14"/>
      <c r="X250" s="14"/>
    </row>
    <row r="251">
      <c r="A251" s="21">
        <f>Scores!A252</f>
        <v>241</v>
      </c>
      <c r="B251" s="14">
        <v>21.0</v>
      </c>
      <c r="C251" s="14">
        <v>21.0</v>
      </c>
      <c r="D251" s="14">
        <f t="shared" si="1"/>
        <v>0</v>
      </c>
      <c r="F251" s="36"/>
      <c r="G251" s="14"/>
      <c r="H251" s="36"/>
      <c r="I251" s="14"/>
      <c r="J251" s="14"/>
      <c r="K251" s="14"/>
      <c r="L251" s="36"/>
      <c r="M251" s="14"/>
      <c r="N251" s="14"/>
      <c r="O251" s="14"/>
      <c r="P251" s="36"/>
      <c r="Q251" s="14"/>
      <c r="R251" s="14"/>
      <c r="S251" s="14"/>
      <c r="U251" s="36"/>
      <c r="V251" s="14"/>
      <c r="W251" s="14"/>
      <c r="X251" s="14"/>
    </row>
    <row r="252">
      <c r="A252" s="21">
        <f>Scores!A253</f>
        <v>242</v>
      </c>
      <c r="B252" s="14">
        <v>66.0</v>
      </c>
      <c r="C252" s="14">
        <v>54.0</v>
      </c>
      <c r="D252" s="14">
        <f t="shared" si="1"/>
        <v>12</v>
      </c>
      <c r="F252" s="36"/>
      <c r="G252" s="14"/>
      <c r="H252" s="36"/>
      <c r="I252" s="14"/>
      <c r="J252" s="14"/>
      <c r="K252" s="14"/>
      <c r="L252" s="36"/>
      <c r="M252" s="14"/>
      <c r="N252" s="14"/>
      <c r="O252" s="14"/>
      <c r="P252" s="36"/>
      <c r="Q252" s="14"/>
      <c r="R252" s="14"/>
      <c r="S252" s="14"/>
      <c r="U252" s="36"/>
      <c r="V252" s="14"/>
      <c r="W252" s="14"/>
      <c r="X252" s="14"/>
    </row>
    <row r="253">
      <c r="A253" s="21">
        <f>Scores!A254</f>
        <v>243</v>
      </c>
      <c r="B253" s="14">
        <v>88.0</v>
      </c>
      <c r="C253" s="14">
        <v>75.0</v>
      </c>
      <c r="D253" s="14">
        <f t="shared" si="1"/>
        <v>13</v>
      </c>
      <c r="F253" s="36"/>
      <c r="G253" s="14"/>
      <c r="H253" s="36"/>
      <c r="I253" s="14"/>
      <c r="J253" s="14"/>
      <c r="K253" s="14"/>
      <c r="L253" s="36"/>
      <c r="M253" s="14"/>
      <c r="N253" s="14"/>
      <c r="O253" s="14"/>
      <c r="P253" s="36"/>
      <c r="Q253" s="14"/>
      <c r="R253" s="14"/>
      <c r="S253" s="14"/>
      <c r="U253" s="36"/>
      <c r="V253" s="14"/>
      <c r="W253" s="14"/>
      <c r="X253" s="14"/>
    </row>
    <row r="254">
      <c r="A254" s="21">
        <f>Scores!A255</f>
        <v>244</v>
      </c>
      <c r="B254" s="14"/>
      <c r="C254" s="14">
        <v>61.0</v>
      </c>
      <c r="D254" s="14" t="str">
        <f t="shared" si="1"/>
        <v/>
      </c>
      <c r="F254" s="36"/>
      <c r="G254" s="14"/>
      <c r="H254" s="36"/>
      <c r="I254" s="14"/>
      <c r="J254" s="14"/>
      <c r="K254" s="14"/>
      <c r="L254" s="36"/>
      <c r="M254" s="14"/>
      <c r="N254" s="14"/>
      <c r="O254" s="14"/>
      <c r="P254" s="36"/>
      <c r="Q254" s="14"/>
      <c r="R254" s="14"/>
      <c r="S254" s="14"/>
      <c r="U254" s="36"/>
      <c r="V254" s="14"/>
      <c r="W254" s="14"/>
      <c r="X254" s="14"/>
    </row>
    <row r="255">
      <c r="A255" s="21">
        <f>Scores!A256</f>
        <v>245</v>
      </c>
      <c r="B255" s="14"/>
      <c r="C255" s="14">
        <v>98.0</v>
      </c>
      <c r="D255" s="14" t="str">
        <f t="shared" si="1"/>
        <v/>
      </c>
      <c r="F255" s="36"/>
      <c r="G255" s="14"/>
      <c r="H255" s="36"/>
      <c r="I255" s="14"/>
      <c r="J255" s="14"/>
      <c r="K255" s="14"/>
      <c r="L255" s="36"/>
      <c r="M255" s="14"/>
      <c r="N255" s="14"/>
      <c r="O255" s="14"/>
      <c r="P255" s="36"/>
      <c r="Q255" s="14"/>
      <c r="R255" s="14"/>
      <c r="S255" s="14"/>
      <c r="U255" s="36"/>
      <c r="V255" s="14"/>
      <c r="W255" s="14"/>
      <c r="X255" s="14"/>
    </row>
    <row r="256">
      <c r="A256" s="21">
        <f>Scores!A257</f>
        <v>246</v>
      </c>
      <c r="B256" s="14"/>
      <c r="C256" s="14">
        <v>104.0</v>
      </c>
      <c r="D256" s="14" t="str">
        <f t="shared" si="1"/>
        <v/>
      </c>
      <c r="F256" s="36"/>
      <c r="G256" s="14"/>
      <c r="H256" s="36"/>
      <c r="I256" s="14"/>
      <c r="J256" s="14"/>
      <c r="K256" s="14"/>
      <c r="L256" s="36"/>
      <c r="M256" s="14"/>
      <c r="N256" s="14"/>
      <c r="O256" s="14"/>
      <c r="P256" s="36"/>
      <c r="Q256" s="14"/>
      <c r="R256" s="14"/>
      <c r="S256" s="14"/>
      <c r="U256" s="36"/>
      <c r="V256" s="14"/>
      <c r="W256" s="14"/>
      <c r="X256" s="14"/>
    </row>
    <row r="257">
      <c r="A257" s="21">
        <f>Scores!A258</f>
        <v>247</v>
      </c>
      <c r="B257" s="14"/>
      <c r="C257" s="14">
        <v>92.0</v>
      </c>
      <c r="D257" s="14" t="str">
        <f t="shared" si="1"/>
        <v/>
      </c>
      <c r="F257" s="36"/>
      <c r="G257" s="14"/>
      <c r="H257" s="36"/>
      <c r="I257" s="14"/>
      <c r="J257" s="14"/>
      <c r="K257" s="14"/>
      <c r="L257" s="36"/>
      <c r="M257" s="14"/>
      <c r="N257" s="14"/>
      <c r="O257" s="14"/>
      <c r="P257" s="36"/>
      <c r="Q257" s="14"/>
      <c r="R257" s="14"/>
      <c r="S257" s="14"/>
      <c r="U257" s="36"/>
      <c r="V257" s="14"/>
      <c r="W257" s="14"/>
      <c r="X257" s="14"/>
    </row>
    <row r="258">
      <c r="A258" s="21">
        <f>Scores!A259</f>
        <v>248</v>
      </c>
      <c r="B258" s="14"/>
      <c r="C258" s="14">
        <v>67.0</v>
      </c>
      <c r="D258" s="14" t="str">
        <f t="shared" si="1"/>
        <v/>
      </c>
      <c r="F258" s="36"/>
      <c r="G258" s="14"/>
      <c r="H258" s="36"/>
      <c r="I258" s="14"/>
      <c r="J258" s="14"/>
      <c r="K258" s="14"/>
      <c r="L258" s="36"/>
      <c r="M258" s="14"/>
      <c r="N258" s="14"/>
      <c r="O258" s="14"/>
      <c r="P258" s="36"/>
      <c r="Q258" s="14"/>
      <c r="R258" s="14"/>
      <c r="S258" s="14"/>
      <c r="U258" s="36"/>
      <c r="V258" s="14"/>
      <c r="W258" s="14"/>
      <c r="X258" s="14"/>
    </row>
    <row r="259">
      <c r="A259" s="21">
        <f>Scores!A260</f>
        <v>249</v>
      </c>
      <c r="B259" s="14">
        <v>26.0</v>
      </c>
      <c r="C259" s="14">
        <v>26.0</v>
      </c>
      <c r="D259" s="14">
        <f t="shared" si="1"/>
        <v>0</v>
      </c>
      <c r="F259" s="36"/>
      <c r="G259" s="14"/>
      <c r="H259" s="36"/>
      <c r="I259" s="14"/>
      <c r="J259" s="14"/>
      <c r="K259" s="14"/>
      <c r="L259" s="36"/>
      <c r="M259" s="14"/>
      <c r="N259" s="14"/>
      <c r="O259" s="14"/>
      <c r="P259" s="36"/>
      <c r="Q259" s="14"/>
      <c r="R259" s="14"/>
      <c r="S259" s="14"/>
      <c r="U259" s="36"/>
      <c r="V259" s="14"/>
      <c r="W259" s="14"/>
      <c r="X259" s="14"/>
    </row>
    <row r="260">
      <c r="A260" s="21">
        <f>Scores!A261</f>
        <v>250</v>
      </c>
      <c r="B260" s="14"/>
      <c r="C260" s="14">
        <v>95.0</v>
      </c>
      <c r="D260" s="14" t="str">
        <f t="shared" si="1"/>
        <v/>
      </c>
      <c r="F260" s="36"/>
      <c r="G260" s="14"/>
      <c r="H260" s="36"/>
      <c r="I260" s="14"/>
      <c r="J260" s="14"/>
      <c r="K260" s="14"/>
      <c r="L260" s="36"/>
      <c r="M260" s="14"/>
      <c r="N260" s="14"/>
      <c r="O260" s="14"/>
      <c r="P260" s="36"/>
      <c r="Q260" s="14"/>
      <c r="R260" s="14"/>
      <c r="S260" s="14"/>
      <c r="U260" s="36"/>
      <c r="V260" s="14"/>
      <c r="W260" s="14"/>
      <c r="X260" s="14"/>
    </row>
    <row r="261">
      <c r="A261" s="21">
        <f>Scores!A262</f>
        <v>251</v>
      </c>
      <c r="B261" s="14"/>
      <c r="C261" s="14">
        <v>84.0</v>
      </c>
      <c r="D261" s="14" t="str">
        <f t="shared" si="1"/>
        <v/>
      </c>
      <c r="F261" s="36"/>
      <c r="G261" s="14"/>
      <c r="H261" s="36"/>
      <c r="I261" s="14"/>
      <c r="J261" s="14"/>
      <c r="K261" s="14"/>
      <c r="L261" s="36"/>
      <c r="M261" s="14"/>
      <c r="N261" s="14"/>
      <c r="O261" s="14"/>
      <c r="P261" s="36"/>
      <c r="Q261" s="14"/>
      <c r="R261" s="14"/>
      <c r="S261" s="14"/>
      <c r="U261" s="36"/>
      <c r="V261" s="14"/>
      <c r="W261" s="14"/>
      <c r="X261" s="14"/>
    </row>
    <row r="262">
      <c r="A262" s="21">
        <f>Scores!A263</f>
        <v>252</v>
      </c>
      <c r="B262" s="14"/>
      <c r="C262" s="14">
        <v>53.0</v>
      </c>
      <c r="D262" s="14" t="str">
        <f t="shared" si="1"/>
        <v/>
      </c>
      <c r="F262" s="36"/>
      <c r="G262" s="14"/>
      <c r="H262" s="36"/>
      <c r="I262" s="14"/>
      <c r="J262" s="14"/>
      <c r="K262" s="14"/>
      <c r="L262" s="36"/>
      <c r="M262" s="14"/>
      <c r="N262" s="14"/>
      <c r="O262" s="14"/>
      <c r="P262" s="36"/>
      <c r="Q262" s="14"/>
      <c r="R262" s="14"/>
      <c r="S262" s="14"/>
      <c r="U262" s="36"/>
      <c r="V262" s="14"/>
      <c r="W262" s="14"/>
      <c r="X262" s="14"/>
    </row>
    <row r="263">
      <c r="A263" s="21">
        <f>Scores!A264</f>
        <v>253</v>
      </c>
      <c r="B263" s="14"/>
      <c r="C263" s="14">
        <v>114.0</v>
      </c>
      <c r="D263" s="14" t="str">
        <f t="shared" si="1"/>
        <v/>
      </c>
      <c r="F263" s="36"/>
      <c r="G263" s="14"/>
      <c r="H263" s="36"/>
      <c r="I263" s="14"/>
      <c r="J263" s="14"/>
      <c r="K263" s="14"/>
      <c r="L263" s="36"/>
      <c r="M263" s="14"/>
      <c r="N263" s="14"/>
      <c r="O263" s="14"/>
      <c r="P263" s="36"/>
      <c r="Q263" s="14"/>
      <c r="R263" s="14"/>
      <c r="S263" s="14"/>
      <c r="U263" s="36"/>
      <c r="V263" s="14"/>
      <c r="W263" s="14"/>
      <c r="X263" s="14"/>
    </row>
    <row r="264">
      <c r="A264" s="21">
        <f>Scores!A265</f>
        <v>254</v>
      </c>
      <c r="B264" s="14"/>
      <c r="C264" s="14">
        <v>81.0</v>
      </c>
      <c r="D264" s="14" t="str">
        <f t="shared" si="1"/>
        <v/>
      </c>
      <c r="F264" s="36"/>
      <c r="G264" s="14"/>
      <c r="H264" s="36"/>
      <c r="I264" s="14"/>
      <c r="J264" s="14"/>
      <c r="K264" s="14"/>
      <c r="L264" s="36"/>
      <c r="M264" s="14"/>
      <c r="N264" s="14"/>
      <c r="O264" s="14"/>
      <c r="P264" s="36"/>
      <c r="Q264" s="14"/>
      <c r="R264" s="14"/>
      <c r="S264" s="14"/>
      <c r="U264" s="36"/>
      <c r="V264" s="14"/>
      <c r="W264" s="14"/>
      <c r="X264" s="14"/>
    </row>
    <row r="265">
      <c r="A265" s="21">
        <f>Scores!A266</f>
        <v>255</v>
      </c>
      <c r="B265" s="14">
        <v>309.0</v>
      </c>
      <c r="C265" s="14">
        <v>212.0</v>
      </c>
      <c r="D265" s="14">
        <f t="shared" si="1"/>
        <v>97</v>
      </c>
      <c r="F265" s="36"/>
      <c r="G265" s="14"/>
      <c r="H265" s="36"/>
      <c r="I265" s="14"/>
      <c r="J265" s="14"/>
      <c r="K265" s="14"/>
      <c r="L265" s="36"/>
      <c r="M265" s="14"/>
      <c r="N265" s="14"/>
      <c r="O265" s="14"/>
      <c r="P265" s="36"/>
      <c r="Q265" s="14"/>
      <c r="R265" s="14"/>
      <c r="S265" s="14"/>
      <c r="U265" s="36"/>
      <c r="V265" s="14"/>
      <c r="W265" s="14"/>
      <c r="X265" s="14"/>
    </row>
    <row r="266">
      <c r="A266" s="21">
        <f>Scores!A267</f>
        <v>256</v>
      </c>
      <c r="B266" s="14"/>
      <c r="C266" s="14">
        <v>93.0</v>
      </c>
      <c r="D266" s="14" t="str">
        <f t="shared" si="1"/>
        <v/>
      </c>
      <c r="F266" s="36"/>
      <c r="G266" s="14"/>
      <c r="H266" s="36"/>
      <c r="I266" s="14"/>
      <c r="J266" s="14"/>
      <c r="K266" s="14"/>
      <c r="L266" s="36"/>
      <c r="M266" s="14"/>
      <c r="N266" s="14"/>
      <c r="O266" s="14"/>
      <c r="P266" s="36"/>
      <c r="Q266" s="14"/>
      <c r="R266" s="14"/>
      <c r="S266" s="14"/>
      <c r="U266" s="36"/>
      <c r="V266" s="14"/>
      <c r="W266" s="14"/>
      <c r="X266" s="14"/>
    </row>
    <row r="267">
      <c r="A267" s="21">
        <f>Scores!A268</f>
        <v>257</v>
      </c>
      <c r="B267" s="14">
        <v>90.0</v>
      </c>
      <c r="C267" s="14">
        <v>68.0</v>
      </c>
      <c r="D267" s="14">
        <f t="shared" si="1"/>
        <v>22</v>
      </c>
      <c r="F267" s="36"/>
      <c r="G267" s="14"/>
      <c r="H267" s="36"/>
      <c r="I267" s="14"/>
      <c r="J267" s="14"/>
      <c r="K267" s="14"/>
      <c r="L267" s="36"/>
      <c r="M267" s="14"/>
      <c r="N267" s="14"/>
      <c r="O267" s="14"/>
      <c r="P267" s="36"/>
      <c r="Q267" s="14"/>
      <c r="R267" s="14"/>
      <c r="S267" s="14"/>
      <c r="U267" s="36"/>
      <c r="V267" s="14"/>
      <c r="W267" s="14"/>
      <c r="X267" s="14"/>
    </row>
    <row r="268">
      <c r="A268" s="21">
        <f>Scores!A269</f>
        <v>258</v>
      </c>
      <c r="B268" s="14">
        <v>70.0</v>
      </c>
      <c r="C268" s="14">
        <v>61.0</v>
      </c>
      <c r="D268" s="14">
        <f t="shared" si="1"/>
        <v>9</v>
      </c>
      <c r="F268" s="36"/>
      <c r="G268" s="14"/>
      <c r="H268" s="36"/>
      <c r="I268" s="14"/>
      <c r="J268" s="14"/>
      <c r="K268" s="14"/>
      <c r="L268" s="36"/>
      <c r="M268" s="14"/>
      <c r="N268" s="14"/>
      <c r="O268" s="14"/>
      <c r="P268" s="36"/>
      <c r="Q268" s="14"/>
      <c r="R268" s="14"/>
      <c r="S268" s="14"/>
      <c r="U268" s="36"/>
      <c r="V268" s="14"/>
      <c r="W268" s="14"/>
      <c r="X268" s="14"/>
    </row>
    <row r="269">
      <c r="A269" s="21">
        <f>Scores!A270</f>
        <v>259</v>
      </c>
      <c r="B269" s="14"/>
      <c r="C269" s="14">
        <v>83.0</v>
      </c>
      <c r="D269" s="14" t="str">
        <f t="shared" si="1"/>
        <v/>
      </c>
      <c r="F269" s="36"/>
      <c r="G269" s="14"/>
      <c r="H269" s="36"/>
      <c r="I269" s="14"/>
      <c r="J269" s="14"/>
      <c r="K269" s="14"/>
      <c r="L269" s="36"/>
      <c r="M269" s="14"/>
      <c r="N269" s="14"/>
      <c r="O269" s="14"/>
      <c r="P269" s="36"/>
      <c r="Q269" s="14"/>
      <c r="R269" s="14"/>
      <c r="S269" s="14"/>
      <c r="U269" s="36"/>
      <c r="V269" s="14"/>
      <c r="W269" s="14"/>
      <c r="X269" s="14"/>
    </row>
    <row r="270">
      <c r="A270" s="21">
        <f>Scores!A271</f>
        <v>260</v>
      </c>
      <c r="B270" s="14"/>
      <c r="C270" s="14">
        <v>130.0</v>
      </c>
      <c r="D270" s="14" t="str">
        <f t="shared" si="1"/>
        <v/>
      </c>
      <c r="F270" s="36"/>
      <c r="G270" s="14"/>
      <c r="H270" s="36"/>
      <c r="I270" s="14"/>
      <c r="J270" s="14"/>
      <c r="K270" s="14"/>
      <c r="L270" s="36"/>
      <c r="M270" s="14"/>
      <c r="N270" s="14"/>
      <c r="O270" s="14"/>
      <c r="P270" s="36"/>
      <c r="Q270" s="14"/>
      <c r="R270" s="14"/>
      <c r="S270" s="14"/>
      <c r="U270" s="36"/>
      <c r="V270" s="14"/>
      <c r="W270" s="14"/>
      <c r="X270" s="14"/>
    </row>
    <row r="271">
      <c r="A271" s="21">
        <f>Scores!A272</f>
        <v>261</v>
      </c>
      <c r="B271" s="14">
        <v>48.0</v>
      </c>
      <c r="C271" s="14">
        <v>47.0</v>
      </c>
      <c r="D271" s="14">
        <f t="shared" si="1"/>
        <v>1</v>
      </c>
      <c r="F271" s="36"/>
      <c r="G271" s="14"/>
      <c r="H271" s="36"/>
      <c r="I271" s="14"/>
      <c r="J271" s="14"/>
      <c r="K271" s="14"/>
      <c r="L271" s="36"/>
      <c r="M271" s="14"/>
      <c r="N271" s="14"/>
      <c r="O271" s="14"/>
      <c r="P271" s="36"/>
      <c r="Q271" s="14"/>
      <c r="R271" s="14"/>
      <c r="S271" s="14"/>
      <c r="U271" s="36"/>
      <c r="V271" s="14"/>
      <c r="W271" s="14"/>
      <c r="X271" s="14"/>
    </row>
    <row r="272">
      <c r="A272" s="21">
        <f>Scores!A273</f>
        <v>262</v>
      </c>
      <c r="B272" s="14">
        <v>42.0</v>
      </c>
      <c r="C272" s="14">
        <v>39.0</v>
      </c>
      <c r="D272" s="14">
        <f t="shared" si="1"/>
        <v>3</v>
      </c>
      <c r="F272" s="36"/>
      <c r="G272" s="14"/>
      <c r="H272" s="36"/>
      <c r="I272" s="14"/>
      <c r="J272" s="14"/>
      <c r="K272" s="14"/>
      <c r="L272" s="36"/>
      <c r="M272" s="14"/>
      <c r="N272" s="14"/>
      <c r="O272" s="14"/>
      <c r="P272" s="36"/>
      <c r="Q272" s="14"/>
      <c r="R272" s="14"/>
      <c r="S272" s="14"/>
      <c r="U272" s="36"/>
      <c r="V272" s="14"/>
      <c r="W272" s="14"/>
      <c r="X272" s="14"/>
    </row>
    <row r="273">
      <c r="A273" s="21">
        <f>Scores!A274</f>
        <v>263</v>
      </c>
      <c r="B273" s="14"/>
      <c r="C273" s="14">
        <v>106.0</v>
      </c>
      <c r="D273" s="14" t="str">
        <f t="shared" si="1"/>
        <v/>
      </c>
      <c r="F273" s="36"/>
      <c r="G273" s="14"/>
      <c r="H273" s="36"/>
      <c r="I273" s="14"/>
      <c r="J273" s="14"/>
      <c r="K273" s="14"/>
      <c r="L273" s="36"/>
      <c r="M273" s="14"/>
      <c r="N273" s="14"/>
      <c r="O273" s="14"/>
      <c r="P273" s="36"/>
      <c r="Q273" s="14"/>
      <c r="R273" s="14"/>
      <c r="S273" s="14"/>
      <c r="U273" s="36"/>
      <c r="V273" s="14"/>
      <c r="W273" s="14"/>
      <c r="X273" s="14"/>
    </row>
    <row r="274">
      <c r="A274" s="21">
        <f>Scores!A275</f>
        <v>264</v>
      </c>
      <c r="B274" s="14"/>
      <c r="C274" s="14">
        <v>178.0</v>
      </c>
      <c r="D274" s="14" t="str">
        <f t="shared" si="1"/>
        <v/>
      </c>
      <c r="F274" s="36"/>
      <c r="G274" s="14"/>
      <c r="H274" s="36"/>
      <c r="I274" s="14"/>
      <c r="J274" s="14"/>
      <c r="K274" s="14"/>
      <c r="L274" s="36"/>
      <c r="M274" s="14"/>
      <c r="N274" s="14"/>
      <c r="O274" s="14"/>
      <c r="P274" s="36"/>
      <c r="Q274" s="14"/>
      <c r="R274" s="14"/>
      <c r="S274" s="14"/>
      <c r="U274" s="36"/>
      <c r="V274" s="14"/>
      <c r="W274" s="14"/>
      <c r="X274" s="14"/>
    </row>
    <row r="275">
      <c r="A275" s="21">
        <f>Scores!A276</f>
        <v>265</v>
      </c>
      <c r="B275" s="14"/>
      <c r="C275" s="14">
        <v>104.0</v>
      </c>
      <c r="D275" s="14" t="str">
        <f t="shared" si="1"/>
        <v/>
      </c>
      <c r="F275" s="36"/>
      <c r="G275" s="14"/>
      <c r="H275" s="36"/>
      <c r="I275" s="14"/>
      <c r="J275" s="14"/>
      <c r="K275" s="14"/>
      <c r="L275" s="36"/>
      <c r="M275" s="14"/>
      <c r="N275" s="14"/>
      <c r="O275" s="14"/>
      <c r="P275" s="36"/>
      <c r="Q275" s="14"/>
      <c r="R275" s="14"/>
      <c r="S275" s="14"/>
      <c r="U275" s="36"/>
      <c r="V275" s="14"/>
      <c r="W275" s="14"/>
      <c r="X275" s="14"/>
    </row>
    <row r="276">
      <c r="A276" s="21">
        <f>Scores!A277</f>
        <v>266</v>
      </c>
      <c r="B276" s="14"/>
      <c r="C276" s="14">
        <v>88.0</v>
      </c>
      <c r="D276" s="14" t="str">
        <f t="shared" si="1"/>
        <v/>
      </c>
      <c r="F276" s="36"/>
      <c r="G276" s="14"/>
      <c r="H276" s="36"/>
      <c r="I276" s="14"/>
      <c r="J276" s="14"/>
      <c r="K276" s="14"/>
      <c r="L276" s="36"/>
      <c r="M276" s="14"/>
      <c r="N276" s="14"/>
      <c r="O276" s="14"/>
      <c r="P276" s="36"/>
      <c r="Q276" s="14"/>
      <c r="R276" s="14"/>
      <c r="S276" s="14"/>
      <c r="U276" s="36"/>
      <c r="V276" s="14"/>
      <c r="W276" s="14"/>
      <c r="X276" s="14"/>
    </row>
    <row r="277">
      <c r="A277" s="21">
        <f>Scores!A278</f>
        <v>267</v>
      </c>
      <c r="B277" s="14">
        <v>58.0</v>
      </c>
      <c r="C277" s="14">
        <v>46.0</v>
      </c>
      <c r="D277" s="14">
        <f t="shared" si="1"/>
        <v>12</v>
      </c>
      <c r="F277" s="36"/>
      <c r="G277" s="14"/>
      <c r="H277" s="36"/>
      <c r="I277" s="14"/>
      <c r="J277" s="14"/>
      <c r="K277" s="14"/>
      <c r="L277" s="36"/>
      <c r="M277" s="14"/>
      <c r="N277" s="14"/>
      <c r="O277" s="14"/>
      <c r="P277" s="36"/>
      <c r="Q277" s="14"/>
      <c r="R277" s="14"/>
      <c r="S277" s="14"/>
      <c r="U277" s="36"/>
      <c r="V277" s="14"/>
      <c r="W277" s="14"/>
      <c r="X277" s="14"/>
    </row>
    <row r="278">
      <c r="A278" s="21">
        <f>Scores!A279</f>
        <v>268</v>
      </c>
      <c r="B278" s="14"/>
      <c r="C278" s="14">
        <v>190.0</v>
      </c>
      <c r="D278" s="14" t="str">
        <f t="shared" si="1"/>
        <v/>
      </c>
      <c r="F278" s="36"/>
      <c r="G278" s="14"/>
      <c r="H278" s="36"/>
      <c r="I278" s="14"/>
      <c r="J278" s="14"/>
      <c r="K278" s="14"/>
      <c r="L278" s="36"/>
      <c r="M278" s="14"/>
      <c r="N278" s="14"/>
      <c r="O278" s="14"/>
      <c r="P278" s="36"/>
      <c r="Q278" s="14"/>
      <c r="R278" s="14"/>
      <c r="S278" s="14"/>
      <c r="U278" s="36"/>
      <c r="V278" s="14"/>
      <c r="W278" s="14"/>
      <c r="X278" s="14"/>
    </row>
    <row r="279">
      <c r="A279" s="21">
        <f>Scores!A280</f>
        <v>269</v>
      </c>
      <c r="B279" s="14"/>
      <c r="C279" s="14">
        <v>63.0</v>
      </c>
      <c r="D279" s="14" t="str">
        <f t="shared" si="1"/>
        <v/>
      </c>
      <c r="F279" s="36"/>
      <c r="G279" s="14"/>
      <c r="H279" s="36"/>
      <c r="I279" s="14"/>
      <c r="J279" s="14"/>
      <c r="K279" s="14"/>
      <c r="L279" s="36"/>
      <c r="M279" s="14"/>
      <c r="N279" s="14"/>
      <c r="O279" s="14"/>
      <c r="P279" s="36"/>
      <c r="Q279" s="14"/>
      <c r="R279" s="14"/>
      <c r="S279" s="14"/>
      <c r="U279" s="36"/>
      <c r="V279" s="14"/>
      <c r="W279" s="14"/>
      <c r="X279" s="14"/>
    </row>
    <row r="280">
      <c r="A280" s="21">
        <f>Scores!A281</f>
        <v>270</v>
      </c>
      <c r="B280" s="14"/>
      <c r="C280" s="14">
        <v>115.0</v>
      </c>
      <c r="D280" s="14" t="str">
        <f t="shared" si="1"/>
        <v/>
      </c>
      <c r="F280" s="36"/>
      <c r="G280" s="14"/>
      <c r="H280" s="36"/>
      <c r="I280" s="14"/>
      <c r="J280" s="14"/>
      <c r="K280" s="14"/>
      <c r="L280" s="36"/>
      <c r="M280" s="14"/>
      <c r="N280" s="14"/>
      <c r="O280" s="14"/>
      <c r="P280" s="36"/>
      <c r="Q280" s="14"/>
      <c r="R280" s="14"/>
      <c r="S280" s="14"/>
      <c r="U280" s="36"/>
      <c r="V280" s="14"/>
      <c r="W280" s="14"/>
      <c r="X280" s="14"/>
    </row>
    <row r="281">
      <c r="A281" s="21">
        <f>Scores!A282</f>
        <v>271</v>
      </c>
      <c r="B281" s="14">
        <v>119.0</v>
      </c>
      <c r="C281" s="14">
        <v>86.0</v>
      </c>
      <c r="D281" s="14">
        <f t="shared" si="1"/>
        <v>33</v>
      </c>
      <c r="F281" s="36"/>
      <c r="G281" s="14"/>
      <c r="H281" s="36"/>
      <c r="I281" s="14"/>
      <c r="J281" s="14"/>
      <c r="K281" s="14"/>
      <c r="L281" s="36"/>
      <c r="M281" s="14"/>
      <c r="N281" s="14"/>
      <c r="O281" s="14"/>
      <c r="P281" s="36"/>
      <c r="Q281" s="14"/>
      <c r="R281" s="14"/>
      <c r="S281" s="14"/>
      <c r="U281" s="36"/>
      <c r="V281" s="14"/>
      <c r="W281" s="14"/>
      <c r="X281" s="14"/>
    </row>
    <row r="282">
      <c r="A282" s="21">
        <f>Scores!A283</f>
        <v>272</v>
      </c>
      <c r="B282" s="14"/>
      <c r="C282" s="14">
        <v>71.0</v>
      </c>
      <c r="D282" s="14" t="str">
        <f t="shared" si="1"/>
        <v/>
      </c>
      <c r="F282" s="36"/>
      <c r="G282" s="14"/>
      <c r="H282" s="36"/>
      <c r="I282" s="14"/>
      <c r="J282" s="14"/>
      <c r="K282" s="14"/>
      <c r="L282" s="36"/>
      <c r="M282" s="14"/>
      <c r="N282" s="14"/>
      <c r="O282" s="14"/>
      <c r="P282" s="36"/>
      <c r="Q282" s="14"/>
      <c r="R282" s="14"/>
      <c r="S282" s="14"/>
      <c r="U282" s="36"/>
      <c r="V282" s="14"/>
      <c r="W282" s="14"/>
      <c r="X282" s="14"/>
    </row>
    <row r="283">
      <c r="A283" s="21">
        <f>Scores!A284</f>
        <v>273</v>
      </c>
      <c r="B283" s="14"/>
      <c r="C283" s="14">
        <v>75.0</v>
      </c>
      <c r="D283" s="14" t="str">
        <f t="shared" si="1"/>
        <v/>
      </c>
      <c r="F283" s="36"/>
      <c r="G283" s="14"/>
      <c r="H283" s="36"/>
      <c r="I283" s="14"/>
      <c r="J283" s="14"/>
      <c r="K283" s="14"/>
      <c r="L283" s="36"/>
      <c r="M283" s="14"/>
      <c r="N283" s="14"/>
      <c r="O283" s="14"/>
      <c r="P283" s="36"/>
      <c r="Q283" s="14"/>
      <c r="R283" s="14"/>
      <c r="S283" s="14"/>
      <c r="U283" s="36"/>
      <c r="V283" s="14"/>
      <c r="W283" s="14"/>
      <c r="X283" s="14"/>
    </row>
    <row r="284">
      <c r="A284" s="21">
        <f>Scores!A285</f>
        <v>274</v>
      </c>
      <c r="B284" s="14"/>
      <c r="C284" s="14">
        <v>65.0</v>
      </c>
      <c r="D284" s="14" t="str">
        <f t="shared" si="1"/>
        <v/>
      </c>
      <c r="F284" s="36"/>
      <c r="G284" s="14"/>
      <c r="H284" s="36"/>
      <c r="I284" s="14"/>
      <c r="J284" s="14"/>
      <c r="K284" s="14"/>
      <c r="L284" s="36"/>
      <c r="M284" s="14"/>
      <c r="N284" s="14"/>
      <c r="O284" s="14"/>
      <c r="P284" s="36"/>
      <c r="Q284" s="14"/>
      <c r="R284" s="14"/>
      <c r="S284" s="14"/>
      <c r="U284" s="36"/>
      <c r="V284" s="14"/>
      <c r="W284" s="14"/>
      <c r="X284" s="14"/>
    </row>
    <row r="285">
      <c r="A285" s="21">
        <f>Scores!A286</f>
        <v>275</v>
      </c>
      <c r="B285" s="14"/>
      <c r="C285" s="14">
        <v>126.0</v>
      </c>
      <c r="D285" s="14" t="str">
        <f t="shared" si="1"/>
        <v/>
      </c>
      <c r="F285" s="36"/>
      <c r="G285" s="14"/>
      <c r="H285" s="36"/>
      <c r="I285" s="14"/>
      <c r="J285" s="14"/>
      <c r="K285" s="14"/>
      <c r="L285" s="36"/>
      <c r="M285" s="14"/>
      <c r="N285" s="14"/>
      <c r="O285" s="14"/>
      <c r="P285" s="36"/>
      <c r="Q285" s="14"/>
      <c r="R285" s="14"/>
      <c r="S285" s="14"/>
      <c r="U285" s="36"/>
      <c r="V285" s="14"/>
      <c r="W285" s="14"/>
      <c r="X285" s="14"/>
    </row>
    <row r="286">
      <c r="A286" s="21">
        <f>Scores!A287</f>
        <v>276</v>
      </c>
      <c r="B286" s="14">
        <v>38.0</v>
      </c>
      <c r="C286" s="14">
        <v>37.0</v>
      </c>
      <c r="D286" s="14">
        <f t="shared" si="1"/>
        <v>1</v>
      </c>
      <c r="F286" s="36"/>
      <c r="G286" s="14"/>
      <c r="H286" s="36"/>
      <c r="I286" s="14"/>
      <c r="J286" s="14"/>
      <c r="K286" s="14"/>
      <c r="L286" s="36"/>
      <c r="M286" s="14"/>
      <c r="N286" s="14"/>
      <c r="O286" s="14"/>
      <c r="P286" s="36"/>
      <c r="Q286" s="14"/>
      <c r="R286" s="14"/>
      <c r="S286" s="14"/>
      <c r="U286" s="36"/>
      <c r="V286" s="14"/>
      <c r="W286" s="14"/>
      <c r="X286" s="14"/>
    </row>
    <row r="287">
      <c r="A287" s="21">
        <f>Scores!A288</f>
        <v>277</v>
      </c>
      <c r="B287" s="14"/>
      <c r="C287" s="14">
        <v>155.0</v>
      </c>
      <c r="D287" s="14" t="str">
        <f t="shared" si="1"/>
        <v/>
      </c>
      <c r="F287" s="36"/>
      <c r="G287" s="14"/>
      <c r="H287" s="36"/>
      <c r="I287" s="14"/>
      <c r="J287" s="14"/>
      <c r="K287" s="14"/>
      <c r="L287" s="36"/>
      <c r="M287" s="14"/>
      <c r="N287" s="14"/>
      <c r="O287" s="14"/>
      <c r="P287" s="36"/>
      <c r="Q287" s="14"/>
      <c r="R287" s="14"/>
      <c r="S287" s="14"/>
      <c r="U287" s="36"/>
      <c r="V287" s="14"/>
      <c r="W287" s="14"/>
      <c r="X287" s="14"/>
    </row>
    <row r="288">
      <c r="A288" s="21">
        <f>Scores!A289</f>
        <v>278</v>
      </c>
      <c r="B288" s="14"/>
      <c r="C288" s="14">
        <v>104.0</v>
      </c>
      <c r="D288" s="14" t="str">
        <f t="shared" si="1"/>
        <v/>
      </c>
      <c r="F288" s="36"/>
      <c r="G288" s="14"/>
      <c r="H288" s="36"/>
      <c r="I288" s="14"/>
      <c r="J288" s="14"/>
      <c r="K288" s="14"/>
      <c r="L288" s="36"/>
      <c r="M288" s="14"/>
      <c r="N288" s="14"/>
      <c r="O288" s="14"/>
      <c r="P288" s="36"/>
      <c r="Q288" s="14"/>
      <c r="R288" s="14"/>
      <c r="S288" s="14"/>
      <c r="U288" s="36"/>
      <c r="V288" s="14"/>
      <c r="W288" s="14"/>
      <c r="X288" s="14"/>
    </row>
    <row r="289">
      <c r="A289" s="21">
        <f>Scores!A290</f>
        <v>279</v>
      </c>
      <c r="B289" s="14"/>
      <c r="C289" s="14">
        <v>106.0</v>
      </c>
      <c r="D289" s="14" t="str">
        <f t="shared" si="1"/>
        <v/>
      </c>
      <c r="F289" s="36"/>
      <c r="G289" s="14"/>
      <c r="H289" s="36"/>
      <c r="I289" s="14"/>
      <c r="J289" s="14"/>
      <c r="K289" s="14"/>
      <c r="L289" s="36"/>
      <c r="M289" s="14"/>
      <c r="N289" s="14"/>
      <c r="O289" s="14"/>
      <c r="P289" s="36"/>
      <c r="Q289" s="14"/>
      <c r="R289" s="14"/>
      <c r="S289" s="14"/>
      <c r="U289" s="36"/>
      <c r="V289" s="14"/>
      <c r="W289" s="14"/>
      <c r="X289" s="14"/>
    </row>
    <row r="290">
      <c r="A290" s="21">
        <f>Scores!A291</f>
        <v>280</v>
      </c>
      <c r="B290" s="14"/>
      <c r="C290" s="14">
        <v>145.0</v>
      </c>
      <c r="D290" s="14" t="str">
        <f t="shared" si="1"/>
        <v/>
      </c>
      <c r="F290" s="36"/>
      <c r="G290" s="14"/>
      <c r="H290" s="36"/>
      <c r="I290" s="14"/>
      <c r="J290" s="14"/>
      <c r="K290" s="14"/>
      <c r="L290" s="36"/>
      <c r="M290" s="14"/>
      <c r="N290" s="14"/>
      <c r="O290" s="14"/>
      <c r="P290" s="36"/>
      <c r="Q290" s="14"/>
      <c r="R290" s="14"/>
      <c r="S290" s="14"/>
      <c r="U290" s="36"/>
      <c r="V290" s="14"/>
      <c r="W290" s="14"/>
      <c r="X290" s="14"/>
    </row>
    <row r="291">
      <c r="A291" s="21">
        <f>Scores!A292</f>
        <v>281</v>
      </c>
      <c r="B291" s="14"/>
      <c r="C291" s="14">
        <v>103.0</v>
      </c>
      <c r="D291" s="14" t="str">
        <f t="shared" si="1"/>
        <v/>
      </c>
      <c r="F291" s="36"/>
      <c r="G291" s="14"/>
      <c r="H291" s="36"/>
      <c r="I291" s="14"/>
      <c r="J291" s="14"/>
      <c r="K291" s="14"/>
      <c r="L291" s="36"/>
      <c r="M291" s="14"/>
      <c r="N291" s="14"/>
      <c r="O291" s="14"/>
      <c r="P291" s="36"/>
      <c r="Q291" s="14"/>
      <c r="R291" s="14"/>
      <c r="S291" s="14"/>
      <c r="U291" s="36"/>
      <c r="V291" s="14"/>
      <c r="W291" s="14"/>
      <c r="X291" s="14"/>
    </row>
    <row r="292">
      <c r="A292" s="21">
        <f>Scores!A293</f>
        <v>282</v>
      </c>
      <c r="B292" s="14"/>
      <c r="C292" s="14">
        <v>74.0</v>
      </c>
      <c r="D292" s="14" t="str">
        <f t="shared" si="1"/>
        <v/>
      </c>
      <c r="F292" s="36"/>
      <c r="G292" s="14"/>
      <c r="H292" s="36"/>
      <c r="I292" s="14"/>
      <c r="J292" s="14"/>
      <c r="K292" s="14"/>
      <c r="L292" s="36"/>
      <c r="M292" s="14"/>
      <c r="N292" s="14"/>
      <c r="O292" s="14"/>
      <c r="P292" s="36"/>
      <c r="Q292" s="14"/>
      <c r="R292" s="14"/>
      <c r="S292" s="14"/>
      <c r="U292" s="36"/>
      <c r="V292" s="14"/>
      <c r="W292" s="14"/>
      <c r="X292" s="14"/>
    </row>
    <row r="293">
      <c r="A293" s="21">
        <f>Scores!A294</f>
        <v>283</v>
      </c>
      <c r="B293" s="14"/>
      <c r="C293" s="14">
        <v>72.0</v>
      </c>
      <c r="D293" s="14" t="str">
        <f t="shared" si="1"/>
        <v/>
      </c>
      <c r="F293" s="36"/>
      <c r="G293" s="14"/>
      <c r="H293" s="36"/>
      <c r="I293" s="14"/>
      <c r="J293" s="14"/>
      <c r="K293" s="14"/>
      <c r="L293" s="36"/>
      <c r="M293" s="14"/>
      <c r="N293" s="14"/>
      <c r="O293" s="14"/>
      <c r="P293" s="36"/>
      <c r="Q293" s="14"/>
      <c r="R293" s="14"/>
      <c r="S293" s="14"/>
      <c r="U293" s="36"/>
      <c r="V293" s="14"/>
      <c r="W293" s="14"/>
      <c r="X293" s="14"/>
    </row>
    <row r="294">
      <c r="A294" s="21">
        <f>Scores!A295</f>
        <v>284</v>
      </c>
      <c r="B294" s="14"/>
      <c r="C294" s="14">
        <v>195.0</v>
      </c>
      <c r="D294" s="14" t="str">
        <f t="shared" si="1"/>
        <v/>
      </c>
      <c r="F294" s="36"/>
      <c r="G294" s="14"/>
      <c r="H294" s="36"/>
      <c r="I294" s="14"/>
      <c r="J294" s="14"/>
      <c r="K294" s="14"/>
      <c r="L294" s="36"/>
      <c r="M294" s="14"/>
      <c r="N294" s="14"/>
      <c r="O294" s="14"/>
      <c r="P294" s="36"/>
      <c r="Q294" s="14"/>
      <c r="R294" s="14"/>
      <c r="S294" s="14"/>
      <c r="U294" s="36"/>
      <c r="V294" s="14"/>
      <c r="W294" s="14"/>
      <c r="X294" s="14"/>
    </row>
    <row r="295">
      <c r="A295" s="21">
        <f>Scores!A296</f>
        <v>285</v>
      </c>
      <c r="B295" s="14"/>
      <c r="C295" s="14">
        <v>226.0</v>
      </c>
      <c r="D295" s="14" t="str">
        <f t="shared" si="1"/>
        <v/>
      </c>
      <c r="F295" s="36"/>
      <c r="G295" s="14"/>
      <c r="H295" s="36"/>
      <c r="I295" s="14"/>
      <c r="J295" s="14"/>
      <c r="K295" s="14"/>
      <c r="L295" s="36"/>
      <c r="M295" s="14"/>
      <c r="N295" s="14"/>
      <c r="O295" s="14"/>
      <c r="P295" s="36"/>
      <c r="Q295" s="14"/>
      <c r="R295" s="14"/>
      <c r="S295" s="14"/>
      <c r="U295" s="36"/>
      <c r="V295" s="14"/>
      <c r="W295" s="14"/>
      <c r="X295" s="14"/>
    </row>
    <row r="296">
      <c r="A296" s="21">
        <f>Scores!A297</f>
        <v>286</v>
      </c>
      <c r="B296" s="14"/>
      <c r="C296" s="14">
        <v>104.0</v>
      </c>
      <c r="D296" s="14" t="str">
        <f t="shared" si="1"/>
        <v/>
      </c>
      <c r="F296" s="36"/>
      <c r="G296" s="14"/>
      <c r="H296" s="36"/>
      <c r="I296" s="14"/>
      <c r="J296" s="14"/>
      <c r="K296" s="14"/>
      <c r="L296" s="36"/>
      <c r="M296" s="14"/>
      <c r="N296" s="14"/>
      <c r="O296" s="14"/>
      <c r="P296" s="36"/>
      <c r="Q296" s="14"/>
      <c r="R296" s="14"/>
      <c r="S296" s="14"/>
      <c r="U296" s="36"/>
      <c r="V296" s="14"/>
      <c r="W296" s="14"/>
      <c r="X296" s="14"/>
    </row>
    <row r="297">
      <c r="A297" s="21">
        <f>Scores!A298</f>
        <v>287</v>
      </c>
      <c r="B297" s="14"/>
      <c r="C297" s="14">
        <v>53.0</v>
      </c>
      <c r="D297" s="14" t="str">
        <f t="shared" si="1"/>
        <v/>
      </c>
      <c r="F297" s="36"/>
      <c r="G297" s="14"/>
      <c r="H297" s="36"/>
      <c r="I297" s="14"/>
      <c r="J297" s="14"/>
      <c r="K297" s="14"/>
      <c r="L297" s="36"/>
      <c r="M297" s="14"/>
      <c r="N297" s="14"/>
      <c r="O297" s="14"/>
      <c r="P297" s="36"/>
      <c r="Q297" s="14"/>
      <c r="R297" s="14"/>
      <c r="S297" s="14"/>
      <c r="U297" s="36"/>
      <c r="V297" s="14"/>
      <c r="W297" s="14"/>
      <c r="X297" s="14"/>
    </row>
    <row r="298">
      <c r="A298" s="21">
        <f>Scores!A299</f>
        <v>288</v>
      </c>
      <c r="B298" s="14"/>
      <c r="C298" s="14">
        <v>86.0</v>
      </c>
      <c r="D298" s="14" t="str">
        <f t="shared" si="1"/>
        <v/>
      </c>
      <c r="F298" s="36"/>
      <c r="G298" s="14"/>
      <c r="H298" s="36"/>
      <c r="I298" s="14"/>
      <c r="J298" s="14"/>
      <c r="K298" s="14"/>
      <c r="L298" s="36"/>
      <c r="M298" s="14"/>
      <c r="N298" s="14"/>
      <c r="O298" s="14"/>
      <c r="P298" s="36"/>
      <c r="Q298" s="14"/>
      <c r="R298" s="14"/>
      <c r="S298" s="14"/>
      <c r="U298" s="36"/>
      <c r="V298" s="14"/>
      <c r="W298" s="14"/>
      <c r="X298" s="14"/>
    </row>
    <row r="299">
      <c r="A299" s="21">
        <f>Scores!A300</f>
        <v>289</v>
      </c>
      <c r="B299" s="14"/>
      <c r="C299" s="14">
        <v>63.0</v>
      </c>
      <c r="D299" s="14" t="str">
        <f t="shared" si="1"/>
        <v/>
      </c>
      <c r="F299" s="36"/>
      <c r="G299" s="14"/>
      <c r="H299" s="36"/>
      <c r="I299" s="14"/>
      <c r="J299" s="14"/>
      <c r="K299" s="14"/>
      <c r="L299" s="36"/>
      <c r="M299" s="14"/>
      <c r="N299" s="14"/>
      <c r="O299" s="14"/>
      <c r="P299" s="36"/>
      <c r="Q299" s="14"/>
      <c r="R299" s="14"/>
      <c r="S299" s="14"/>
      <c r="U299" s="36"/>
      <c r="V299" s="14"/>
      <c r="W299" s="14"/>
      <c r="X299" s="14"/>
    </row>
    <row r="300">
      <c r="A300" s="21">
        <f>Scores!A301</f>
        <v>290</v>
      </c>
      <c r="B300" s="14"/>
      <c r="C300" s="14">
        <v>65.0</v>
      </c>
      <c r="D300" s="14" t="str">
        <f t="shared" si="1"/>
        <v/>
      </c>
      <c r="F300" s="36"/>
      <c r="G300" s="14"/>
      <c r="H300" s="36"/>
      <c r="I300" s="14"/>
      <c r="J300" s="14"/>
      <c r="K300" s="14"/>
      <c r="L300" s="36"/>
      <c r="M300" s="14"/>
      <c r="N300" s="14"/>
      <c r="O300" s="14"/>
      <c r="P300" s="36"/>
      <c r="Q300" s="14"/>
      <c r="R300" s="14"/>
      <c r="S300" s="14"/>
      <c r="U300" s="36"/>
      <c r="V300" s="14"/>
      <c r="W300" s="14"/>
      <c r="X300" s="14"/>
    </row>
    <row r="301">
      <c r="A301" s="21">
        <f>Scores!A302</f>
        <v>291</v>
      </c>
      <c r="B301" s="14">
        <v>62.0</v>
      </c>
      <c r="C301" s="14">
        <v>59.0</v>
      </c>
      <c r="D301" s="14">
        <f t="shared" si="1"/>
        <v>3</v>
      </c>
      <c r="F301" s="36"/>
      <c r="G301" s="14"/>
      <c r="H301" s="36"/>
      <c r="I301" s="14"/>
      <c r="J301" s="14"/>
      <c r="K301" s="14"/>
      <c r="L301" s="36"/>
      <c r="M301" s="14"/>
      <c r="N301" s="14"/>
      <c r="O301" s="14"/>
      <c r="P301" s="36"/>
      <c r="Q301" s="14"/>
      <c r="R301" s="14"/>
      <c r="S301" s="14"/>
      <c r="U301" s="36"/>
      <c r="V301" s="14"/>
      <c r="W301" s="14"/>
      <c r="X301" s="14"/>
    </row>
    <row r="302">
      <c r="A302" s="21">
        <f>Scores!A303</f>
        <v>292</v>
      </c>
      <c r="B302" s="14">
        <v>61.0</v>
      </c>
      <c r="C302" s="14">
        <v>51.0</v>
      </c>
      <c r="D302" s="14">
        <f t="shared" si="1"/>
        <v>10</v>
      </c>
      <c r="F302" s="36"/>
      <c r="G302" s="14"/>
      <c r="H302" s="36"/>
      <c r="I302" s="14"/>
      <c r="J302" s="14"/>
      <c r="K302" s="14"/>
      <c r="L302" s="36"/>
      <c r="M302" s="14"/>
      <c r="N302" s="14"/>
      <c r="O302" s="14"/>
      <c r="P302" s="36"/>
      <c r="Q302" s="14"/>
      <c r="R302" s="14"/>
      <c r="S302" s="14"/>
      <c r="U302" s="36"/>
      <c r="V302" s="14"/>
      <c r="W302" s="14"/>
      <c r="X302" s="14"/>
    </row>
    <row r="303">
      <c r="A303" s="21">
        <f>Scores!A304</f>
        <v>293</v>
      </c>
      <c r="B303" s="14">
        <v>87.0</v>
      </c>
      <c r="C303" s="14">
        <v>59.0</v>
      </c>
      <c r="D303" s="14">
        <f t="shared" si="1"/>
        <v>28</v>
      </c>
      <c r="F303" s="36"/>
      <c r="G303" s="14"/>
      <c r="H303" s="36"/>
      <c r="I303" s="14"/>
      <c r="J303" s="14"/>
      <c r="K303" s="14"/>
      <c r="L303" s="36"/>
      <c r="M303" s="14"/>
      <c r="N303" s="14"/>
      <c r="O303" s="14"/>
      <c r="P303" s="36"/>
      <c r="Q303" s="14"/>
      <c r="R303" s="14"/>
      <c r="S303" s="14"/>
      <c r="U303" s="36"/>
      <c r="V303" s="14"/>
      <c r="W303" s="14"/>
      <c r="X303" s="14"/>
    </row>
    <row r="304">
      <c r="A304" s="21">
        <f>Scores!A305</f>
        <v>294</v>
      </c>
      <c r="B304" s="14"/>
      <c r="C304" s="14">
        <v>70.0</v>
      </c>
      <c r="D304" s="14" t="str">
        <f t="shared" si="1"/>
        <v/>
      </c>
      <c r="F304" s="36"/>
      <c r="G304" s="14"/>
      <c r="H304" s="36"/>
      <c r="I304" s="14"/>
      <c r="J304" s="14"/>
      <c r="K304" s="14"/>
      <c r="L304" s="36"/>
      <c r="M304" s="14"/>
      <c r="N304" s="14"/>
      <c r="O304" s="14"/>
      <c r="P304" s="36"/>
      <c r="Q304" s="14"/>
      <c r="R304" s="14"/>
      <c r="S304" s="14"/>
      <c r="U304" s="36"/>
      <c r="V304" s="14"/>
      <c r="W304" s="14"/>
      <c r="X304" s="14"/>
    </row>
    <row r="305">
      <c r="A305" s="21">
        <f>Scores!A306</f>
        <v>295</v>
      </c>
      <c r="B305" s="14">
        <v>63.0</v>
      </c>
      <c r="C305" s="14">
        <v>54.0</v>
      </c>
      <c r="D305" s="14">
        <f t="shared" si="1"/>
        <v>9</v>
      </c>
      <c r="F305" s="36"/>
      <c r="G305" s="14"/>
      <c r="H305" s="36"/>
      <c r="I305" s="14"/>
      <c r="J305" s="14"/>
      <c r="K305" s="14"/>
      <c r="L305" s="36"/>
      <c r="M305" s="14"/>
      <c r="N305" s="14"/>
      <c r="O305" s="14"/>
      <c r="P305" s="36"/>
      <c r="Q305" s="14"/>
      <c r="R305" s="14"/>
      <c r="S305" s="14"/>
      <c r="U305" s="36"/>
      <c r="V305" s="14"/>
      <c r="W305" s="14"/>
      <c r="X305" s="14"/>
    </row>
    <row r="306">
      <c r="A306" s="21">
        <f>Scores!A307</f>
        <v>296</v>
      </c>
      <c r="B306" s="14"/>
      <c r="C306" s="14">
        <v>55.0</v>
      </c>
      <c r="D306" s="14" t="str">
        <f t="shared" si="1"/>
        <v/>
      </c>
      <c r="F306" s="36"/>
      <c r="G306" s="14"/>
      <c r="H306" s="36"/>
      <c r="I306" s="14"/>
      <c r="J306" s="14"/>
      <c r="K306" s="14"/>
      <c r="L306" s="36"/>
      <c r="M306" s="14"/>
      <c r="N306" s="14"/>
      <c r="O306" s="14"/>
      <c r="P306" s="36"/>
      <c r="Q306" s="14"/>
      <c r="R306" s="14"/>
      <c r="S306" s="14"/>
      <c r="U306" s="36"/>
      <c r="V306" s="14"/>
      <c r="W306" s="14"/>
      <c r="X306" s="14"/>
    </row>
    <row r="307">
      <c r="A307" s="21">
        <f>Scores!A308</f>
        <v>297</v>
      </c>
      <c r="B307" s="14">
        <v>47.0</v>
      </c>
      <c r="C307" s="14">
        <v>43.0</v>
      </c>
      <c r="D307" s="14">
        <f t="shared" si="1"/>
        <v>4</v>
      </c>
      <c r="F307" s="36"/>
      <c r="G307" s="14"/>
      <c r="H307" s="36"/>
      <c r="I307" s="14"/>
      <c r="J307" s="14"/>
      <c r="K307" s="14"/>
      <c r="L307" s="36"/>
      <c r="M307" s="14"/>
      <c r="N307" s="14"/>
      <c r="O307" s="14"/>
      <c r="P307" s="36"/>
      <c r="Q307" s="14"/>
      <c r="R307" s="14"/>
      <c r="S307" s="14"/>
      <c r="U307" s="36"/>
      <c r="V307" s="14"/>
      <c r="W307" s="14"/>
      <c r="X307" s="14"/>
    </row>
    <row r="308">
      <c r="A308" s="21">
        <f>Scores!A309</f>
        <v>298</v>
      </c>
      <c r="B308" s="14">
        <v>60.0</v>
      </c>
      <c r="C308" s="14">
        <v>54.0</v>
      </c>
      <c r="D308" s="14">
        <f t="shared" si="1"/>
        <v>6</v>
      </c>
      <c r="F308" s="36"/>
      <c r="G308" s="14"/>
      <c r="H308" s="36"/>
      <c r="I308" s="14"/>
      <c r="J308" s="14"/>
      <c r="K308" s="14"/>
      <c r="L308" s="36"/>
      <c r="M308" s="14"/>
      <c r="N308" s="14"/>
      <c r="O308" s="14"/>
      <c r="P308" s="36"/>
      <c r="Q308" s="14"/>
      <c r="R308" s="14"/>
      <c r="S308" s="14"/>
      <c r="U308" s="36"/>
      <c r="V308" s="14"/>
      <c r="W308" s="14"/>
      <c r="X308" s="14"/>
    </row>
    <row r="309">
      <c r="A309" s="21">
        <f>Scores!A310</f>
        <v>299</v>
      </c>
      <c r="B309" s="14"/>
      <c r="C309" s="14">
        <v>54.0</v>
      </c>
      <c r="D309" s="14" t="str">
        <f t="shared" si="1"/>
        <v/>
      </c>
      <c r="F309" s="36"/>
      <c r="G309" s="14"/>
      <c r="H309" s="36"/>
      <c r="I309" s="14"/>
      <c r="J309" s="14"/>
      <c r="K309" s="14"/>
      <c r="L309" s="36"/>
      <c r="M309" s="14"/>
      <c r="N309" s="14"/>
      <c r="O309" s="14"/>
      <c r="P309" s="36"/>
      <c r="Q309" s="14"/>
      <c r="R309" s="14"/>
      <c r="S309" s="14"/>
      <c r="U309" s="36"/>
      <c r="V309" s="14"/>
      <c r="W309" s="14"/>
      <c r="X309" s="14"/>
    </row>
    <row r="310">
      <c r="A310" s="21">
        <f>Scores!A311</f>
        <v>300</v>
      </c>
      <c r="B310" s="14">
        <v>91.0</v>
      </c>
      <c r="C310" s="14">
        <v>87.0</v>
      </c>
      <c r="D310" s="14">
        <f t="shared" si="1"/>
        <v>4</v>
      </c>
      <c r="F310" s="36"/>
      <c r="G310" s="14"/>
      <c r="H310" s="36"/>
      <c r="I310" s="14"/>
      <c r="J310" s="14"/>
      <c r="K310" s="14"/>
      <c r="L310" s="36"/>
      <c r="M310" s="14"/>
      <c r="N310" s="14"/>
      <c r="O310" s="14"/>
      <c r="P310" s="36"/>
      <c r="Q310" s="14"/>
      <c r="R310" s="14"/>
      <c r="S310" s="14"/>
      <c r="U310" s="36"/>
      <c r="V310" s="14"/>
      <c r="W310" s="14"/>
      <c r="X310" s="14"/>
    </row>
    <row r="311">
      <c r="A311" s="21">
        <f>Scores!A312</f>
        <v>301</v>
      </c>
      <c r="B311" s="14">
        <v>31.0</v>
      </c>
      <c r="C311" s="14">
        <v>31.0</v>
      </c>
      <c r="D311" s="14">
        <f t="shared" si="1"/>
        <v>0</v>
      </c>
      <c r="F311" s="36"/>
      <c r="G311" s="14"/>
      <c r="H311" s="36"/>
      <c r="I311" s="14"/>
      <c r="J311" s="14"/>
      <c r="K311" s="14"/>
      <c r="L311" s="36"/>
      <c r="M311" s="14"/>
      <c r="N311" s="14"/>
      <c r="O311" s="14"/>
      <c r="P311" s="36"/>
      <c r="Q311" s="14"/>
      <c r="R311" s="14"/>
      <c r="S311" s="14"/>
      <c r="U311" s="36"/>
      <c r="V311" s="14"/>
      <c r="W311" s="14"/>
      <c r="X311" s="14"/>
    </row>
    <row r="312">
      <c r="A312" s="21">
        <f>Scores!A313</f>
        <v>302</v>
      </c>
      <c r="B312" s="14"/>
      <c r="C312" s="14">
        <v>89.0</v>
      </c>
      <c r="D312" s="14" t="str">
        <f t="shared" si="1"/>
        <v/>
      </c>
      <c r="F312" s="36"/>
      <c r="G312" s="14"/>
      <c r="H312" s="36"/>
      <c r="I312" s="14"/>
      <c r="J312" s="14"/>
      <c r="K312" s="14"/>
      <c r="L312" s="36"/>
      <c r="M312" s="14"/>
      <c r="N312" s="14"/>
      <c r="O312" s="14"/>
      <c r="P312" s="36"/>
      <c r="Q312" s="14"/>
      <c r="R312" s="14"/>
      <c r="S312" s="14"/>
      <c r="U312" s="36"/>
      <c r="V312" s="14"/>
      <c r="W312" s="14"/>
      <c r="X312" s="14"/>
    </row>
    <row r="313">
      <c r="A313" s="21">
        <f>Scores!A314</f>
        <v>303</v>
      </c>
      <c r="B313" s="14">
        <v>75.0</v>
      </c>
      <c r="C313" s="14">
        <v>62.0</v>
      </c>
      <c r="D313" s="14">
        <f t="shared" si="1"/>
        <v>13</v>
      </c>
      <c r="F313" s="36"/>
      <c r="G313" s="14"/>
      <c r="H313" s="36"/>
      <c r="I313" s="14"/>
      <c r="J313" s="14"/>
      <c r="K313" s="14"/>
      <c r="L313" s="36"/>
      <c r="M313" s="14"/>
      <c r="N313" s="14"/>
      <c r="O313" s="14"/>
      <c r="P313" s="36"/>
      <c r="Q313" s="14"/>
      <c r="R313" s="14"/>
      <c r="S313" s="14"/>
      <c r="U313" s="36"/>
      <c r="V313" s="14"/>
      <c r="W313" s="14"/>
      <c r="X313" s="14"/>
    </row>
    <row r="314">
      <c r="A314" s="21">
        <f>Scores!A315</f>
        <v>304</v>
      </c>
      <c r="B314" s="14">
        <v>101.0</v>
      </c>
      <c r="C314" s="14">
        <v>92.0</v>
      </c>
      <c r="D314" s="14">
        <f t="shared" si="1"/>
        <v>9</v>
      </c>
      <c r="F314" s="36"/>
      <c r="G314" s="14"/>
      <c r="H314" s="36"/>
      <c r="I314" s="14"/>
      <c r="J314" s="14"/>
      <c r="K314" s="14"/>
      <c r="L314" s="36"/>
      <c r="M314" s="14"/>
      <c r="N314" s="14"/>
      <c r="O314" s="14"/>
      <c r="P314" s="36"/>
      <c r="Q314" s="14"/>
      <c r="R314" s="14"/>
      <c r="S314" s="14"/>
      <c r="U314" s="36"/>
      <c r="V314" s="14"/>
      <c r="W314" s="14"/>
      <c r="X314" s="14"/>
    </row>
    <row r="315">
      <c r="A315" s="21">
        <f>Scores!A316</f>
        <v>305</v>
      </c>
      <c r="B315" s="14">
        <v>77.0</v>
      </c>
      <c r="C315" s="14">
        <v>56.0</v>
      </c>
      <c r="D315" s="14">
        <f t="shared" si="1"/>
        <v>21</v>
      </c>
      <c r="F315" s="36"/>
      <c r="G315" s="14"/>
      <c r="H315" s="36"/>
      <c r="I315" s="14"/>
      <c r="J315" s="14"/>
      <c r="K315" s="14"/>
      <c r="L315" s="36"/>
      <c r="M315" s="14"/>
      <c r="N315" s="14"/>
      <c r="O315" s="14"/>
      <c r="P315" s="36"/>
      <c r="Q315" s="14"/>
      <c r="R315" s="14"/>
      <c r="S315" s="14"/>
      <c r="U315" s="36"/>
      <c r="V315" s="14"/>
      <c r="W315" s="14"/>
      <c r="X315" s="14"/>
    </row>
    <row r="316">
      <c r="A316" s="21">
        <f>Scores!A317</f>
        <v>306</v>
      </c>
      <c r="B316" s="14">
        <v>99.0</v>
      </c>
      <c r="C316" s="14">
        <v>63.0</v>
      </c>
      <c r="D316" s="14">
        <f t="shared" si="1"/>
        <v>36</v>
      </c>
      <c r="F316" s="36"/>
      <c r="G316" s="14"/>
      <c r="H316" s="36"/>
      <c r="I316" s="14"/>
      <c r="J316" s="14"/>
      <c r="K316" s="14"/>
      <c r="L316" s="36"/>
      <c r="M316" s="14"/>
      <c r="N316" s="14"/>
      <c r="O316" s="14"/>
      <c r="P316" s="36"/>
      <c r="Q316" s="14"/>
      <c r="R316" s="14"/>
      <c r="S316" s="14"/>
      <c r="U316" s="36"/>
      <c r="V316" s="14"/>
      <c r="W316" s="14"/>
      <c r="X316" s="14"/>
    </row>
    <row r="317">
      <c r="A317" s="21">
        <f>Scores!A318</f>
        <v>307</v>
      </c>
      <c r="B317" s="14">
        <v>63.0</v>
      </c>
      <c r="C317" s="14">
        <v>46.0</v>
      </c>
      <c r="D317" s="14">
        <f t="shared" si="1"/>
        <v>17</v>
      </c>
      <c r="F317" s="36"/>
      <c r="G317" s="14"/>
      <c r="H317" s="36"/>
      <c r="I317" s="14"/>
      <c r="J317" s="14"/>
      <c r="K317" s="14"/>
      <c r="L317" s="36"/>
      <c r="M317" s="14"/>
      <c r="N317" s="14"/>
      <c r="O317" s="14"/>
      <c r="P317" s="36"/>
      <c r="Q317" s="14"/>
      <c r="R317" s="14"/>
      <c r="S317" s="14"/>
      <c r="U317" s="36"/>
      <c r="V317" s="14"/>
      <c r="W317" s="14"/>
      <c r="X317" s="14"/>
    </row>
    <row r="318">
      <c r="A318" s="21">
        <f>Scores!A319</f>
        <v>308</v>
      </c>
      <c r="B318" s="14">
        <v>357.0</v>
      </c>
      <c r="C318" s="14">
        <v>192.0</v>
      </c>
      <c r="D318" s="14">
        <f t="shared" si="1"/>
        <v>165</v>
      </c>
      <c r="F318" s="36"/>
      <c r="G318" s="14"/>
      <c r="H318" s="36"/>
      <c r="I318" s="14"/>
      <c r="J318" s="14"/>
      <c r="K318" s="14"/>
      <c r="L318" s="36"/>
      <c r="M318" s="14"/>
      <c r="N318" s="14"/>
      <c r="O318" s="14"/>
      <c r="P318" s="36"/>
      <c r="Q318" s="14"/>
      <c r="R318" s="14"/>
      <c r="S318" s="14"/>
      <c r="U318" s="36"/>
      <c r="V318" s="14"/>
      <c r="W318" s="14"/>
      <c r="X318" s="14"/>
    </row>
    <row r="319">
      <c r="A319" s="21">
        <f>Scores!A320</f>
        <v>309</v>
      </c>
      <c r="B319" s="14">
        <v>38.0</v>
      </c>
      <c r="C319" s="14">
        <v>36.0</v>
      </c>
      <c r="D319" s="14">
        <f t="shared" si="1"/>
        <v>2</v>
      </c>
      <c r="F319" s="36"/>
      <c r="G319" s="14"/>
      <c r="H319" s="36"/>
      <c r="I319" s="14"/>
      <c r="J319" s="14"/>
      <c r="K319" s="14"/>
      <c r="L319" s="36"/>
      <c r="M319" s="14"/>
      <c r="N319" s="14"/>
      <c r="O319" s="14"/>
      <c r="P319" s="36"/>
      <c r="Q319" s="14"/>
      <c r="R319" s="14"/>
      <c r="S319" s="14"/>
      <c r="U319" s="36"/>
      <c r="V319" s="14"/>
      <c r="W319" s="14"/>
      <c r="X319" s="14"/>
    </row>
    <row r="320">
      <c r="A320" s="21">
        <f>Scores!A321</f>
        <v>310</v>
      </c>
      <c r="B320" s="14"/>
      <c r="C320" s="14">
        <v>70.0</v>
      </c>
      <c r="D320" s="14" t="str">
        <f t="shared" si="1"/>
        <v/>
      </c>
      <c r="F320" s="36"/>
      <c r="G320" s="14"/>
      <c r="H320" s="36"/>
      <c r="I320" s="14"/>
      <c r="J320" s="14"/>
      <c r="K320" s="14"/>
      <c r="L320" s="36"/>
      <c r="M320" s="14"/>
      <c r="N320" s="14"/>
      <c r="O320" s="14"/>
      <c r="P320" s="36"/>
      <c r="Q320" s="14"/>
      <c r="R320" s="14"/>
      <c r="S320" s="14"/>
      <c r="U320" s="36"/>
      <c r="V320" s="14"/>
      <c r="W320" s="14"/>
      <c r="X320" s="14"/>
    </row>
    <row r="321">
      <c r="A321" s="21">
        <f>Scores!A322</f>
        <v>311</v>
      </c>
      <c r="B321" s="14">
        <v>32.0</v>
      </c>
      <c r="C321" s="14">
        <v>32.0</v>
      </c>
      <c r="D321" s="14">
        <f t="shared" si="1"/>
        <v>0</v>
      </c>
      <c r="F321" s="36"/>
      <c r="G321" s="14"/>
      <c r="H321" s="36"/>
      <c r="I321" s="14"/>
      <c r="J321" s="14"/>
      <c r="K321" s="14"/>
      <c r="L321" s="36"/>
      <c r="M321" s="14"/>
      <c r="N321" s="14"/>
      <c r="O321" s="14"/>
      <c r="P321" s="36"/>
      <c r="Q321" s="14"/>
      <c r="R321" s="14"/>
      <c r="S321" s="14"/>
      <c r="U321" s="36"/>
      <c r="V321" s="14"/>
      <c r="W321" s="14"/>
      <c r="X321" s="14"/>
    </row>
    <row r="322">
      <c r="A322" s="21">
        <f>Scores!A323</f>
        <v>312</v>
      </c>
      <c r="B322" s="14">
        <v>45.0</v>
      </c>
      <c r="C322" s="14">
        <v>44.0</v>
      </c>
      <c r="D322" s="14">
        <f t="shared" si="1"/>
        <v>1</v>
      </c>
      <c r="F322" s="36"/>
      <c r="G322" s="14"/>
      <c r="H322" s="36"/>
      <c r="I322" s="14"/>
      <c r="J322" s="14"/>
      <c r="K322" s="14"/>
      <c r="L322" s="36"/>
      <c r="M322" s="14"/>
      <c r="N322" s="14"/>
      <c r="O322" s="14"/>
      <c r="P322" s="36"/>
      <c r="Q322" s="14"/>
      <c r="R322" s="14"/>
      <c r="S322" s="14"/>
      <c r="U322" s="36"/>
      <c r="V322" s="14"/>
      <c r="W322" s="14"/>
      <c r="X322" s="14"/>
    </row>
    <row r="323">
      <c r="A323" s="21">
        <f>Scores!A324</f>
        <v>313</v>
      </c>
      <c r="B323" s="14"/>
      <c r="C323" s="14">
        <v>61.0</v>
      </c>
      <c r="D323" s="14" t="str">
        <f t="shared" si="1"/>
        <v/>
      </c>
      <c r="F323" s="36"/>
      <c r="G323" s="14"/>
      <c r="H323" s="36"/>
      <c r="I323" s="14"/>
      <c r="J323" s="14"/>
      <c r="K323" s="14"/>
      <c r="L323" s="36"/>
      <c r="M323" s="14"/>
      <c r="N323" s="14"/>
      <c r="O323" s="14"/>
      <c r="P323" s="36"/>
      <c r="Q323" s="14"/>
      <c r="R323" s="14"/>
      <c r="S323" s="14"/>
      <c r="U323" s="36"/>
      <c r="V323" s="14"/>
      <c r="W323" s="14"/>
      <c r="X323" s="14"/>
    </row>
    <row r="324">
      <c r="A324" s="21">
        <f>Scores!A325</f>
        <v>314</v>
      </c>
      <c r="B324" s="14"/>
      <c r="C324" s="14">
        <v>82.0</v>
      </c>
      <c r="D324" s="14" t="str">
        <f t="shared" si="1"/>
        <v/>
      </c>
      <c r="F324" s="36"/>
      <c r="G324" s="14"/>
      <c r="H324" s="36"/>
      <c r="I324" s="14"/>
      <c r="J324" s="14"/>
      <c r="K324" s="14"/>
      <c r="L324" s="36"/>
      <c r="M324" s="14"/>
      <c r="N324" s="14"/>
      <c r="O324" s="14"/>
      <c r="P324" s="36"/>
      <c r="Q324" s="14"/>
      <c r="R324" s="14"/>
      <c r="S324" s="14"/>
      <c r="U324" s="36"/>
      <c r="V324" s="14"/>
      <c r="W324" s="14"/>
      <c r="X324" s="14"/>
    </row>
    <row r="325">
      <c r="A325" s="21">
        <f>Scores!A326</f>
        <v>315</v>
      </c>
      <c r="B325" s="14">
        <v>64.0</v>
      </c>
      <c r="C325" s="14">
        <v>63.0</v>
      </c>
      <c r="D325" s="14">
        <f t="shared" si="1"/>
        <v>1</v>
      </c>
      <c r="F325" s="36"/>
      <c r="G325" s="14"/>
      <c r="H325" s="36"/>
      <c r="I325" s="14"/>
      <c r="J325" s="14"/>
      <c r="K325" s="14"/>
      <c r="L325" s="36"/>
      <c r="M325" s="14"/>
      <c r="N325" s="14"/>
      <c r="O325" s="14"/>
      <c r="P325" s="36"/>
      <c r="Q325" s="14"/>
      <c r="R325" s="14"/>
      <c r="S325" s="14"/>
      <c r="U325" s="36"/>
      <c r="V325" s="14"/>
      <c r="W325" s="14"/>
      <c r="X325" s="14"/>
    </row>
    <row r="326">
      <c r="A326" s="21">
        <f>Scores!A327</f>
        <v>316</v>
      </c>
      <c r="B326" s="14"/>
      <c r="C326" s="14">
        <v>71.0</v>
      </c>
      <c r="D326" s="14" t="str">
        <f t="shared" si="1"/>
        <v/>
      </c>
      <c r="F326" s="36"/>
      <c r="G326" s="14"/>
      <c r="H326" s="36"/>
      <c r="I326" s="14"/>
      <c r="J326" s="14"/>
      <c r="K326" s="14"/>
      <c r="L326" s="36"/>
      <c r="M326" s="14"/>
      <c r="N326" s="14"/>
      <c r="O326" s="14"/>
      <c r="P326" s="36"/>
      <c r="Q326" s="14"/>
      <c r="R326" s="14"/>
      <c r="S326" s="14"/>
      <c r="U326" s="36"/>
      <c r="V326" s="14"/>
      <c r="W326" s="14"/>
      <c r="X326" s="14"/>
    </row>
    <row r="327">
      <c r="A327" s="21">
        <f>Scores!A328</f>
        <v>317</v>
      </c>
      <c r="B327" s="14"/>
      <c r="C327" s="14">
        <v>43.0</v>
      </c>
      <c r="D327" s="14" t="str">
        <f t="shared" si="1"/>
        <v/>
      </c>
      <c r="F327" s="36"/>
      <c r="G327" s="14"/>
      <c r="H327" s="36"/>
      <c r="I327" s="14"/>
      <c r="J327" s="14"/>
      <c r="K327" s="14"/>
      <c r="L327" s="36"/>
      <c r="M327" s="14"/>
      <c r="N327" s="14"/>
      <c r="O327" s="14"/>
      <c r="P327" s="36"/>
      <c r="Q327" s="14"/>
      <c r="R327" s="14"/>
      <c r="S327" s="14"/>
      <c r="U327" s="36"/>
      <c r="V327" s="14"/>
      <c r="W327" s="14"/>
      <c r="X327" s="14"/>
    </row>
    <row r="328">
      <c r="A328" s="21">
        <f>Scores!A329</f>
        <v>318</v>
      </c>
      <c r="B328" s="14">
        <v>66.0</v>
      </c>
      <c r="C328" s="14">
        <v>54.0</v>
      </c>
      <c r="D328" s="14">
        <f t="shared" si="1"/>
        <v>12</v>
      </c>
      <c r="F328" s="36"/>
      <c r="G328" s="14"/>
      <c r="H328" s="36"/>
      <c r="I328" s="14"/>
      <c r="J328" s="14"/>
      <c r="K328" s="14"/>
      <c r="L328" s="36"/>
      <c r="M328" s="14"/>
      <c r="N328" s="14"/>
      <c r="O328" s="14"/>
      <c r="P328" s="36"/>
      <c r="Q328" s="14"/>
      <c r="R328" s="14"/>
      <c r="S328" s="14"/>
      <c r="U328" s="36"/>
      <c r="V328" s="14"/>
      <c r="W328" s="14"/>
      <c r="X328" s="14"/>
    </row>
    <row r="329">
      <c r="A329" s="21">
        <f>Scores!A330</f>
        <v>319</v>
      </c>
      <c r="B329" s="14"/>
      <c r="C329" s="14">
        <v>194.0</v>
      </c>
      <c r="D329" s="14" t="str">
        <f t="shared" si="1"/>
        <v/>
      </c>
      <c r="F329" s="36"/>
      <c r="G329" s="14"/>
      <c r="H329" s="36"/>
      <c r="I329" s="14"/>
      <c r="J329" s="14"/>
      <c r="K329" s="14"/>
      <c r="L329" s="36"/>
      <c r="M329" s="14"/>
      <c r="N329" s="14"/>
      <c r="O329" s="14"/>
      <c r="P329" s="36"/>
      <c r="Q329" s="14"/>
      <c r="R329" s="14"/>
      <c r="S329" s="14"/>
      <c r="U329" s="36"/>
      <c r="V329" s="14"/>
      <c r="W329" s="14"/>
      <c r="X329" s="14"/>
    </row>
    <row r="330">
      <c r="A330" s="21">
        <f>Scores!A331</f>
        <v>320</v>
      </c>
      <c r="B330" s="14"/>
      <c r="C330" s="14">
        <v>65.0</v>
      </c>
      <c r="D330" s="14" t="str">
        <f t="shared" si="1"/>
        <v/>
      </c>
      <c r="F330" s="36"/>
      <c r="G330" s="14"/>
      <c r="H330" s="36"/>
      <c r="I330" s="14"/>
      <c r="J330" s="14"/>
      <c r="K330" s="14"/>
      <c r="L330" s="36"/>
      <c r="M330" s="14"/>
      <c r="N330" s="14"/>
      <c r="O330" s="14"/>
      <c r="P330" s="36"/>
      <c r="Q330" s="14"/>
      <c r="R330" s="14"/>
      <c r="S330" s="14"/>
      <c r="U330" s="36"/>
      <c r="V330" s="14"/>
      <c r="W330" s="14"/>
      <c r="X330" s="14"/>
    </row>
    <row r="331">
      <c r="A331" s="21">
        <f>Scores!A332</f>
        <v>321</v>
      </c>
      <c r="B331" s="14">
        <v>64.0</v>
      </c>
      <c r="C331" s="14">
        <v>54.0</v>
      </c>
      <c r="D331" s="14">
        <f t="shared" si="1"/>
        <v>10</v>
      </c>
      <c r="F331" s="36"/>
      <c r="G331" s="14"/>
      <c r="H331" s="36"/>
      <c r="I331" s="14"/>
      <c r="J331" s="14"/>
      <c r="K331" s="14"/>
      <c r="L331" s="36"/>
      <c r="M331" s="14"/>
      <c r="N331" s="14"/>
      <c r="O331" s="14"/>
      <c r="P331" s="36"/>
      <c r="Q331" s="14"/>
      <c r="R331" s="14"/>
      <c r="S331" s="14"/>
      <c r="U331" s="36"/>
      <c r="V331" s="14"/>
      <c r="W331" s="14"/>
      <c r="X331" s="14"/>
    </row>
    <row r="332">
      <c r="A332" s="21">
        <f>Scores!A333</f>
        <v>322</v>
      </c>
      <c r="B332" s="14">
        <v>67.0</v>
      </c>
      <c r="C332" s="14">
        <v>45.0</v>
      </c>
      <c r="D332" s="14">
        <f t="shared" si="1"/>
        <v>22</v>
      </c>
      <c r="F332" s="36"/>
      <c r="G332" s="14"/>
      <c r="H332" s="36"/>
      <c r="I332" s="14"/>
      <c r="J332" s="14"/>
      <c r="K332" s="14"/>
      <c r="L332" s="36"/>
      <c r="M332" s="14"/>
      <c r="N332" s="14"/>
      <c r="O332" s="14"/>
      <c r="P332" s="36"/>
      <c r="Q332" s="14"/>
      <c r="R332" s="14"/>
      <c r="S332" s="14"/>
      <c r="U332" s="36"/>
      <c r="V332" s="14"/>
      <c r="W332" s="14"/>
      <c r="X332" s="14"/>
    </row>
    <row r="333">
      <c r="A333" s="21">
        <f>Scores!A334</f>
        <v>323</v>
      </c>
      <c r="B333" s="14"/>
      <c r="C333" s="14">
        <v>100.0</v>
      </c>
      <c r="D333" s="14" t="str">
        <f t="shared" si="1"/>
        <v/>
      </c>
      <c r="F333" s="36"/>
      <c r="G333" s="14"/>
      <c r="H333" s="36"/>
      <c r="I333" s="14"/>
      <c r="J333" s="14"/>
      <c r="K333" s="14"/>
      <c r="L333" s="36"/>
      <c r="M333" s="14"/>
      <c r="N333" s="14"/>
      <c r="O333" s="14"/>
      <c r="P333" s="36"/>
      <c r="Q333" s="14"/>
      <c r="R333" s="14"/>
      <c r="S333" s="14"/>
      <c r="U333" s="36"/>
      <c r="V333" s="14"/>
      <c r="W333" s="14"/>
      <c r="X333" s="14"/>
    </row>
    <row r="334">
      <c r="A334" s="21">
        <f>Scores!A335</f>
        <v>324</v>
      </c>
      <c r="B334" s="14"/>
      <c r="C334" s="14">
        <v>216.0</v>
      </c>
      <c r="D334" s="14" t="str">
        <f t="shared" si="1"/>
        <v/>
      </c>
      <c r="F334" s="36"/>
      <c r="G334" s="14"/>
      <c r="H334" s="36"/>
      <c r="I334" s="14"/>
      <c r="J334" s="14"/>
      <c r="K334" s="14"/>
      <c r="L334" s="36"/>
      <c r="M334" s="14"/>
      <c r="N334" s="14"/>
      <c r="O334" s="14"/>
      <c r="P334" s="36"/>
      <c r="Q334" s="14"/>
      <c r="R334" s="14"/>
      <c r="S334" s="14"/>
      <c r="U334" s="36"/>
      <c r="V334" s="14"/>
      <c r="W334" s="14"/>
      <c r="X334" s="14"/>
    </row>
    <row r="335">
      <c r="A335" s="21">
        <f>Scores!A336</f>
        <v>325</v>
      </c>
      <c r="B335" s="14"/>
      <c r="C335" s="14">
        <v>140.0</v>
      </c>
      <c r="D335" s="14" t="str">
        <f t="shared" si="1"/>
        <v/>
      </c>
      <c r="F335" s="36"/>
      <c r="G335" s="14"/>
      <c r="H335" s="36"/>
      <c r="I335" s="14"/>
      <c r="J335" s="14"/>
      <c r="K335" s="14"/>
      <c r="L335" s="36"/>
      <c r="M335" s="14"/>
      <c r="N335" s="14"/>
      <c r="O335" s="14"/>
      <c r="P335" s="36"/>
      <c r="Q335" s="14"/>
      <c r="R335" s="14"/>
      <c r="S335" s="14"/>
      <c r="U335" s="36"/>
      <c r="V335" s="14"/>
      <c r="W335" s="14"/>
      <c r="X335" s="14"/>
    </row>
    <row r="336">
      <c r="A336" s="21">
        <f>Scores!A337</f>
        <v>326</v>
      </c>
      <c r="B336" s="14">
        <v>30.0</v>
      </c>
      <c r="C336" s="14">
        <v>30.0</v>
      </c>
      <c r="D336" s="14">
        <f t="shared" si="1"/>
        <v>0</v>
      </c>
      <c r="F336" s="36"/>
      <c r="G336" s="14"/>
      <c r="H336" s="36"/>
      <c r="I336" s="14"/>
      <c r="J336" s="14"/>
      <c r="K336" s="14"/>
      <c r="L336" s="36"/>
      <c r="M336" s="14"/>
      <c r="N336" s="14"/>
      <c r="O336" s="14"/>
      <c r="P336" s="36"/>
      <c r="Q336" s="14"/>
      <c r="R336" s="14"/>
      <c r="S336" s="14"/>
      <c r="U336" s="36"/>
      <c r="V336" s="14"/>
      <c r="W336" s="14"/>
      <c r="X336" s="14"/>
    </row>
    <row r="337">
      <c r="A337" s="21">
        <f>Scores!A338</f>
        <v>327</v>
      </c>
      <c r="B337" s="14"/>
      <c r="C337" s="14">
        <v>67.0</v>
      </c>
      <c r="D337" s="14" t="str">
        <f t="shared" si="1"/>
        <v/>
      </c>
      <c r="F337" s="36"/>
      <c r="G337" s="14"/>
      <c r="H337" s="36"/>
      <c r="I337" s="14"/>
      <c r="J337" s="14"/>
      <c r="K337" s="14"/>
      <c r="L337" s="36"/>
      <c r="M337" s="14"/>
      <c r="N337" s="14"/>
      <c r="O337" s="14"/>
      <c r="P337" s="36"/>
      <c r="Q337" s="14"/>
      <c r="R337" s="14"/>
      <c r="S337" s="14"/>
      <c r="U337" s="36"/>
      <c r="V337" s="14"/>
      <c r="W337" s="14"/>
      <c r="X337" s="14"/>
    </row>
    <row r="338">
      <c r="A338" s="21">
        <f>Scores!A339</f>
        <v>328</v>
      </c>
      <c r="B338" s="14"/>
      <c r="C338" s="14">
        <v>158.0</v>
      </c>
      <c r="D338" s="14" t="str">
        <f t="shared" si="1"/>
        <v/>
      </c>
      <c r="F338" s="36"/>
      <c r="G338" s="14"/>
      <c r="H338" s="36"/>
      <c r="I338" s="14"/>
      <c r="J338" s="14"/>
      <c r="K338" s="14"/>
      <c r="L338" s="36"/>
      <c r="M338" s="14"/>
      <c r="N338" s="14"/>
      <c r="O338" s="14"/>
      <c r="P338" s="36"/>
      <c r="Q338" s="14"/>
      <c r="R338" s="14"/>
      <c r="S338" s="14"/>
      <c r="U338" s="36"/>
      <c r="V338" s="14"/>
      <c r="W338" s="14"/>
      <c r="X338" s="14"/>
    </row>
    <row r="339">
      <c r="A339" s="21">
        <f>Scores!A340</f>
        <v>329</v>
      </c>
      <c r="B339" s="14">
        <v>56.0</v>
      </c>
      <c r="C339" s="14">
        <v>54.0</v>
      </c>
      <c r="D339" s="14">
        <f t="shared" si="1"/>
        <v>2</v>
      </c>
      <c r="F339" s="36"/>
      <c r="G339" s="14"/>
      <c r="H339" s="36"/>
      <c r="I339" s="14"/>
      <c r="J339" s="14"/>
      <c r="K339" s="14"/>
      <c r="L339" s="36"/>
      <c r="M339" s="14"/>
      <c r="N339" s="14"/>
      <c r="O339" s="14"/>
      <c r="P339" s="36"/>
      <c r="Q339" s="14"/>
      <c r="R339" s="14"/>
      <c r="S339" s="14"/>
      <c r="U339" s="36"/>
      <c r="V339" s="14"/>
      <c r="W339" s="14"/>
      <c r="X339" s="14"/>
    </row>
    <row r="340">
      <c r="A340" s="21">
        <f>Scores!A341</f>
        <v>330</v>
      </c>
      <c r="B340" s="14"/>
      <c r="C340" s="14">
        <v>110.0</v>
      </c>
      <c r="D340" s="14" t="str">
        <f t="shared" si="1"/>
        <v/>
      </c>
      <c r="F340" s="36"/>
      <c r="G340" s="14"/>
      <c r="H340" s="36"/>
      <c r="I340" s="14"/>
      <c r="J340" s="14"/>
      <c r="K340" s="14"/>
      <c r="L340" s="36"/>
      <c r="M340" s="14"/>
      <c r="N340" s="14"/>
      <c r="O340" s="14"/>
      <c r="P340" s="36"/>
      <c r="Q340" s="14"/>
      <c r="R340" s="14"/>
      <c r="S340" s="14"/>
      <c r="U340" s="36"/>
      <c r="V340" s="14"/>
      <c r="W340" s="14"/>
      <c r="X340" s="14"/>
    </row>
    <row r="341">
      <c r="A341" s="21">
        <f>Scores!A342</f>
        <v>331</v>
      </c>
      <c r="B341" s="14"/>
      <c r="C341" s="14">
        <v>82.0</v>
      </c>
      <c r="D341" s="14" t="str">
        <f t="shared" si="1"/>
        <v/>
      </c>
      <c r="F341" s="36"/>
      <c r="G341" s="14"/>
      <c r="H341" s="36"/>
      <c r="I341" s="14"/>
      <c r="J341" s="14"/>
      <c r="K341" s="14"/>
      <c r="L341" s="36"/>
      <c r="M341" s="14"/>
      <c r="N341" s="14"/>
      <c r="O341" s="14"/>
      <c r="P341" s="36"/>
      <c r="Q341" s="14"/>
      <c r="R341" s="14"/>
      <c r="S341" s="14"/>
      <c r="U341" s="36"/>
      <c r="V341" s="14"/>
      <c r="W341" s="14"/>
      <c r="X341" s="14"/>
    </row>
    <row r="342">
      <c r="A342" s="21">
        <f>Scores!A343</f>
        <v>332</v>
      </c>
      <c r="B342" s="14">
        <v>67.0</v>
      </c>
      <c r="C342" s="14">
        <v>58.0</v>
      </c>
      <c r="D342" s="14">
        <f t="shared" si="1"/>
        <v>9</v>
      </c>
      <c r="F342" s="36"/>
      <c r="G342" s="14"/>
      <c r="H342" s="36"/>
      <c r="I342" s="14"/>
      <c r="J342" s="14"/>
      <c r="K342" s="14"/>
      <c r="L342" s="36"/>
      <c r="M342" s="14"/>
      <c r="N342" s="14"/>
      <c r="O342" s="14"/>
      <c r="P342" s="36"/>
      <c r="Q342" s="14"/>
      <c r="R342" s="14"/>
      <c r="S342" s="14"/>
      <c r="U342" s="36"/>
      <c r="V342" s="14"/>
      <c r="W342" s="14"/>
      <c r="X342" s="14"/>
    </row>
    <row r="343">
      <c r="A343" s="21">
        <f>Scores!A344</f>
        <v>333</v>
      </c>
      <c r="B343" s="14"/>
      <c r="C343" s="14">
        <v>83.0</v>
      </c>
      <c r="D343" s="14" t="str">
        <f t="shared" si="1"/>
        <v/>
      </c>
      <c r="F343" s="36"/>
      <c r="G343" s="14"/>
      <c r="H343" s="36"/>
      <c r="I343" s="14"/>
      <c r="J343" s="14"/>
      <c r="K343" s="14"/>
      <c r="L343" s="36"/>
      <c r="M343" s="14"/>
      <c r="N343" s="14"/>
      <c r="O343" s="14"/>
      <c r="P343" s="36"/>
      <c r="Q343" s="14"/>
      <c r="R343" s="14"/>
      <c r="S343" s="14"/>
      <c r="U343" s="36"/>
      <c r="V343" s="14"/>
      <c r="W343" s="14"/>
      <c r="X343" s="14"/>
    </row>
    <row r="344">
      <c r="A344" s="21">
        <f>Scores!A345</f>
        <v>334</v>
      </c>
      <c r="B344" s="14">
        <v>80.0</v>
      </c>
      <c r="C344" s="14">
        <v>65.0</v>
      </c>
      <c r="D344" s="14">
        <f t="shared" si="1"/>
        <v>15</v>
      </c>
      <c r="F344" s="36"/>
      <c r="G344" s="14"/>
      <c r="H344" s="36"/>
      <c r="I344" s="14"/>
      <c r="J344" s="14"/>
      <c r="K344" s="14"/>
      <c r="L344" s="36"/>
      <c r="M344" s="14"/>
      <c r="N344" s="14"/>
      <c r="O344" s="14"/>
      <c r="P344" s="36"/>
      <c r="Q344" s="14"/>
      <c r="R344" s="14"/>
      <c r="S344" s="14"/>
      <c r="U344" s="36"/>
      <c r="V344" s="14"/>
      <c r="W344" s="14"/>
      <c r="X344" s="14"/>
    </row>
    <row r="345">
      <c r="A345" s="21">
        <f>Scores!A346</f>
        <v>335</v>
      </c>
      <c r="B345" s="14"/>
      <c r="C345" s="14">
        <v>105.0</v>
      </c>
      <c r="D345" s="14" t="str">
        <f t="shared" si="1"/>
        <v/>
      </c>
      <c r="F345" s="36"/>
      <c r="G345" s="14"/>
      <c r="H345" s="36"/>
      <c r="I345" s="14"/>
      <c r="J345" s="14"/>
      <c r="K345" s="14"/>
      <c r="L345" s="36"/>
      <c r="M345" s="14"/>
      <c r="N345" s="14"/>
      <c r="O345" s="14"/>
      <c r="P345" s="36"/>
      <c r="Q345" s="14"/>
      <c r="R345" s="14"/>
      <c r="S345" s="14"/>
      <c r="U345" s="36"/>
      <c r="V345" s="14"/>
      <c r="W345" s="14"/>
      <c r="X345" s="14"/>
    </row>
    <row r="346">
      <c r="A346" s="21">
        <f>Scores!A347</f>
        <v>336</v>
      </c>
      <c r="B346" s="14"/>
      <c r="C346" s="14">
        <v>86.0</v>
      </c>
      <c r="D346" s="14" t="str">
        <f t="shared" si="1"/>
        <v/>
      </c>
      <c r="F346" s="36"/>
      <c r="G346" s="14"/>
      <c r="H346" s="36"/>
      <c r="I346" s="14"/>
      <c r="J346" s="14"/>
      <c r="K346" s="14"/>
      <c r="L346" s="36"/>
      <c r="M346" s="14"/>
      <c r="N346" s="14"/>
      <c r="O346" s="14"/>
      <c r="P346" s="36"/>
      <c r="Q346" s="14"/>
      <c r="R346" s="14"/>
      <c r="S346" s="14"/>
      <c r="U346" s="36"/>
      <c r="V346" s="14"/>
      <c r="W346" s="14"/>
      <c r="X346" s="14"/>
    </row>
    <row r="347">
      <c r="A347" s="21">
        <f>Scores!A348</f>
        <v>337</v>
      </c>
      <c r="B347" s="14">
        <v>48.0</v>
      </c>
      <c r="C347" s="14">
        <v>43.0</v>
      </c>
      <c r="D347" s="14">
        <f t="shared" si="1"/>
        <v>5</v>
      </c>
      <c r="F347" s="36"/>
      <c r="G347" s="14"/>
      <c r="H347" s="36"/>
      <c r="I347" s="14"/>
      <c r="J347" s="14"/>
      <c r="K347" s="14"/>
      <c r="L347" s="36"/>
      <c r="M347" s="14"/>
      <c r="N347" s="14"/>
      <c r="O347" s="14"/>
      <c r="P347" s="36"/>
      <c r="Q347" s="14"/>
      <c r="R347" s="14"/>
      <c r="S347" s="14"/>
      <c r="U347" s="36"/>
      <c r="V347" s="14"/>
      <c r="W347" s="14"/>
      <c r="X347" s="14"/>
    </row>
    <row r="348">
      <c r="A348" s="21">
        <f>Scores!A349</f>
        <v>338</v>
      </c>
      <c r="B348" s="14"/>
      <c r="C348" s="14">
        <v>62.0</v>
      </c>
      <c r="D348" s="14" t="str">
        <f t="shared" si="1"/>
        <v/>
      </c>
      <c r="F348" s="36"/>
      <c r="G348" s="14"/>
      <c r="H348" s="36"/>
      <c r="I348" s="14"/>
      <c r="J348" s="14"/>
      <c r="K348" s="14"/>
      <c r="L348" s="36"/>
      <c r="M348" s="14"/>
      <c r="N348" s="14"/>
      <c r="O348" s="14"/>
      <c r="P348" s="36"/>
      <c r="Q348" s="14"/>
      <c r="R348" s="14"/>
      <c r="S348" s="14"/>
      <c r="U348" s="36"/>
      <c r="V348" s="14"/>
      <c r="W348" s="14"/>
      <c r="X348" s="14"/>
    </row>
    <row r="349">
      <c r="A349" s="21">
        <f>Scores!A350</f>
        <v>339</v>
      </c>
      <c r="B349" s="14">
        <v>43.0</v>
      </c>
      <c r="C349" s="14">
        <v>37.0</v>
      </c>
      <c r="D349" s="14">
        <f t="shared" si="1"/>
        <v>6</v>
      </c>
      <c r="F349" s="36"/>
      <c r="G349" s="14"/>
      <c r="H349" s="36"/>
      <c r="I349" s="14"/>
      <c r="J349" s="14"/>
      <c r="K349" s="14"/>
      <c r="L349" s="36"/>
      <c r="M349" s="14"/>
      <c r="N349" s="14"/>
      <c r="O349" s="14"/>
      <c r="P349" s="36"/>
      <c r="Q349" s="14"/>
      <c r="R349" s="14"/>
      <c r="S349" s="14"/>
      <c r="U349" s="36"/>
      <c r="V349" s="14"/>
      <c r="W349" s="14"/>
      <c r="X349" s="14"/>
    </row>
    <row r="350">
      <c r="A350" s="21">
        <f>Scores!A351</f>
        <v>340</v>
      </c>
      <c r="B350" s="14"/>
      <c r="C350" s="14">
        <v>111.0</v>
      </c>
      <c r="D350" s="14" t="str">
        <f t="shared" si="1"/>
        <v/>
      </c>
      <c r="F350" s="36"/>
      <c r="G350" s="14"/>
      <c r="H350" s="36"/>
      <c r="I350" s="14"/>
      <c r="J350" s="14"/>
      <c r="K350" s="14"/>
      <c r="L350" s="36"/>
      <c r="M350" s="14"/>
      <c r="N350" s="14"/>
      <c r="O350" s="14"/>
      <c r="P350" s="36"/>
      <c r="Q350" s="14"/>
      <c r="R350" s="14"/>
      <c r="S350" s="14"/>
      <c r="U350" s="36"/>
      <c r="V350" s="14"/>
      <c r="W350" s="14"/>
      <c r="X350" s="14"/>
    </row>
    <row r="351">
      <c r="A351" s="21">
        <f>Scores!A352</f>
        <v>341</v>
      </c>
      <c r="B351" s="14"/>
      <c r="C351" s="14">
        <v>108.0</v>
      </c>
      <c r="D351" s="14" t="str">
        <f t="shared" si="1"/>
        <v/>
      </c>
      <c r="F351" s="36"/>
      <c r="G351" s="14"/>
      <c r="H351" s="36"/>
      <c r="I351" s="14"/>
      <c r="J351" s="14"/>
      <c r="K351" s="14"/>
      <c r="L351" s="36"/>
      <c r="M351" s="14"/>
      <c r="N351" s="14"/>
      <c r="O351" s="14"/>
      <c r="P351" s="36"/>
      <c r="Q351" s="14"/>
      <c r="R351" s="14"/>
      <c r="S351" s="14"/>
      <c r="U351" s="36"/>
      <c r="V351" s="14"/>
      <c r="W351" s="14"/>
      <c r="X351" s="14"/>
    </row>
    <row r="352">
      <c r="A352" s="21">
        <f>Scores!A353</f>
        <v>342</v>
      </c>
      <c r="B352" s="14"/>
      <c r="C352" s="14">
        <v>106.0</v>
      </c>
      <c r="D352" s="14" t="str">
        <f t="shared" si="1"/>
        <v/>
      </c>
      <c r="F352" s="36"/>
      <c r="G352" s="14"/>
      <c r="H352" s="36"/>
      <c r="I352" s="14"/>
      <c r="J352" s="14"/>
      <c r="K352" s="14"/>
      <c r="L352" s="36"/>
      <c r="M352" s="14"/>
      <c r="N352" s="14"/>
      <c r="O352" s="14"/>
      <c r="P352" s="36"/>
      <c r="Q352" s="14"/>
      <c r="R352" s="14"/>
      <c r="S352" s="14"/>
      <c r="U352" s="36"/>
      <c r="V352" s="14"/>
      <c r="W352" s="14"/>
      <c r="X352" s="14"/>
    </row>
    <row r="353">
      <c r="A353" s="21">
        <f>Scores!A354</f>
        <v>343</v>
      </c>
      <c r="B353" s="14"/>
      <c r="C353" s="14">
        <v>63.0</v>
      </c>
      <c r="D353" s="14" t="str">
        <f t="shared" si="1"/>
        <v/>
      </c>
      <c r="F353" s="36"/>
      <c r="G353" s="14"/>
      <c r="H353" s="36"/>
      <c r="I353" s="14"/>
      <c r="J353" s="14"/>
      <c r="K353" s="14"/>
      <c r="L353" s="36"/>
      <c r="M353" s="14"/>
      <c r="N353" s="14"/>
      <c r="O353" s="14"/>
      <c r="P353" s="36"/>
      <c r="Q353" s="14"/>
      <c r="R353" s="14"/>
      <c r="S353" s="14"/>
      <c r="U353" s="36"/>
      <c r="V353" s="14"/>
      <c r="W353" s="14"/>
      <c r="X353" s="14"/>
    </row>
    <row r="354">
      <c r="A354" s="21">
        <f>Scores!A355</f>
        <v>344</v>
      </c>
      <c r="B354" s="14"/>
      <c r="C354" s="14">
        <v>74.0</v>
      </c>
      <c r="D354" s="14" t="str">
        <f t="shared" si="1"/>
        <v/>
      </c>
      <c r="F354" s="36"/>
      <c r="G354" s="14"/>
      <c r="H354" s="36"/>
      <c r="I354" s="14"/>
      <c r="J354" s="14"/>
      <c r="K354" s="14"/>
      <c r="L354" s="36"/>
      <c r="M354" s="14"/>
      <c r="N354" s="14"/>
      <c r="O354" s="14"/>
      <c r="P354" s="36"/>
      <c r="Q354" s="14"/>
      <c r="R354" s="14"/>
      <c r="S354" s="14"/>
      <c r="U354" s="36"/>
      <c r="V354" s="14"/>
      <c r="W354" s="14"/>
      <c r="X354" s="14"/>
    </row>
    <row r="355">
      <c r="A355" s="21">
        <f>Scores!A356</f>
        <v>345</v>
      </c>
      <c r="B355" s="14"/>
      <c r="C355" s="14">
        <v>89.0</v>
      </c>
      <c r="D355" s="14" t="str">
        <f t="shared" si="1"/>
        <v/>
      </c>
      <c r="F355" s="36"/>
      <c r="G355" s="14"/>
      <c r="H355" s="36"/>
      <c r="I355" s="14"/>
      <c r="J355" s="14"/>
      <c r="K355" s="14"/>
      <c r="L355" s="36"/>
      <c r="M355" s="14"/>
      <c r="N355" s="14"/>
      <c r="O355" s="14"/>
      <c r="P355" s="36"/>
      <c r="Q355" s="14"/>
      <c r="R355" s="14"/>
      <c r="S355" s="14"/>
      <c r="U355" s="36"/>
      <c r="V355" s="14"/>
      <c r="W355" s="14"/>
      <c r="X355" s="14"/>
    </row>
    <row r="356">
      <c r="A356" s="21">
        <f>Scores!A357</f>
        <v>346</v>
      </c>
      <c r="B356" s="14"/>
      <c r="C356" s="14">
        <v>52.0</v>
      </c>
      <c r="D356" s="14" t="str">
        <f t="shared" si="1"/>
        <v/>
      </c>
      <c r="F356" s="36"/>
      <c r="G356" s="14"/>
      <c r="H356" s="36"/>
      <c r="I356" s="14"/>
      <c r="J356" s="14"/>
      <c r="K356" s="14"/>
      <c r="L356" s="36"/>
      <c r="M356" s="14"/>
      <c r="N356" s="14"/>
      <c r="O356" s="14"/>
      <c r="P356" s="36"/>
      <c r="Q356" s="14"/>
      <c r="R356" s="14"/>
      <c r="S356" s="14"/>
      <c r="U356" s="36"/>
      <c r="V356" s="14"/>
      <c r="W356" s="14"/>
      <c r="X356" s="14"/>
    </row>
    <row r="357">
      <c r="A357" s="21">
        <f>Scores!A358</f>
        <v>347</v>
      </c>
      <c r="B357" s="14">
        <v>54.0</v>
      </c>
      <c r="C357" s="14">
        <v>50.0</v>
      </c>
      <c r="D357" s="14">
        <f t="shared" si="1"/>
        <v>4</v>
      </c>
      <c r="F357" s="36"/>
      <c r="G357" s="14"/>
      <c r="H357" s="36"/>
      <c r="I357" s="14"/>
      <c r="J357" s="14"/>
      <c r="K357" s="14"/>
      <c r="L357" s="36"/>
      <c r="M357" s="14"/>
      <c r="N357" s="14"/>
      <c r="O357" s="14"/>
      <c r="P357" s="36"/>
      <c r="Q357" s="14"/>
      <c r="R357" s="14"/>
      <c r="S357" s="14"/>
      <c r="U357" s="36"/>
      <c r="V357" s="14"/>
      <c r="W357" s="14"/>
      <c r="X357" s="14"/>
    </row>
    <row r="358">
      <c r="A358" s="21">
        <f>Scores!A359</f>
        <v>348</v>
      </c>
      <c r="B358" s="14"/>
      <c r="C358" s="14">
        <v>88.0</v>
      </c>
      <c r="D358" s="14" t="str">
        <f t="shared" si="1"/>
        <v/>
      </c>
      <c r="F358" s="36"/>
      <c r="G358" s="14"/>
      <c r="H358" s="36"/>
      <c r="I358" s="14"/>
      <c r="J358" s="14"/>
      <c r="K358" s="14"/>
      <c r="L358" s="36"/>
      <c r="M358" s="14"/>
      <c r="N358" s="14"/>
      <c r="O358" s="14"/>
      <c r="P358" s="36"/>
      <c r="Q358" s="14"/>
      <c r="R358" s="14"/>
      <c r="S358" s="14"/>
      <c r="U358" s="36"/>
      <c r="V358" s="14"/>
      <c r="W358" s="14"/>
      <c r="X358" s="14"/>
    </row>
    <row r="359">
      <c r="A359" s="21">
        <f>Scores!A360</f>
        <v>349</v>
      </c>
      <c r="B359" s="14"/>
      <c r="C359" s="14">
        <v>172.0</v>
      </c>
      <c r="D359" s="14" t="str">
        <f t="shared" si="1"/>
        <v/>
      </c>
      <c r="F359" s="36"/>
      <c r="G359" s="14"/>
      <c r="H359" s="36"/>
      <c r="I359" s="14"/>
      <c r="J359" s="14"/>
      <c r="K359" s="14"/>
      <c r="L359" s="36"/>
      <c r="M359" s="14"/>
      <c r="N359" s="14"/>
      <c r="O359" s="14"/>
      <c r="P359" s="36"/>
      <c r="Q359" s="14"/>
      <c r="R359" s="14"/>
      <c r="S359" s="14"/>
      <c r="U359" s="36"/>
      <c r="V359" s="14"/>
      <c r="W359" s="14"/>
      <c r="X359" s="14"/>
    </row>
    <row r="360">
      <c r="A360" s="21">
        <f>Scores!A361</f>
        <v>350</v>
      </c>
      <c r="B360" s="14"/>
      <c r="C360" s="14">
        <v>89.0</v>
      </c>
      <c r="D360" s="14" t="str">
        <f t="shared" si="1"/>
        <v/>
      </c>
      <c r="F360" s="36"/>
      <c r="G360" s="14"/>
      <c r="H360" s="36"/>
      <c r="I360" s="14"/>
      <c r="J360" s="14"/>
      <c r="K360" s="14"/>
      <c r="L360" s="36"/>
      <c r="M360" s="14"/>
      <c r="N360" s="14"/>
      <c r="O360" s="14"/>
      <c r="P360" s="36"/>
      <c r="Q360" s="14"/>
      <c r="R360" s="14"/>
      <c r="S360" s="14"/>
      <c r="U360" s="36"/>
      <c r="V360" s="14"/>
      <c r="W360" s="14"/>
      <c r="X360" s="14"/>
    </row>
    <row r="361">
      <c r="A361" s="21">
        <f>Scores!A362</f>
        <v>351</v>
      </c>
      <c r="B361" s="14"/>
      <c r="C361" s="14">
        <v>66.0</v>
      </c>
      <c r="D361" s="14" t="str">
        <f t="shared" si="1"/>
        <v/>
      </c>
      <c r="F361" s="36"/>
      <c r="G361" s="14"/>
      <c r="H361" s="36"/>
      <c r="I361" s="14"/>
      <c r="J361" s="14"/>
      <c r="K361" s="14"/>
      <c r="L361" s="36"/>
      <c r="M361" s="14"/>
      <c r="N361" s="14"/>
      <c r="O361" s="14"/>
      <c r="P361" s="36"/>
      <c r="Q361" s="14"/>
      <c r="R361" s="14"/>
      <c r="S361" s="14"/>
      <c r="U361" s="36"/>
      <c r="V361" s="14"/>
      <c r="W361" s="14"/>
      <c r="X361" s="14"/>
    </row>
    <row r="362">
      <c r="A362" s="21">
        <f>Scores!A363</f>
        <v>352</v>
      </c>
      <c r="B362" s="14"/>
      <c r="C362" s="14">
        <v>82.0</v>
      </c>
      <c r="D362" s="14" t="str">
        <f t="shared" si="1"/>
        <v/>
      </c>
      <c r="F362" s="36"/>
      <c r="G362" s="14"/>
      <c r="H362" s="36"/>
      <c r="I362" s="14"/>
      <c r="J362" s="14"/>
      <c r="K362" s="14"/>
      <c r="L362" s="36"/>
      <c r="M362" s="14"/>
      <c r="N362" s="14"/>
      <c r="O362" s="14"/>
      <c r="P362" s="36"/>
      <c r="Q362" s="14"/>
      <c r="R362" s="14"/>
      <c r="S362" s="14"/>
      <c r="U362" s="36"/>
      <c r="V362" s="14"/>
      <c r="W362" s="14"/>
      <c r="X362" s="14"/>
    </row>
    <row r="363">
      <c r="A363" s="21">
        <f>Scores!A364</f>
        <v>353</v>
      </c>
      <c r="B363" s="14">
        <v>140.0</v>
      </c>
      <c r="C363" s="14">
        <v>83.0</v>
      </c>
      <c r="D363" s="14">
        <f t="shared" si="1"/>
        <v>57</v>
      </c>
      <c r="F363" s="36"/>
      <c r="G363" s="14"/>
      <c r="H363" s="36"/>
      <c r="I363" s="14"/>
      <c r="J363" s="14"/>
      <c r="K363" s="14"/>
      <c r="L363" s="36"/>
      <c r="M363" s="14"/>
      <c r="N363" s="14"/>
      <c r="O363" s="14"/>
      <c r="P363" s="36"/>
      <c r="Q363" s="14"/>
      <c r="R363" s="14"/>
      <c r="S363" s="14"/>
      <c r="U363" s="36"/>
      <c r="V363" s="14"/>
      <c r="W363" s="14"/>
      <c r="X363" s="14"/>
    </row>
    <row r="364">
      <c r="A364" s="21">
        <f>Scores!A365</f>
        <v>354</v>
      </c>
      <c r="B364" s="14"/>
      <c r="C364" s="14">
        <v>92.0</v>
      </c>
      <c r="D364" s="14" t="str">
        <f t="shared" si="1"/>
        <v/>
      </c>
      <c r="F364" s="36"/>
      <c r="G364" s="14"/>
      <c r="H364" s="36"/>
      <c r="I364" s="14"/>
      <c r="J364" s="14"/>
      <c r="K364" s="14"/>
      <c r="L364" s="36"/>
      <c r="M364" s="14"/>
      <c r="N364" s="14"/>
      <c r="O364" s="14"/>
      <c r="P364" s="36"/>
      <c r="Q364" s="14"/>
      <c r="R364" s="14"/>
      <c r="S364" s="14"/>
      <c r="U364" s="36"/>
      <c r="V364" s="14"/>
      <c r="W364" s="14"/>
      <c r="X364" s="14"/>
    </row>
    <row r="365">
      <c r="A365" s="21">
        <f>Scores!A366</f>
        <v>355</v>
      </c>
      <c r="B365" s="14"/>
      <c r="C365" s="14">
        <v>95.0</v>
      </c>
      <c r="D365" s="14" t="str">
        <f t="shared" si="1"/>
        <v/>
      </c>
      <c r="F365" s="36"/>
      <c r="G365" s="14"/>
      <c r="H365" s="36"/>
      <c r="I365" s="14"/>
      <c r="J365" s="14"/>
      <c r="K365" s="14"/>
      <c r="L365" s="36"/>
      <c r="M365" s="14"/>
      <c r="N365" s="14"/>
      <c r="O365" s="14"/>
      <c r="P365" s="36"/>
      <c r="Q365" s="14"/>
      <c r="R365" s="14"/>
      <c r="S365" s="14"/>
      <c r="U365" s="36"/>
      <c r="V365" s="14"/>
      <c r="W365" s="14"/>
      <c r="X365" s="14"/>
    </row>
    <row r="366">
      <c r="A366" s="21">
        <f>Scores!A367</f>
        <v>356</v>
      </c>
      <c r="B366" s="14"/>
      <c r="C366" s="14">
        <v>92.0</v>
      </c>
      <c r="D366" s="14" t="str">
        <f t="shared" si="1"/>
        <v/>
      </c>
      <c r="F366" s="36"/>
      <c r="G366" s="14"/>
      <c r="H366" s="36"/>
      <c r="I366" s="14"/>
      <c r="J366" s="14"/>
      <c r="K366" s="14"/>
      <c r="L366" s="36"/>
      <c r="M366" s="14"/>
      <c r="N366" s="14"/>
      <c r="O366" s="14"/>
      <c r="P366" s="36"/>
      <c r="Q366" s="14"/>
      <c r="R366" s="14"/>
      <c r="S366" s="14"/>
      <c r="U366" s="36"/>
      <c r="V366" s="14"/>
      <c r="W366" s="14"/>
      <c r="X366" s="14"/>
    </row>
    <row r="367">
      <c r="A367" s="21">
        <f>Scores!A368</f>
        <v>357</v>
      </c>
      <c r="B367" s="14"/>
      <c r="C367" s="14">
        <v>81.0</v>
      </c>
      <c r="D367" s="14" t="str">
        <f t="shared" si="1"/>
        <v/>
      </c>
      <c r="F367" s="36"/>
      <c r="G367" s="14"/>
      <c r="H367" s="36"/>
      <c r="I367" s="14"/>
      <c r="J367" s="14"/>
      <c r="K367" s="14"/>
      <c r="L367" s="36"/>
      <c r="M367" s="14"/>
      <c r="N367" s="14"/>
      <c r="O367" s="14"/>
      <c r="P367" s="36"/>
      <c r="Q367" s="14"/>
      <c r="R367" s="14"/>
      <c r="S367" s="14"/>
      <c r="U367" s="36"/>
      <c r="V367" s="14"/>
      <c r="W367" s="14"/>
      <c r="X367" s="14"/>
    </row>
    <row r="368">
      <c r="A368" s="21">
        <f>Scores!A369</f>
        <v>358</v>
      </c>
      <c r="B368" s="14"/>
      <c r="C368" s="14">
        <v>90.0</v>
      </c>
      <c r="D368" s="14" t="str">
        <f t="shared" si="1"/>
        <v/>
      </c>
      <c r="F368" s="36"/>
      <c r="G368" s="14"/>
      <c r="H368" s="36"/>
      <c r="I368" s="14"/>
      <c r="J368" s="14"/>
      <c r="K368" s="14"/>
      <c r="L368" s="36"/>
      <c r="M368" s="14"/>
      <c r="N368" s="14"/>
      <c r="O368" s="14"/>
      <c r="P368" s="36"/>
      <c r="Q368" s="14"/>
      <c r="R368" s="14"/>
      <c r="S368" s="14"/>
      <c r="U368" s="36"/>
      <c r="V368" s="14"/>
      <c r="W368" s="14"/>
      <c r="X368" s="14"/>
    </row>
    <row r="369">
      <c r="A369" s="21">
        <f>Scores!A370</f>
        <v>359</v>
      </c>
      <c r="B369" s="14"/>
      <c r="C369" s="14">
        <v>64.0</v>
      </c>
      <c r="D369" s="14" t="str">
        <f t="shared" si="1"/>
        <v/>
      </c>
      <c r="F369" s="36"/>
      <c r="G369" s="14"/>
      <c r="H369" s="36"/>
      <c r="I369" s="14"/>
      <c r="J369" s="14"/>
      <c r="K369" s="14"/>
      <c r="L369" s="36"/>
      <c r="M369" s="14"/>
      <c r="N369" s="14"/>
      <c r="O369" s="14"/>
      <c r="P369" s="36"/>
      <c r="Q369" s="14"/>
      <c r="R369" s="14"/>
      <c r="S369" s="14"/>
      <c r="U369" s="36"/>
      <c r="V369" s="14"/>
      <c r="W369" s="14"/>
      <c r="X369" s="14"/>
    </row>
    <row r="370">
      <c r="A370" s="21">
        <f>Scores!A371</f>
        <v>360</v>
      </c>
      <c r="B370" s="14">
        <v>53.0</v>
      </c>
      <c r="C370" s="14">
        <v>45.0</v>
      </c>
      <c r="D370" s="14">
        <f t="shared" si="1"/>
        <v>8</v>
      </c>
      <c r="F370" s="36"/>
      <c r="G370" s="14"/>
      <c r="H370" s="36"/>
      <c r="I370" s="14"/>
      <c r="J370" s="14"/>
      <c r="K370" s="14"/>
      <c r="L370" s="36"/>
      <c r="M370" s="14"/>
      <c r="N370" s="14"/>
      <c r="O370" s="14"/>
      <c r="P370" s="36"/>
      <c r="Q370" s="14"/>
      <c r="R370" s="14"/>
      <c r="S370" s="14"/>
      <c r="U370" s="36"/>
      <c r="V370" s="14"/>
      <c r="W370" s="14"/>
      <c r="X370" s="14"/>
    </row>
    <row r="371">
      <c r="A371" s="21">
        <f>Scores!A372</f>
        <v>361</v>
      </c>
      <c r="B371" s="14"/>
      <c r="C371" s="14">
        <v>185.0</v>
      </c>
      <c r="D371" s="14" t="str">
        <f t="shared" si="1"/>
        <v/>
      </c>
      <c r="F371" s="36"/>
      <c r="G371" s="14"/>
      <c r="H371" s="36"/>
      <c r="I371" s="14"/>
      <c r="J371" s="14"/>
      <c r="K371" s="14"/>
      <c r="L371" s="36"/>
      <c r="M371" s="14"/>
      <c r="N371" s="14"/>
      <c r="O371" s="14"/>
      <c r="P371" s="36"/>
      <c r="Q371" s="14"/>
      <c r="R371" s="14"/>
      <c r="S371" s="14"/>
      <c r="U371" s="36"/>
      <c r="V371" s="14"/>
      <c r="W371" s="14"/>
      <c r="X371" s="14"/>
    </row>
    <row r="372">
      <c r="A372" s="21">
        <f>Scores!A373</f>
        <v>362</v>
      </c>
      <c r="B372" s="14"/>
      <c r="C372" s="14">
        <v>67.0</v>
      </c>
      <c r="D372" s="14" t="str">
        <f t="shared" si="1"/>
        <v/>
      </c>
      <c r="F372" s="36"/>
      <c r="G372" s="14"/>
      <c r="H372" s="36"/>
      <c r="I372" s="14"/>
      <c r="J372" s="14"/>
      <c r="K372" s="14"/>
      <c r="L372" s="36"/>
      <c r="M372" s="14"/>
      <c r="N372" s="14"/>
      <c r="O372" s="14"/>
      <c r="P372" s="36"/>
      <c r="Q372" s="14"/>
      <c r="R372" s="14"/>
      <c r="S372" s="14"/>
      <c r="U372" s="36"/>
      <c r="V372" s="14"/>
      <c r="W372" s="14"/>
      <c r="X372" s="14"/>
    </row>
    <row r="373">
      <c r="A373" s="21">
        <f>Scores!A374</f>
        <v>363</v>
      </c>
      <c r="B373" s="14"/>
      <c r="C373" s="14">
        <v>175.0</v>
      </c>
      <c r="D373" s="14" t="str">
        <f t="shared" si="1"/>
        <v/>
      </c>
      <c r="F373" s="36"/>
      <c r="G373" s="14"/>
      <c r="H373" s="36"/>
      <c r="I373" s="14"/>
      <c r="J373" s="14"/>
      <c r="K373" s="14"/>
      <c r="L373" s="36"/>
      <c r="M373" s="14"/>
      <c r="N373" s="14"/>
      <c r="O373" s="14"/>
      <c r="P373" s="36"/>
      <c r="Q373" s="14"/>
      <c r="R373" s="14"/>
      <c r="S373" s="14"/>
      <c r="U373" s="36"/>
      <c r="V373" s="14"/>
      <c r="W373" s="14"/>
      <c r="X373" s="14"/>
    </row>
    <row r="374">
      <c r="A374" s="21">
        <f>Scores!A375</f>
        <v>364</v>
      </c>
      <c r="B374" s="14"/>
      <c r="C374" s="14">
        <v>133.0</v>
      </c>
      <c r="D374" s="14" t="str">
        <f t="shared" si="1"/>
        <v/>
      </c>
      <c r="F374" s="36"/>
      <c r="G374" s="14"/>
      <c r="H374" s="36"/>
      <c r="I374" s="14"/>
      <c r="J374" s="14"/>
      <c r="K374" s="14"/>
      <c r="L374" s="36"/>
      <c r="M374" s="14"/>
      <c r="N374" s="14"/>
      <c r="O374" s="14"/>
      <c r="P374" s="36"/>
      <c r="Q374" s="14"/>
      <c r="R374" s="14"/>
      <c r="S374" s="14"/>
      <c r="U374" s="36"/>
      <c r="V374" s="14"/>
      <c r="W374" s="14"/>
      <c r="X374" s="14"/>
    </row>
    <row r="375">
      <c r="A375" s="21">
        <f>Scores!A376</f>
        <v>365</v>
      </c>
      <c r="B375" s="14"/>
      <c r="C375" s="14">
        <v>111.0</v>
      </c>
      <c r="D375" s="14" t="str">
        <f t="shared" si="1"/>
        <v/>
      </c>
      <c r="F375" s="36"/>
      <c r="G375" s="14"/>
      <c r="H375" s="36"/>
      <c r="I375" s="14"/>
      <c r="J375" s="14"/>
      <c r="K375" s="14"/>
      <c r="L375" s="36"/>
      <c r="M375" s="14"/>
      <c r="N375" s="14"/>
      <c r="O375" s="14"/>
      <c r="P375" s="36"/>
      <c r="Q375" s="14"/>
      <c r="R375" s="14"/>
      <c r="S375" s="14"/>
      <c r="U375" s="36"/>
      <c r="V375" s="14"/>
      <c r="W375" s="14"/>
      <c r="X375" s="14"/>
    </row>
    <row r="376">
      <c r="A376" s="21">
        <f>Scores!A377</f>
        <v>366</v>
      </c>
      <c r="B376" s="14"/>
      <c r="C376" s="14">
        <v>301.0</v>
      </c>
      <c r="D376" s="14" t="str">
        <f t="shared" si="1"/>
        <v/>
      </c>
      <c r="F376" s="36"/>
      <c r="G376" s="14"/>
      <c r="H376" s="36"/>
      <c r="I376" s="14"/>
      <c r="J376" s="14"/>
      <c r="K376" s="14"/>
      <c r="L376" s="36"/>
      <c r="M376" s="14"/>
      <c r="N376" s="14"/>
      <c r="O376" s="14"/>
      <c r="P376" s="36"/>
      <c r="Q376" s="14"/>
      <c r="R376" s="14"/>
      <c r="S376" s="14"/>
      <c r="U376" s="36"/>
      <c r="V376" s="14"/>
      <c r="W376" s="14"/>
      <c r="X376" s="14"/>
    </row>
    <row r="377">
      <c r="A377" s="21">
        <f>Scores!A378</f>
        <v>367</v>
      </c>
      <c r="B377" s="14"/>
      <c r="C377" s="14">
        <v>126.0</v>
      </c>
      <c r="D377" s="14" t="str">
        <f t="shared" si="1"/>
        <v/>
      </c>
      <c r="F377" s="36"/>
      <c r="G377" s="14"/>
      <c r="H377" s="36"/>
      <c r="I377" s="14"/>
      <c r="J377" s="14"/>
      <c r="K377" s="14"/>
      <c r="L377" s="36"/>
      <c r="M377" s="14"/>
      <c r="N377" s="14"/>
      <c r="O377" s="14"/>
      <c r="P377" s="36"/>
      <c r="Q377" s="14"/>
      <c r="R377" s="14"/>
      <c r="S377" s="14"/>
      <c r="U377" s="36"/>
      <c r="V377" s="14"/>
      <c r="W377" s="14"/>
      <c r="X377" s="14"/>
    </row>
    <row r="378">
      <c r="A378" s="21">
        <f>Scores!A379</f>
        <v>368</v>
      </c>
      <c r="B378" s="14"/>
      <c r="C378" s="14">
        <v>129.0</v>
      </c>
      <c r="D378" s="14" t="str">
        <f t="shared" si="1"/>
        <v/>
      </c>
      <c r="F378" s="36"/>
      <c r="G378" s="14"/>
      <c r="H378" s="36"/>
      <c r="I378" s="14"/>
      <c r="J378" s="14"/>
      <c r="K378" s="14"/>
      <c r="L378" s="36"/>
      <c r="M378" s="14"/>
      <c r="N378" s="14"/>
      <c r="O378" s="14"/>
      <c r="P378" s="36"/>
      <c r="Q378" s="14"/>
      <c r="R378" s="14"/>
      <c r="S378" s="14"/>
      <c r="U378" s="36"/>
      <c r="V378" s="14"/>
      <c r="W378" s="14"/>
      <c r="X378" s="14"/>
    </row>
    <row r="379">
      <c r="A379" s="21">
        <f>Scores!A380</f>
        <v>369</v>
      </c>
      <c r="B379" s="14"/>
      <c r="C379" s="14">
        <v>109.0</v>
      </c>
      <c r="D379" s="14" t="str">
        <f t="shared" si="1"/>
        <v/>
      </c>
      <c r="F379" s="36"/>
      <c r="G379" s="14"/>
      <c r="H379" s="36"/>
      <c r="I379" s="14"/>
      <c r="J379" s="14"/>
      <c r="K379" s="14"/>
      <c r="L379" s="36"/>
      <c r="M379" s="14"/>
      <c r="N379" s="14"/>
      <c r="O379" s="14"/>
      <c r="P379" s="36"/>
      <c r="Q379" s="14"/>
      <c r="R379" s="14"/>
      <c r="S379" s="14"/>
      <c r="U379" s="36"/>
      <c r="V379" s="14"/>
      <c r="W379" s="14"/>
      <c r="X379" s="14"/>
    </row>
    <row r="380">
      <c r="A380" s="21">
        <f>Scores!A381</f>
        <v>370</v>
      </c>
      <c r="B380" s="14"/>
      <c r="C380" s="14">
        <v>159.0</v>
      </c>
      <c r="D380" s="14" t="str">
        <f t="shared" si="1"/>
        <v/>
      </c>
      <c r="F380" s="36"/>
      <c r="G380" s="14"/>
      <c r="H380" s="36"/>
      <c r="I380" s="14"/>
      <c r="J380" s="14"/>
      <c r="K380" s="14"/>
      <c r="L380" s="36"/>
      <c r="M380" s="14"/>
      <c r="N380" s="14"/>
      <c r="O380" s="14"/>
      <c r="P380" s="36"/>
      <c r="Q380" s="14"/>
      <c r="R380" s="14"/>
      <c r="S380" s="14"/>
      <c r="U380" s="36"/>
      <c r="V380" s="14"/>
      <c r="W380" s="14"/>
      <c r="X380" s="14"/>
    </row>
    <row r="381">
      <c r="A381" s="21">
        <f>Scores!A382</f>
        <v>371</v>
      </c>
      <c r="B381" s="14"/>
      <c r="C381" s="14">
        <v>102.0</v>
      </c>
      <c r="D381" s="14" t="str">
        <f t="shared" si="1"/>
        <v/>
      </c>
      <c r="F381" s="36"/>
      <c r="G381" s="14"/>
      <c r="H381" s="36"/>
      <c r="I381" s="14"/>
      <c r="J381" s="14"/>
      <c r="K381" s="14"/>
      <c r="L381" s="36"/>
      <c r="M381" s="14"/>
      <c r="N381" s="14"/>
      <c r="O381" s="14"/>
      <c r="P381" s="36"/>
      <c r="Q381" s="14"/>
      <c r="R381" s="14"/>
      <c r="S381" s="14"/>
      <c r="U381" s="36"/>
      <c r="V381" s="14"/>
      <c r="W381" s="14"/>
      <c r="X381" s="14"/>
    </row>
    <row r="382">
      <c r="A382" s="21">
        <f>Scores!A383</f>
        <v>372</v>
      </c>
      <c r="B382" s="14">
        <v>53.0</v>
      </c>
      <c r="C382" s="14">
        <v>47.0</v>
      </c>
      <c r="D382" s="14">
        <f t="shared" si="1"/>
        <v>6</v>
      </c>
      <c r="F382" s="36"/>
      <c r="G382" s="14"/>
      <c r="H382" s="36"/>
      <c r="I382" s="14"/>
      <c r="J382" s="14"/>
      <c r="K382" s="14"/>
      <c r="L382" s="36"/>
      <c r="M382" s="14"/>
      <c r="N382" s="14"/>
      <c r="O382" s="14"/>
      <c r="P382" s="36"/>
      <c r="Q382" s="14"/>
      <c r="R382" s="14"/>
      <c r="S382" s="14"/>
      <c r="U382" s="36"/>
      <c r="V382" s="14"/>
      <c r="W382" s="14"/>
      <c r="X382" s="14"/>
    </row>
    <row r="383">
      <c r="A383" s="21">
        <f>Scores!A384</f>
        <v>373</v>
      </c>
      <c r="B383" s="14">
        <v>47.0</v>
      </c>
      <c r="C383" s="14">
        <v>38.0</v>
      </c>
      <c r="D383" s="14">
        <f t="shared" si="1"/>
        <v>9</v>
      </c>
      <c r="F383" s="36"/>
      <c r="G383" s="14"/>
      <c r="H383" s="36"/>
      <c r="I383" s="14"/>
      <c r="J383" s="14"/>
      <c r="K383" s="14"/>
      <c r="L383" s="36"/>
      <c r="M383" s="14"/>
      <c r="N383" s="14"/>
      <c r="O383" s="14"/>
      <c r="P383" s="36"/>
      <c r="Q383" s="14"/>
      <c r="R383" s="14"/>
      <c r="S383" s="14"/>
      <c r="U383" s="36"/>
      <c r="V383" s="14"/>
      <c r="W383" s="14"/>
      <c r="X383" s="14"/>
    </row>
    <row r="384">
      <c r="A384" s="21">
        <f>Scores!A385</f>
        <v>374</v>
      </c>
      <c r="B384" s="14"/>
      <c r="C384" s="14">
        <v>103.0</v>
      </c>
      <c r="D384" s="14" t="str">
        <f t="shared" si="1"/>
        <v/>
      </c>
      <c r="F384" s="36"/>
      <c r="G384" s="14"/>
      <c r="H384" s="36"/>
      <c r="I384" s="14"/>
      <c r="J384" s="14"/>
      <c r="K384" s="14"/>
      <c r="L384" s="36"/>
      <c r="M384" s="14"/>
      <c r="N384" s="14"/>
      <c r="O384" s="14"/>
      <c r="P384" s="36"/>
      <c r="Q384" s="14"/>
      <c r="R384" s="14"/>
      <c r="S384" s="14"/>
      <c r="U384" s="36"/>
      <c r="V384" s="14"/>
      <c r="W384" s="14"/>
      <c r="X384" s="14"/>
    </row>
    <row r="385">
      <c r="A385" s="21">
        <f>Scores!A386</f>
        <v>375</v>
      </c>
      <c r="B385" s="14">
        <v>64.0</v>
      </c>
      <c r="C385" s="14">
        <v>53.0</v>
      </c>
      <c r="D385" s="14">
        <f t="shared" si="1"/>
        <v>11</v>
      </c>
      <c r="F385" s="36"/>
      <c r="G385" s="14"/>
      <c r="H385" s="36"/>
      <c r="I385" s="14"/>
      <c r="J385" s="14"/>
      <c r="K385" s="14"/>
      <c r="L385" s="36"/>
      <c r="M385" s="14"/>
      <c r="N385" s="14"/>
      <c r="O385" s="14"/>
      <c r="P385" s="36"/>
      <c r="Q385" s="14"/>
      <c r="R385" s="14"/>
      <c r="S385" s="14"/>
      <c r="U385" s="36"/>
      <c r="V385" s="14"/>
      <c r="W385" s="14"/>
      <c r="X385" s="14"/>
    </row>
    <row r="386">
      <c r="A386" s="21">
        <f>Scores!A387</f>
        <v>376</v>
      </c>
      <c r="B386" s="14">
        <v>33.0</v>
      </c>
      <c r="C386" s="14">
        <v>30.0</v>
      </c>
      <c r="D386" s="14">
        <f t="shared" si="1"/>
        <v>3</v>
      </c>
      <c r="F386" s="36"/>
      <c r="G386" s="14"/>
      <c r="H386" s="36"/>
      <c r="I386" s="14"/>
      <c r="J386" s="14"/>
      <c r="K386" s="14"/>
      <c r="L386" s="36"/>
      <c r="M386" s="14"/>
      <c r="N386" s="14"/>
      <c r="O386" s="14"/>
      <c r="P386" s="36"/>
      <c r="Q386" s="14"/>
      <c r="R386" s="14"/>
      <c r="S386" s="14"/>
      <c r="U386" s="36"/>
      <c r="V386" s="14"/>
      <c r="W386" s="14"/>
      <c r="X386" s="14"/>
    </row>
    <row r="387">
      <c r="A387" s="21">
        <f>Scores!A388</f>
        <v>377</v>
      </c>
      <c r="B387" s="14"/>
      <c r="C387" s="14">
        <v>55.0</v>
      </c>
      <c r="D387" s="14" t="str">
        <f t="shared" si="1"/>
        <v/>
      </c>
      <c r="F387" s="36"/>
      <c r="G387" s="14"/>
      <c r="H387" s="36"/>
      <c r="I387" s="14"/>
      <c r="J387" s="14"/>
      <c r="K387" s="14"/>
      <c r="L387" s="36"/>
      <c r="M387" s="14"/>
      <c r="N387" s="14"/>
      <c r="O387" s="14"/>
      <c r="P387" s="36"/>
      <c r="Q387" s="14"/>
      <c r="R387" s="14"/>
      <c r="S387" s="14"/>
      <c r="U387" s="36"/>
      <c r="V387" s="14"/>
      <c r="W387" s="14"/>
      <c r="X387" s="14"/>
    </row>
    <row r="388">
      <c r="A388" s="21">
        <f>Scores!A389</f>
        <v>378</v>
      </c>
      <c r="B388" s="14"/>
      <c r="C388" s="14">
        <v>131.0</v>
      </c>
      <c r="D388" s="14" t="str">
        <f t="shared" si="1"/>
        <v/>
      </c>
      <c r="F388" s="36"/>
      <c r="G388" s="14"/>
      <c r="H388" s="36"/>
      <c r="I388" s="14"/>
      <c r="J388" s="14"/>
      <c r="K388" s="14"/>
      <c r="L388" s="36"/>
      <c r="M388" s="14"/>
      <c r="N388" s="14"/>
      <c r="O388" s="14"/>
      <c r="P388" s="36"/>
      <c r="Q388" s="14"/>
      <c r="R388" s="14"/>
      <c r="S388" s="14"/>
      <c r="U388" s="36"/>
      <c r="V388" s="14"/>
      <c r="W388" s="14"/>
      <c r="X388" s="14"/>
    </row>
    <row r="389">
      <c r="A389" s="21">
        <f>Scores!A390</f>
        <v>379</v>
      </c>
      <c r="B389" s="14">
        <v>263.0</v>
      </c>
      <c r="C389" s="14">
        <v>135.0</v>
      </c>
      <c r="D389" s="14">
        <f t="shared" si="1"/>
        <v>128</v>
      </c>
      <c r="F389" s="36"/>
      <c r="G389" s="14"/>
      <c r="H389" s="36"/>
      <c r="I389" s="14"/>
      <c r="J389" s="14"/>
      <c r="K389" s="14"/>
      <c r="L389" s="36"/>
      <c r="M389" s="14"/>
      <c r="N389" s="14"/>
      <c r="O389" s="14"/>
      <c r="P389" s="36"/>
      <c r="Q389" s="14"/>
      <c r="R389" s="14"/>
      <c r="S389" s="14"/>
      <c r="U389" s="36"/>
      <c r="V389" s="14"/>
      <c r="W389" s="14"/>
      <c r="X389" s="14"/>
    </row>
    <row r="390">
      <c r="A390" s="21">
        <f>Scores!A391</f>
        <v>380</v>
      </c>
      <c r="B390" s="14">
        <v>27.0</v>
      </c>
      <c r="C390" s="14">
        <v>27.0</v>
      </c>
      <c r="D390" s="14">
        <f t="shared" si="1"/>
        <v>0</v>
      </c>
      <c r="F390" s="36"/>
      <c r="G390" s="14"/>
      <c r="H390" s="36"/>
      <c r="I390" s="14"/>
      <c r="J390" s="14"/>
      <c r="K390" s="14"/>
      <c r="L390" s="36"/>
      <c r="M390" s="14"/>
      <c r="N390" s="14"/>
      <c r="O390" s="14"/>
      <c r="P390" s="36"/>
      <c r="Q390" s="14"/>
      <c r="R390" s="14"/>
      <c r="S390" s="14"/>
      <c r="U390" s="36"/>
      <c r="V390" s="14"/>
      <c r="W390" s="14"/>
      <c r="X390" s="14"/>
    </row>
    <row r="391">
      <c r="A391" s="21">
        <f>Scores!A392</f>
        <v>381</v>
      </c>
      <c r="B391" s="14"/>
      <c r="C391" s="14">
        <v>79.0</v>
      </c>
      <c r="D391" s="14" t="str">
        <f t="shared" si="1"/>
        <v/>
      </c>
      <c r="F391" s="36"/>
      <c r="G391" s="14"/>
      <c r="H391" s="36"/>
      <c r="I391" s="14"/>
      <c r="J391" s="14"/>
      <c r="K391" s="14"/>
      <c r="L391" s="36"/>
      <c r="M391" s="14"/>
      <c r="N391" s="14"/>
      <c r="O391" s="14"/>
      <c r="P391" s="36"/>
      <c r="Q391" s="14"/>
      <c r="R391" s="14"/>
      <c r="S391" s="14"/>
      <c r="U391" s="36"/>
      <c r="V391" s="14"/>
      <c r="W391" s="14"/>
      <c r="X391" s="14"/>
    </row>
    <row r="392">
      <c r="A392" s="21">
        <f>Scores!A393</f>
        <v>382</v>
      </c>
      <c r="B392" s="14"/>
      <c r="C392" s="14">
        <v>124.0</v>
      </c>
      <c r="D392" s="14" t="str">
        <f t="shared" si="1"/>
        <v/>
      </c>
      <c r="F392" s="36"/>
      <c r="G392" s="14"/>
      <c r="H392" s="36"/>
      <c r="I392" s="14"/>
      <c r="J392" s="14"/>
      <c r="K392" s="14"/>
      <c r="L392" s="36"/>
      <c r="M392" s="14"/>
      <c r="N392" s="14"/>
      <c r="O392" s="14"/>
      <c r="P392" s="36"/>
      <c r="Q392" s="14"/>
      <c r="R392" s="14"/>
      <c r="S392" s="14"/>
      <c r="U392" s="36"/>
      <c r="V392" s="14"/>
      <c r="W392" s="14"/>
      <c r="X392" s="14"/>
    </row>
    <row r="393">
      <c r="A393" s="21">
        <f>Scores!A394</f>
        <v>383</v>
      </c>
      <c r="B393" s="14"/>
      <c r="C393" s="14">
        <v>120.0</v>
      </c>
      <c r="D393" s="14" t="str">
        <f t="shared" si="1"/>
        <v/>
      </c>
      <c r="F393" s="36"/>
      <c r="G393" s="14"/>
      <c r="H393" s="36"/>
      <c r="I393" s="14"/>
      <c r="J393" s="14"/>
      <c r="K393" s="14"/>
      <c r="L393" s="36"/>
      <c r="M393" s="14"/>
      <c r="N393" s="14"/>
      <c r="O393" s="14"/>
      <c r="P393" s="36"/>
      <c r="Q393" s="14"/>
      <c r="R393" s="14"/>
      <c r="S393" s="14"/>
      <c r="U393" s="36"/>
      <c r="V393" s="14"/>
      <c r="W393" s="14"/>
      <c r="X393" s="14"/>
    </row>
    <row r="394">
      <c r="A394" s="21">
        <f>Scores!A395</f>
        <v>384</v>
      </c>
      <c r="B394" s="14"/>
      <c r="C394" s="14">
        <v>61.0</v>
      </c>
      <c r="D394" s="14" t="str">
        <f t="shared" si="1"/>
        <v/>
      </c>
      <c r="F394" s="36"/>
      <c r="G394" s="14"/>
      <c r="H394" s="36"/>
      <c r="I394" s="14"/>
      <c r="J394" s="14"/>
      <c r="K394" s="14"/>
      <c r="L394" s="36"/>
      <c r="M394" s="14"/>
      <c r="N394" s="14"/>
      <c r="O394" s="14"/>
      <c r="P394" s="36"/>
      <c r="Q394" s="14"/>
      <c r="R394" s="14"/>
      <c r="S394" s="14"/>
      <c r="U394" s="36"/>
      <c r="V394" s="14"/>
      <c r="W394" s="14"/>
      <c r="X394" s="14"/>
    </row>
    <row r="395">
      <c r="A395" s="21">
        <f>Scores!A396</f>
        <v>385</v>
      </c>
      <c r="B395" s="14">
        <v>25.0</v>
      </c>
      <c r="C395" s="14">
        <v>25.0</v>
      </c>
      <c r="D395" s="14">
        <f t="shared" si="1"/>
        <v>0</v>
      </c>
      <c r="F395" s="36"/>
      <c r="G395" s="14"/>
      <c r="H395" s="36"/>
      <c r="I395" s="14"/>
      <c r="J395" s="14"/>
      <c r="K395" s="14"/>
      <c r="L395" s="36"/>
      <c r="M395" s="14"/>
      <c r="N395" s="14"/>
      <c r="O395" s="14"/>
      <c r="P395" s="36"/>
      <c r="Q395" s="14"/>
      <c r="R395" s="14"/>
      <c r="S395" s="14"/>
      <c r="U395" s="36"/>
      <c r="V395" s="14"/>
      <c r="W395" s="14"/>
      <c r="X395" s="14"/>
    </row>
    <row r="396">
      <c r="A396" s="21">
        <f>Scores!A397</f>
        <v>386</v>
      </c>
      <c r="B396" s="14">
        <v>56.0</v>
      </c>
      <c r="C396" s="14">
        <v>50.0</v>
      </c>
      <c r="D396" s="14">
        <f t="shared" si="1"/>
        <v>6</v>
      </c>
      <c r="F396" s="36"/>
      <c r="G396" s="14"/>
      <c r="H396" s="36"/>
      <c r="I396" s="14"/>
      <c r="J396" s="14"/>
      <c r="K396" s="14"/>
      <c r="L396" s="36"/>
      <c r="M396" s="14"/>
      <c r="N396" s="14"/>
      <c r="O396" s="14"/>
      <c r="P396" s="36"/>
      <c r="Q396" s="14"/>
      <c r="R396" s="14"/>
      <c r="S396" s="14"/>
      <c r="U396" s="36"/>
      <c r="V396" s="14"/>
      <c r="W396" s="14"/>
      <c r="X396" s="14"/>
    </row>
    <row r="397">
      <c r="A397" s="21">
        <f>Scores!A398</f>
        <v>387</v>
      </c>
      <c r="B397" s="14"/>
      <c r="C397" s="14">
        <v>192.0</v>
      </c>
      <c r="D397" s="14" t="str">
        <f t="shared" si="1"/>
        <v/>
      </c>
      <c r="F397" s="36"/>
      <c r="G397" s="14"/>
      <c r="H397" s="36"/>
      <c r="I397" s="14"/>
      <c r="J397" s="14"/>
      <c r="K397" s="14"/>
      <c r="L397" s="36"/>
      <c r="M397" s="14"/>
      <c r="N397" s="14"/>
      <c r="O397" s="14"/>
      <c r="P397" s="36"/>
      <c r="Q397" s="14"/>
      <c r="R397" s="14"/>
      <c r="S397" s="14"/>
      <c r="U397" s="36"/>
      <c r="V397" s="14"/>
      <c r="W397" s="14"/>
      <c r="X397" s="14"/>
    </row>
    <row r="398">
      <c r="A398" s="21">
        <f>Scores!A399</f>
        <v>388</v>
      </c>
      <c r="B398" s="14">
        <v>78.0</v>
      </c>
      <c r="C398" s="14">
        <v>61.0</v>
      </c>
      <c r="D398" s="14">
        <f t="shared" si="1"/>
        <v>17</v>
      </c>
      <c r="F398" s="36"/>
      <c r="G398" s="14"/>
      <c r="H398" s="36"/>
      <c r="I398" s="14"/>
      <c r="J398" s="14"/>
      <c r="K398" s="14"/>
      <c r="L398" s="36"/>
      <c r="M398" s="14"/>
      <c r="N398" s="14"/>
      <c r="O398" s="14"/>
      <c r="P398" s="36"/>
      <c r="Q398" s="14"/>
      <c r="R398" s="14"/>
      <c r="S398" s="14"/>
      <c r="U398" s="36"/>
      <c r="V398" s="14"/>
      <c r="W398" s="14"/>
      <c r="X398" s="14"/>
    </row>
    <row r="399">
      <c r="A399" s="21">
        <f>Scores!A400</f>
        <v>389</v>
      </c>
      <c r="B399" s="14">
        <v>64.0</v>
      </c>
      <c r="C399" s="14">
        <v>57.0</v>
      </c>
      <c r="D399" s="14">
        <f t="shared" si="1"/>
        <v>7</v>
      </c>
      <c r="F399" s="36"/>
      <c r="G399" s="14"/>
      <c r="H399" s="36"/>
      <c r="I399" s="14"/>
      <c r="J399" s="14"/>
      <c r="K399" s="14"/>
      <c r="L399" s="36"/>
      <c r="M399" s="14"/>
      <c r="N399" s="14"/>
      <c r="O399" s="14"/>
      <c r="P399" s="36"/>
      <c r="Q399" s="14"/>
      <c r="R399" s="14"/>
      <c r="S399" s="14"/>
      <c r="U399" s="36"/>
      <c r="V399" s="14"/>
      <c r="W399" s="14"/>
      <c r="X399" s="14"/>
    </row>
    <row r="400">
      <c r="A400" s="21">
        <f>Scores!A401</f>
        <v>390</v>
      </c>
      <c r="B400" s="14"/>
      <c r="C400" s="14">
        <v>98.0</v>
      </c>
      <c r="D400" s="14" t="str">
        <f t="shared" si="1"/>
        <v/>
      </c>
      <c r="F400" s="36"/>
      <c r="G400" s="14"/>
      <c r="H400" s="36"/>
      <c r="I400" s="14"/>
      <c r="J400" s="14"/>
      <c r="K400" s="14"/>
      <c r="L400" s="36"/>
      <c r="M400" s="14"/>
      <c r="N400" s="14"/>
      <c r="O400" s="14"/>
      <c r="P400" s="36"/>
      <c r="Q400" s="14"/>
      <c r="R400" s="14"/>
      <c r="S400" s="14"/>
      <c r="U400" s="36"/>
      <c r="V400" s="14"/>
      <c r="W400" s="14"/>
      <c r="X400" s="14"/>
    </row>
    <row r="401">
      <c r="A401" s="21">
        <f>Scores!A402</f>
        <v>391</v>
      </c>
      <c r="B401" s="14">
        <v>74.0</v>
      </c>
      <c r="C401" s="14">
        <v>63.0</v>
      </c>
      <c r="D401" s="14">
        <f t="shared" si="1"/>
        <v>11</v>
      </c>
      <c r="F401" s="36"/>
      <c r="G401" s="14"/>
      <c r="H401" s="36"/>
      <c r="I401" s="14"/>
      <c r="J401" s="14"/>
      <c r="K401" s="14"/>
      <c r="L401" s="36"/>
      <c r="M401" s="14"/>
      <c r="N401" s="14"/>
      <c r="O401" s="14"/>
      <c r="P401" s="36"/>
      <c r="Q401" s="14"/>
      <c r="R401" s="14"/>
      <c r="S401" s="14"/>
      <c r="U401" s="36"/>
      <c r="V401" s="14"/>
      <c r="W401" s="14"/>
      <c r="X401" s="14"/>
    </row>
    <row r="402">
      <c r="A402" s="21">
        <f>Scores!A403</f>
        <v>392</v>
      </c>
      <c r="B402" s="14"/>
      <c r="C402" s="14">
        <v>135.0</v>
      </c>
      <c r="D402" s="14" t="str">
        <f t="shared" si="1"/>
        <v/>
      </c>
      <c r="F402" s="36"/>
      <c r="G402" s="14"/>
      <c r="H402" s="36"/>
      <c r="I402" s="14"/>
      <c r="J402" s="14"/>
      <c r="K402" s="14"/>
      <c r="L402" s="36"/>
      <c r="M402" s="14"/>
      <c r="N402" s="14"/>
      <c r="O402" s="14"/>
      <c r="P402" s="36"/>
      <c r="Q402" s="14"/>
      <c r="R402" s="14"/>
      <c r="S402" s="14"/>
      <c r="U402" s="36"/>
      <c r="V402" s="14"/>
      <c r="W402" s="14"/>
      <c r="X402" s="14"/>
    </row>
    <row r="403">
      <c r="A403" s="21">
        <f>Scores!A404</f>
        <v>393</v>
      </c>
      <c r="B403" s="14">
        <v>76.0</v>
      </c>
      <c r="C403" s="14">
        <v>63.0</v>
      </c>
      <c r="D403" s="14">
        <f t="shared" si="1"/>
        <v>13</v>
      </c>
      <c r="F403" s="36"/>
      <c r="G403" s="14"/>
      <c r="H403" s="36"/>
      <c r="I403" s="14"/>
      <c r="J403" s="14"/>
      <c r="K403" s="14"/>
      <c r="L403" s="36"/>
      <c r="M403" s="14"/>
      <c r="N403" s="14"/>
      <c r="O403" s="14"/>
      <c r="P403" s="36"/>
      <c r="Q403" s="14"/>
      <c r="R403" s="14"/>
      <c r="S403" s="14"/>
      <c r="U403" s="36"/>
      <c r="V403" s="14"/>
      <c r="W403" s="14"/>
      <c r="X403" s="14"/>
    </row>
    <row r="404">
      <c r="A404" s="21">
        <f>Scores!A405</f>
        <v>394</v>
      </c>
      <c r="B404" s="14"/>
      <c r="C404" s="14">
        <v>85.0</v>
      </c>
      <c r="D404" s="14" t="str">
        <f t="shared" si="1"/>
        <v/>
      </c>
      <c r="F404" s="36"/>
      <c r="G404" s="14"/>
      <c r="H404" s="36"/>
      <c r="I404" s="14"/>
      <c r="J404" s="14"/>
      <c r="K404" s="14"/>
      <c r="L404" s="36"/>
      <c r="M404" s="14"/>
      <c r="N404" s="14"/>
      <c r="O404" s="14"/>
      <c r="P404" s="36"/>
      <c r="Q404" s="14"/>
      <c r="R404" s="14"/>
      <c r="S404" s="14"/>
      <c r="U404" s="36"/>
      <c r="V404" s="14"/>
      <c r="W404" s="14"/>
      <c r="X404" s="14"/>
    </row>
    <row r="405">
      <c r="A405" s="21">
        <f>Scores!A406</f>
        <v>395</v>
      </c>
      <c r="B405" s="14">
        <v>63.0</v>
      </c>
      <c r="C405" s="14">
        <v>53.0</v>
      </c>
      <c r="D405" s="14">
        <f t="shared" si="1"/>
        <v>10</v>
      </c>
      <c r="F405" s="36"/>
      <c r="G405" s="14"/>
      <c r="H405" s="36"/>
      <c r="I405" s="14"/>
      <c r="J405" s="14"/>
      <c r="K405" s="14"/>
      <c r="L405" s="36"/>
      <c r="M405" s="14"/>
      <c r="N405" s="14"/>
      <c r="O405" s="14"/>
      <c r="P405" s="36"/>
      <c r="Q405" s="14"/>
      <c r="R405" s="14"/>
      <c r="S405" s="14"/>
      <c r="U405" s="36"/>
      <c r="V405" s="14"/>
      <c r="W405" s="14"/>
      <c r="X405" s="14"/>
    </row>
    <row r="406">
      <c r="A406" s="21">
        <f>Scores!A407</f>
        <v>396</v>
      </c>
      <c r="B406" s="14"/>
      <c r="C406" s="14">
        <v>139.0</v>
      </c>
      <c r="D406" s="14" t="str">
        <f t="shared" si="1"/>
        <v/>
      </c>
      <c r="F406" s="36"/>
      <c r="G406" s="14"/>
      <c r="H406" s="36"/>
      <c r="I406" s="14"/>
      <c r="J406" s="14"/>
      <c r="K406" s="14"/>
      <c r="L406" s="36"/>
      <c r="M406" s="14"/>
      <c r="N406" s="14"/>
      <c r="O406" s="14"/>
      <c r="P406" s="36"/>
      <c r="Q406" s="14"/>
      <c r="R406" s="14"/>
      <c r="S406" s="14"/>
      <c r="U406" s="36"/>
      <c r="V406" s="14"/>
      <c r="W406" s="14"/>
      <c r="X406" s="14"/>
    </row>
    <row r="407">
      <c r="A407" s="21">
        <f>Scores!A408</f>
        <v>397</v>
      </c>
      <c r="B407" s="14"/>
      <c r="C407" s="14">
        <v>110.0</v>
      </c>
      <c r="D407" s="14" t="str">
        <f t="shared" si="1"/>
        <v/>
      </c>
      <c r="F407" s="36"/>
      <c r="G407" s="14"/>
      <c r="H407" s="36"/>
      <c r="I407" s="14"/>
      <c r="J407" s="14"/>
      <c r="K407" s="14"/>
      <c r="L407" s="36"/>
      <c r="M407" s="14"/>
      <c r="N407" s="14"/>
      <c r="O407" s="14"/>
      <c r="P407" s="36"/>
      <c r="Q407" s="14"/>
      <c r="R407" s="14"/>
      <c r="S407" s="14"/>
      <c r="U407" s="36"/>
      <c r="V407" s="14"/>
      <c r="W407" s="14"/>
      <c r="X407" s="14"/>
    </row>
    <row r="408">
      <c r="A408" s="21">
        <f>Scores!A409</f>
        <v>398</v>
      </c>
      <c r="B408" s="14">
        <v>83.0</v>
      </c>
      <c r="C408" s="14">
        <v>72.0</v>
      </c>
      <c r="D408" s="14">
        <f t="shared" si="1"/>
        <v>11</v>
      </c>
      <c r="F408" s="36"/>
      <c r="G408" s="14"/>
      <c r="H408" s="36"/>
      <c r="I408" s="14"/>
      <c r="J408" s="14"/>
      <c r="K408" s="14"/>
      <c r="L408" s="36"/>
      <c r="M408" s="14"/>
      <c r="N408" s="14"/>
      <c r="O408" s="14"/>
      <c r="P408" s="36"/>
      <c r="Q408" s="14"/>
      <c r="R408" s="14"/>
      <c r="S408" s="14"/>
      <c r="U408" s="36"/>
      <c r="V408" s="14"/>
      <c r="W408" s="14"/>
      <c r="X408" s="14"/>
    </row>
    <row r="409">
      <c r="A409" s="21">
        <f>Scores!A410</f>
        <v>399</v>
      </c>
      <c r="B409" s="14">
        <v>71.0</v>
      </c>
      <c r="C409" s="14">
        <v>62.0</v>
      </c>
      <c r="D409" s="14">
        <f t="shared" si="1"/>
        <v>9</v>
      </c>
      <c r="F409" s="36"/>
      <c r="G409" s="14"/>
      <c r="H409" s="36"/>
      <c r="I409" s="14"/>
      <c r="J409" s="14"/>
      <c r="K409" s="14"/>
      <c r="L409" s="36"/>
      <c r="M409" s="14"/>
      <c r="N409" s="14"/>
      <c r="O409" s="14"/>
      <c r="P409" s="36"/>
      <c r="Q409" s="14"/>
      <c r="R409" s="14"/>
      <c r="S409" s="14"/>
      <c r="U409" s="36"/>
      <c r="V409" s="14"/>
      <c r="W409" s="14"/>
      <c r="X409" s="14"/>
    </row>
    <row r="410">
      <c r="A410" s="21">
        <f>Scores!A411</f>
        <v>400</v>
      </c>
      <c r="B410" s="14">
        <v>82.0</v>
      </c>
      <c r="C410" s="14">
        <v>66.0</v>
      </c>
      <c r="D410" s="14">
        <f t="shared" si="1"/>
        <v>16</v>
      </c>
      <c r="F410" s="36"/>
      <c r="G410" s="14"/>
      <c r="H410" s="36"/>
      <c r="I410" s="14"/>
      <c r="J410" s="14"/>
      <c r="K410" s="14"/>
      <c r="L410" s="36"/>
      <c r="M410" s="14"/>
      <c r="N410" s="14"/>
      <c r="O410" s="14"/>
      <c r="P410" s="36"/>
      <c r="Q410" s="14"/>
      <c r="R410" s="14"/>
      <c r="S410" s="14"/>
      <c r="U410" s="36"/>
      <c r="V410" s="14"/>
      <c r="W410" s="14"/>
      <c r="X410" s="14"/>
    </row>
  </sheetData>
  <mergeCells count="1">
    <mergeCell ref="A2:B2"/>
  </mergeCells>
  <conditionalFormatting sqref="A2 P9 B11:D410 N11:N410">
    <cfRule type="expression" dxfId="0" priority="1">
      <formula>A2=INDIRECT("Compilation!$E"&amp;ROW()-2)</formula>
    </cfRule>
  </conditionalFormatting>
  <conditionalFormatting sqref="A2 P9 B11:D410 N11:N410">
    <cfRule type="expression" dxfId="1" priority="2">
      <formula>A2=INDIRECT("Compilation!$F"&amp;ROW()-2)</formula>
    </cfRule>
  </conditionalFormatting>
  <conditionalFormatting sqref="A2 P9 B11:D410 N11:N410">
    <cfRule type="expression" dxfId="2" priority="3">
      <formula>A2=INDIRECT("Compilation!$G"&amp;ROW()-2)</formula>
    </cfRule>
  </conditionalFormatting>
  <conditionalFormatting sqref="A2 P9 B11:D410 N11:N410">
    <cfRule type="expression" dxfId="3" priority="4">
      <formula>A2=INDIRECT("Compilation!$H"&amp;ROW()-2)</formula>
    </cfRule>
  </conditionalFormatting>
  <conditionalFormatting sqref="M11:M157 Q11:Q410">
    <cfRule type="notContainsBlanks" dxfId="1" priority="5">
      <formula>LEN(TRIM(M11))&gt;0</formula>
    </cfRule>
  </conditionalFormatting>
  <conditionalFormatting sqref="I11:I410">
    <cfRule type="notContainsBlanks" dxfId="0" priority="6">
      <formula>LEN(TRIM(I11))&gt;0</formula>
    </cfRule>
  </conditionalFormatting>
  <conditionalFormatting sqref="M9">
    <cfRule type="notContainsBlanks" dxfId="0" priority="7">
      <formula>LEN(TRIM(M9))&gt;0</formula>
    </cfRule>
  </conditionalFormatting>
  <dataValidations>
    <dataValidation type="list" allowBlank="1" showErrorMessage="1" sqref="Q9">
      <formula1>"task,length,golds,diff"</formula1>
    </dataValidation>
    <dataValidation type="list" allowBlank="1" showErrorMessage="1" sqref="A2">
      <formula1>Scores!$B$1:AA$1</formula1>
    </dataValidation>
    <dataValidation type="list" allowBlank="1" showErrorMessage="1" sqref="R9">
      <formula1>"1,2,3,4,5,6,7,8,9,10"</formula1>
    </dataValidation>
  </dataValidations>
  <hyperlinks>
    <hyperlink r:id="rId1" ref="F12"/>
    <hyperlink r:id="rId2" ref="L12"/>
    <hyperlink r:id="rId3" ref="P12"/>
    <hyperlink r:id="rId4" ref="U12"/>
    <hyperlink r:id="rId5" ref="F13"/>
    <hyperlink r:id="rId6" ref="L13"/>
    <hyperlink r:id="rId7" ref="P13"/>
    <hyperlink r:id="rId8" ref="U13"/>
    <hyperlink r:id="rId9" ref="F14"/>
    <hyperlink r:id="rId10" ref="L14"/>
    <hyperlink r:id="rId11" ref="P14"/>
    <hyperlink r:id="rId12" ref="U14"/>
    <hyperlink r:id="rId13" ref="F15"/>
    <hyperlink r:id="rId14" ref="L15"/>
    <hyperlink r:id="rId15" ref="P15"/>
    <hyperlink r:id="rId16" ref="U15"/>
    <hyperlink r:id="rId17" ref="F16"/>
    <hyperlink r:id="rId18" ref="L16"/>
    <hyperlink r:id="rId19" ref="P16"/>
    <hyperlink r:id="rId20" ref="U16"/>
    <hyperlink r:id="rId21" ref="F17"/>
    <hyperlink r:id="rId22" ref="L17"/>
    <hyperlink r:id="rId23" ref="P17"/>
    <hyperlink r:id="rId24" ref="U17"/>
    <hyperlink r:id="rId25" ref="F18"/>
    <hyperlink r:id="rId26" ref="L18"/>
    <hyperlink r:id="rId27" ref="P18"/>
    <hyperlink r:id="rId28" ref="U18"/>
    <hyperlink r:id="rId29" ref="F19"/>
    <hyperlink r:id="rId30" ref="L19"/>
    <hyperlink r:id="rId31" ref="P19"/>
    <hyperlink r:id="rId32" ref="U19"/>
    <hyperlink r:id="rId33" ref="F20"/>
    <hyperlink r:id="rId34" ref="L20"/>
    <hyperlink r:id="rId35" ref="P20"/>
    <hyperlink r:id="rId36" ref="U20"/>
    <hyperlink r:id="rId37" ref="F21"/>
    <hyperlink r:id="rId38" ref="L21"/>
    <hyperlink r:id="rId39" ref="P21"/>
    <hyperlink r:id="rId40" ref="U21"/>
    <hyperlink r:id="rId41" ref="F22"/>
    <hyperlink r:id="rId42" ref="L22"/>
    <hyperlink r:id="rId43" ref="P22"/>
    <hyperlink r:id="rId44" ref="U22"/>
    <hyperlink r:id="rId45" ref="F23"/>
    <hyperlink r:id="rId46" ref="L23"/>
    <hyperlink r:id="rId47" ref="P23"/>
    <hyperlink r:id="rId48" ref="U23"/>
    <hyperlink r:id="rId49" ref="F24"/>
    <hyperlink r:id="rId50" ref="L24"/>
    <hyperlink r:id="rId51" ref="P24"/>
    <hyperlink r:id="rId52" ref="U24"/>
    <hyperlink r:id="rId53" ref="F25"/>
    <hyperlink r:id="rId54" ref="L25"/>
    <hyperlink r:id="rId55" ref="P25"/>
    <hyperlink r:id="rId56" ref="U25"/>
    <hyperlink r:id="rId57" ref="F26"/>
    <hyperlink r:id="rId58" ref="L26"/>
    <hyperlink r:id="rId59" ref="P26"/>
    <hyperlink r:id="rId60" ref="U26"/>
    <hyperlink r:id="rId61" ref="F27"/>
    <hyperlink r:id="rId62" ref="L27"/>
    <hyperlink r:id="rId63" ref="P27"/>
    <hyperlink r:id="rId64" ref="U27"/>
    <hyperlink r:id="rId65" ref="F28"/>
    <hyperlink r:id="rId66" ref="L28"/>
    <hyperlink r:id="rId67" ref="P28"/>
    <hyperlink r:id="rId68" ref="U28"/>
    <hyperlink r:id="rId69" ref="F29"/>
    <hyperlink r:id="rId70" ref="L29"/>
    <hyperlink r:id="rId71" ref="P29"/>
    <hyperlink r:id="rId72" ref="U29"/>
    <hyperlink r:id="rId73" ref="F30"/>
    <hyperlink r:id="rId74" ref="L30"/>
    <hyperlink r:id="rId75" ref="P30"/>
    <hyperlink r:id="rId76" ref="U30"/>
    <hyperlink r:id="rId77" ref="F31"/>
    <hyperlink r:id="rId78" ref="L31"/>
    <hyperlink r:id="rId79" ref="P31"/>
    <hyperlink r:id="rId80" ref="U31"/>
    <hyperlink r:id="rId81" ref="F32"/>
    <hyperlink r:id="rId82" ref="L32"/>
    <hyperlink r:id="rId83" ref="P32"/>
    <hyperlink r:id="rId84" ref="U32"/>
    <hyperlink r:id="rId85" ref="F33"/>
    <hyperlink r:id="rId86" ref="L33"/>
    <hyperlink r:id="rId87" ref="P33"/>
    <hyperlink r:id="rId88" ref="U33"/>
    <hyperlink r:id="rId89" ref="F34"/>
    <hyperlink r:id="rId90" ref="L34"/>
    <hyperlink r:id="rId91" ref="P34"/>
    <hyperlink r:id="rId92" ref="U34"/>
    <hyperlink r:id="rId93" ref="F35"/>
    <hyperlink r:id="rId94" ref="P35"/>
    <hyperlink r:id="rId95" ref="U35"/>
    <hyperlink r:id="rId96" ref="F36"/>
    <hyperlink r:id="rId97" ref="P36"/>
    <hyperlink r:id="rId98" ref="U36"/>
    <hyperlink r:id="rId99" ref="F37"/>
    <hyperlink r:id="rId100" ref="P37"/>
    <hyperlink r:id="rId101" ref="U37"/>
    <hyperlink r:id="rId102" ref="F38"/>
    <hyperlink r:id="rId103" ref="P38"/>
    <hyperlink r:id="rId104" ref="U38"/>
    <hyperlink r:id="rId105" ref="F39"/>
    <hyperlink r:id="rId106" ref="P39"/>
    <hyperlink r:id="rId107" ref="U39"/>
    <hyperlink r:id="rId108" ref="F40"/>
    <hyperlink r:id="rId109" ref="P40"/>
    <hyperlink r:id="rId110" ref="U40"/>
    <hyperlink r:id="rId111" ref="F41"/>
    <hyperlink r:id="rId112" ref="P41"/>
    <hyperlink r:id="rId113" ref="U41"/>
    <hyperlink r:id="rId114" ref="F42"/>
    <hyperlink r:id="rId115" ref="P42"/>
    <hyperlink r:id="rId116" ref="U42"/>
    <hyperlink r:id="rId117" ref="F43"/>
    <hyperlink r:id="rId118" ref="P43"/>
    <hyperlink r:id="rId119" ref="U43"/>
    <hyperlink r:id="rId120" ref="F44"/>
    <hyperlink r:id="rId121" ref="P44"/>
    <hyperlink r:id="rId122" ref="U44"/>
    <hyperlink r:id="rId123" ref="F45"/>
    <hyperlink r:id="rId124" ref="P45"/>
    <hyperlink r:id="rId125" ref="U45"/>
    <hyperlink r:id="rId126" ref="F46"/>
    <hyperlink r:id="rId127" ref="P46"/>
    <hyperlink r:id="rId128" ref="U46"/>
    <hyperlink r:id="rId129" ref="F47"/>
    <hyperlink r:id="rId130" ref="P47"/>
    <hyperlink r:id="rId131" ref="U47"/>
    <hyperlink r:id="rId132" ref="F48"/>
    <hyperlink r:id="rId133" ref="P48"/>
    <hyperlink r:id="rId134" ref="U48"/>
    <hyperlink r:id="rId135" ref="F49"/>
    <hyperlink r:id="rId136" ref="P49"/>
    <hyperlink r:id="rId137" ref="U49"/>
    <hyperlink r:id="rId138" ref="F50"/>
    <hyperlink r:id="rId139" ref="P50"/>
    <hyperlink r:id="rId140" ref="U50"/>
    <hyperlink r:id="rId141" ref="F51"/>
    <hyperlink r:id="rId142" ref="P51"/>
    <hyperlink r:id="rId143" ref="U51"/>
    <hyperlink r:id="rId144" ref="F52"/>
    <hyperlink r:id="rId145" ref="P52"/>
    <hyperlink r:id="rId146" ref="U52"/>
    <hyperlink r:id="rId147" ref="F53"/>
    <hyperlink r:id="rId148" ref="P53"/>
    <hyperlink r:id="rId149" ref="U53"/>
    <hyperlink r:id="rId150" ref="F54"/>
    <hyperlink r:id="rId151" ref="P54"/>
    <hyperlink r:id="rId152" ref="U54"/>
    <hyperlink r:id="rId153" ref="F55"/>
    <hyperlink r:id="rId154" ref="P55"/>
    <hyperlink r:id="rId155" ref="U55"/>
    <hyperlink r:id="rId156" ref="F56"/>
    <hyperlink r:id="rId157" ref="P56"/>
    <hyperlink r:id="rId158" ref="U56"/>
    <hyperlink r:id="rId159" ref="F57"/>
    <hyperlink r:id="rId160" ref="P57"/>
    <hyperlink r:id="rId161" ref="U57"/>
    <hyperlink r:id="rId162" ref="F58"/>
    <hyperlink r:id="rId163" ref="P58"/>
    <hyperlink r:id="rId164" ref="U58"/>
    <hyperlink r:id="rId165" ref="F59"/>
    <hyperlink r:id="rId166" ref="P59"/>
    <hyperlink r:id="rId167" ref="U59"/>
    <hyperlink r:id="rId168" ref="F60"/>
    <hyperlink r:id="rId169" ref="P60"/>
    <hyperlink r:id="rId170" ref="U60"/>
    <hyperlink r:id="rId171" ref="F61"/>
    <hyperlink r:id="rId172" ref="P61"/>
    <hyperlink r:id="rId173" ref="U61"/>
    <hyperlink r:id="rId174" ref="F62"/>
    <hyperlink r:id="rId175" ref="P62"/>
    <hyperlink r:id="rId176" ref="U62"/>
    <hyperlink r:id="rId177" ref="F63"/>
    <hyperlink r:id="rId178" ref="P63"/>
    <hyperlink r:id="rId179" ref="U63"/>
    <hyperlink r:id="rId180" ref="F64"/>
    <hyperlink r:id="rId181" ref="P64"/>
    <hyperlink r:id="rId182" ref="U64"/>
    <hyperlink r:id="rId183" ref="F65"/>
    <hyperlink r:id="rId184" ref="P65"/>
    <hyperlink r:id="rId185" ref="U65"/>
    <hyperlink r:id="rId186" ref="F66"/>
    <hyperlink r:id="rId187" ref="P66"/>
    <hyperlink r:id="rId188" ref="U66"/>
    <hyperlink r:id="rId189" ref="F67"/>
    <hyperlink r:id="rId190" ref="P67"/>
    <hyperlink r:id="rId191" ref="U67"/>
    <hyperlink r:id="rId192" ref="F68"/>
    <hyperlink r:id="rId193" ref="P68"/>
    <hyperlink r:id="rId194" ref="U68"/>
    <hyperlink r:id="rId195" ref="F69"/>
    <hyperlink r:id="rId196" ref="P69"/>
    <hyperlink r:id="rId197" ref="U69"/>
    <hyperlink r:id="rId198" ref="F70"/>
    <hyperlink r:id="rId199" ref="P70"/>
    <hyperlink r:id="rId200" ref="U70"/>
    <hyperlink r:id="rId201" ref="F71"/>
    <hyperlink r:id="rId202" ref="P71"/>
    <hyperlink r:id="rId203" ref="U71"/>
    <hyperlink r:id="rId204" ref="F72"/>
    <hyperlink r:id="rId205" ref="P72"/>
    <hyperlink r:id="rId206" ref="U72"/>
    <hyperlink r:id="rId207" ref="F73"/>
    <hyperlink r:id="rId208" ref="P73"/>
    <hyperlink r:id="rId209" ref="U73"/>
    <hyperlink r:id="rId210" ref="F74"/>
    <hyperlink r:id="rId211" ref="P74"/>
    <hyperlink r:id="rId212" ref="U74"/>
    <hyperlink r:id="rId213" ref="F75"/>
    <hyperlink r:id="rId214" ref="P75"/>
    <hyperlink r:id="rId215" ref="U75"/>
    <hyperlink r:id="rId216" ref="F76"/>
    <hyperlink r:id="rId217" ref="P76"/>
    <hyperlink r:id="rId218" ref="U76"/>
    <hyperlink r:id="rId219" ref="F77"/>
    <hyperlink r:id="rId220" ref="P77"/>
    <hyperlink r:id="rId221" ref="U77"/>
    <hyperlink r:id="rId222" ref="F78"/>
    <hyperlink r:id="rId223" ref="P78"/>
    <hyperlink r:id="rId224" ref="U78"/>
    <hyperlink r:id="rId225" ref="F79"/>
    <hyperlink r:id="rId226" ref="P79"/>
    <hyperlink r:id="rId227" ref="U79"/>
    <hyperlink r:id="rId228" ref="F80"/>
    <hyperlink r:id="rId229" ref="P80"/>
    <hyperlink r:id="rId230" ref="U80"/>
    <hyperlink r:id="rId231" ref="F81"/>
    <hyperlink r:id="rId232" ref="P81"/>
    <hyperlink r:id="rId233" ref="U81"/>
    <hyperlink r:id="rId234" ref="F82"/>
    <hyperlink r:id="rId235" ref="P82"/>
    <hyperlink r:id="rId236" ref="U82"/>
    <hyperlink r:id="rId237" ref="F83"/>
    <hyperlink r:id="rId238" ref="P83"/>
    <hyperlink r:id="rId239" ref="U83"/>
    <hyperlink r:id="rId240" ref="F84"/>
    <hyperlink r:id="rId241" ref="P84"/>
    <hyperlink r:id="rId242" ref="U84"/>
    <hyperlink r:id="rId243" ref="F85"/>
    <hyperlink r:id="rId244" ref="P85"/>
    <hyperlink r:id="rId245" ref="U85"/>
    <hyperlink r:id="rId246" ref="F86"/>
    <hyperlink r:id="rId247" ref="P86"/>
    <hyperlink r:id="rId248" ref="U86"/>
    <hyperlink r:id="rId249" ref="F87"/>
    <hyperlink r:id="rId250" ref="P87"/>
    <hyperlink r:id="rId251" ref="U87"/>
    <hyperlink r:id="rId252" ref="F88"/>
    <hyperlink r:id="rId253" ref="P88"/>
    <hyperlink r:id="rId254" ref="U88"/>
    <hyperlink r:id="rId255" ref="F89"/>
    <hyperlink r:id="rId256" ref="P89"/>
    <hyperlink r:id="rId257" ref="U89"/>
    <hyperlink r:id="rId258" ref="F90"/>
    <hyperlink r:id="rId259" ref="P90"/>
    <hyperlink r:id="rId260" ref="U90"/>
    <hyperlink r:id="rId261" ref="F91"/>
    <hyperlink r:id="rId262" ref="P91"/>
    <hyperlink r:id="rId263" ref="U91"/>
    <hyperlink r:id="rId264" ref="F92"/>
    <hyperlink r:id="rId265" ref="P92"/>
    <hyperlink r:id="rId266" ref="U92"/>
    <hyperlink r:id="rId267" ref="F93"/>
    <hyperlink r:id="rId268" ref="P93"/>
    <hyperlink r:id="rId269" ref="U93"/>
    <hyperlink r:id="rId270" ref="F94"/>
    <hyperlink r:id="rId271" ref="P94"/>
    <hyperlink r:id="rId272" ref="U94"/>
    <hyperlink r:id="rId273" ref="F95"/>
    <hyperlink r:id="rId274" ref="P95"/>
    <hyperlink r:id="rId275" ref="U95"/>
    <hyperlink r:id="rId276" ref="F96"/>
    <hyperlink r:id="rId277" ref="P96"/>
    <hyperlink r:id="rId278" ref="U96"/>
    <hyperlink r:id="rId279" ref="F97"/>
    <hyperlink r:id="rId280" ref="P97"/>
    <hyperlink r:id="rId281" ref="U97"/>
    <hyperlink r:id="rId282" ref="F98"/>
    <hyperlink r:id="rId283" ref="P98"/>
    <hyperlink r:id="rId284" ref="U98"/>
    <hyperlink r:id="rId285" ref="F99"/>
    <hyperlink r:id="rId286" ref="P99"/>
    <hyperlink r:id="rId287" ref="U99"/>
    <hyperlink r:id="rId288" ref="F100"/>
    <hyperlink r:id="rId289" ref="P100"/>
    <hyperlink r:id="rId290" ref="U100"/>
    <hyperlink r:id="rId291" ref="F101"/>
    <hyperlink r:id="rId292" ref="P101"/>
    <hyperlink r:id="rId293" ref="U101"/>
    <hyperlink r:id="rId294" ref="F102"/>
    <hyperlink r:id="rId295" ref="P102"/>
    <hyperlink r:id="rId296" ref="U102"/>
    <hyperlink r:id="rId297" ref="F103"/>
    <hyperlink r:id="rId298" ref="P103"/>
    <hyperlink r:id="rId299" ref="U103"/>
    <hyperlink r:id="rId300" ref="F104"/>
    <hyperlink r:id="rId301" ref="P104"/>
    <hyperlink r:id="rId302" ref="U104"/>
    <hyperlink r:id="rId303" ref="F105"/>
    <hyperlink r:id="rId304" ref="P105"/>
    <hyperlink r:id="rId305" ref="U105"/>
    <hyperlink r:id="rId306" ref="F106"/>
    <hyperlink r:id="rId307" ref="P106"/>
    <hyperlink r:id="rId308" ref="U106"/>
    <hyperlink r:id="rId309" ref="F107"/>
    <hyperlink r:id="rId310" ref="P107"/>
    <hyperlink r:id="rId311" ref="U107"/>
    <hyperlink r:id="rId312" ref="F108"/>
    <hyperlink r:id="rId313" ref="P108"/>
    <hyperlink r:id="rId314" ref="U108"/>
    <hyperlink r:id="rId315" ref="F109"/>
    <hyperlink r:id="rId316" ref="P109"/>
    <hyperlink r:id="rId317" ref="U109"/>
    <hyperlink r:id="rId318" ref="F110"/>
    <hyperlink r:id="rId319" ref="P110"/>
    <hyperlink r:id="rId320" ref="U110"/>
    <hyperlink r:id="rId321" ref="F111"/>
    <hyperlink r:id="rId322" ref="P111"/>
    <hyperlink r:id="rId323" ref="U111"/>
    <hyperlink r:id="rId324" ref="F112"/>
    <hyperlink r:id="rId325" ref="P112"/>
    <hyperlink r:id="rId326" ref="U112"/>
    <hyperlink r:id="rId327" ref="F113"/>
    <hyperlink r:id="rId328" ref="P113"/>
    <hyperlink r:id="rId329" ref="U113"/>
    <hyperlink r:id="rId330" ref="F114"/>
    <hyperlink r:id="rId331" ref="P114"/>
    <hyperlink r:id="rId332" ref="U114"/>
    <hyperlink r:id="rId333" ref="F115"/>
    <hyperlink r:id="rId334" ref="P115"/>
    <hyperlink r:id="rId335" ref="U115"/>
    <hyperlink r:id="rId336" ref="F116"/>
    <hyperlink r:id="rId337" ref="P116"/>
    <hyperlink r:id="rId338" ref="U116"/>
    <hyperlink r:id="rId339" ref="F117"/>
    <hyperlink r:id="rId340" ref="P117"/>
    <hyperlink r:id="rId341" ref="U117"/>
    <hyperlink r:id="rId342" ref="F118"/>
    <hyperlink r:id="rId343" ref="P118"/>
    <hyperlink r:id="rId344" ref="U118"/>
    <hyperlink r:id="rId345" ref="F119"/>
    <hyperlink r:id="rId346" ref="P119"/>
    <hyperlink r:id="rId347" ref="U119"/>
    <hyperlink r:id="rId348" ref="F120"/>
    <hyperlink r:id="rId349" ref="P120"/>
    <hyperlink r:id="rId350" ref="U120"/>
    <hyperlink r:id="rId351" ref="F121"/>
    <hyperlink r:id="rId352" ref="P121"/>
    <hyperlink r:id="rId353" ref="U121"/>
    <hyperlink r:id="rId354" ref="F122"/>
    <hyperlink r:id="rId355" ref="P122"/>
    <hyperlink r:id="rId356" ref="U122"/>
    <hyperlink r:id="rId357" ref="F123"/>
    <hyperlink r:id="rId358" ref="P123"/>
    <hyperlink r:id="rId359" ref="U123"/>
    <hyperlink r:id="rId360" ref="F124"/>
    <hyperlink r:id="rId361" ref="P124"/>
    <hyperlink r:id="rId362" ref="U124"/>
    <hyperlink r:id="rId363" ref="F125"/>
    <hyperlink r:id="rId364" ref="P125"/>
    <hyperlink r:id="rId365" ref="U125"/>
    <hyperlink r:id="rId366" ref="F126"/>
    <hyperlink r:id="rId367" ref="P126"/>
    <hyperlink r:id="rId368" ref="U126"/>
    <hyperlink r:id="rId369" ref="F127"/>
    <hyperlink r:id="rId370" ref="P127"/>
    <hyperlink r:id="rId371" ref="U127"/>
    <hyperlink r:id="rId372" ref="F128"/>
    <hyperlink r:id="rId373" ref="P128"/>
    <hyperlink r:id="rId374" ref="U128"/>
    <hyperlink r:id="rId375" ref="F129"/>
    <hyperlink r:id="rId376" ref="P129"/>
    <hyperlink r:id="rId377" ref="U129"/>
    <hyperlink r:id="rId378" ref="F130"/>
    <hyperlink r:id="rId379" ref="P130"/>
    <hyperlink r:id="rId380" ref="U130"/>
    <hyperlink r:id="rId381" ref="F131"/>
    <hyperlink r:id="rId382" ref="P131"/>
    <hyperlink r:id="rId383" ref="U131"/>
    <hyperlink r:id="rId384" ref="F132"/>
    <hyperlink r:id="rId385" ref="P132"/>
    <hyperlink r:id="rId386" ref="U132"/>
    <hyperlink r:id="rId387" ref="F133"/>
    <hyperlink r:id="rId388" ref="P133"/>
    <hyperlink r:id="rId389" ref="U133"/>
    <hyperlink r:id="rId390" ref="F134"/>
    <hyperlink r:id="rId391" ref="P134"/>
    <hyperlink r:id="rId392" ref="U134"/>
    <hyperlink r:id="rId393" ref="F135"/>
    <hyperlink r:id="rId394" ref="P135"/>
    <hyperlink r:id="rId395" ref="U135"/>
    <hyperlink r:id="rId396" ref="F136"/>
    <hyperlink r:id="rId397" ref="P136"/>
    <hyperlink r:id="rId398" ref="U136"/>
    <hyperlink r:id="rId399" ref="F137"/>
    <hyperlink r:id="rId400" ref="P137"/>
    <hyperlink r:id="rId401" ref="U137"/>
    <hyperlink r:id="rId402" ref="F138"/>
    <hyperlink r:id="rId403" ref="P138"/>
    <hyperlink r:id="rId404" ref="U138"/>
    <hyperlink r:id="rId405" ref="F139"/>
    <hyperlink r:id="rId406" ref="P139"/>
    <hyperlink r:id="rId407" ref="U139"/>
    <hyperlink r:id="rId408" ref="F140"/>
    <hyperlink r:id="rId409" ref="P140"/>
    <hyperlink r:id="rId410" ref="U140"/>
    <hyperlink r:id="rId411" ref="F141"/>
    <hyperlink r:id="rId412" ref="P141"/>
    <hyperlink r:id="rId413" ref="U141"/>
    <hyperlink r:id="rId414" ref="F142"/>
    <hyperlink r:id="rId415" ref="P142"/>
    <hyperlink r:id="rId416" ref="U142"/>
    <hyperlink r:id="rId417" ref="F143"/>
    <hyperlink r:id="rId418" ref="P143"/>
    <hyperlink r:id="rId419" ref="U143"/>
    <hyperlink r:id="rId420" ref="F144"/>
    <hyperlink r:id="rId421" ref="P144"/>
    <hyperlink r:id="rId422" ref="U144"/>
    <hyperlink r:id="rId423" ref="F145"/>
    <hyperlink r:id="rId424" ref="P145"/>
    <hyperlink r:id="rId425" ref="U145"/>
    <hyperlink r:id="rId426" ref="F146"/>
    <hyperlink r:id="rId427" ref="P146"/>
    <hyperlink r:id="rId428" ref="U146"/>
    <hyperlink r:id="rId429" ref="F147"/>
    <hyperlink r:id="rId430" ref="P147"/>
    <hyperlink r:id="rId431" ref="U147"/>
    <hyperlink r:id="rId432" ref="F148"/>
    <hyperlink r:id="rId433" ref="P148"/>
    <hyperlink r:id="rId434" ref="U148"/>
    <hyperlink r:id="rId435" ref="F149"/>
    <hyperlink r:id="rId436" ref="P149"/>
    <hyperlink r:id="rId437" ref="U149"/>
    <hyperlink r:id="rId438" ref="F150"/>
    <hyperlink r:id="rId439" ref="P150"/>
    <hyperlink r:id="rId440" ref="U150"/>
    <hyperlink r:id="rId441" ref="F151"/>
    <hyperlink r:id="rId442" ref="P151"/>
    <hyperlink r:id="rId443" ref="U151"/>
    <hyperlink r:id="rId444" ref="F152"/>
    <hyperlink r:id="rId445" ref="P152"/>
    <hyperlink r:id="rId446" ref="U152"/>
    <hyperlink r:id="rId447" ref="F153"/>
    <hyperlink r:id="rId448" ref="P153"/>
    <hyperlink r:id="rId449" ref="U153"/>
    <hyperlink r:id="rId450" ref="F154"/>
    <hyperlink r:id="rId451" ref="P154"/>
    <hyperlink r:id="rId452" ref="U154"/>
    <hyperlink r:id="rId453" ref="F155"/>
    <hyperlink r:id="rId454" ref="P155"/>
    <hyperlink r:id="rId455" ref="U155"/>
    <hyperlink r:id="rId456" ref="F156"/>
    <hyperlink r:id="rId457" ref="U156"/>
    <hyperlink r:id="rId458" ref="F157"/>
    <hyperlink r:id="rId459" ref="U157"/>
    <hyperlink r:id="rId460" ref="F158"/>
    <hyperlink r:id="rId461" ref="U158"/>
    <hyperlink r:id="rId462" ref="F159"/>
    <hyperlink r:id="rId463" ref="U159"/>
    <hyperlink r:id="rId464" ref="F160"/>
    <hyperlink r:id="rId465" ref="U160"/>
    <hyperlink r:id="rId466" ref="F161"/>
    <hyperlink r:id="rId467" ref="U161"/>
    <hyperlink r:id="rId468" ref="F162"/>
    <hyperlink r:id="rId469" ref="U162"/>
    <hyperlink r:id="rId470" ref="F163"/>
    <hyperlink r:id="rId471" ref="U163"/>
    <hyperlink r:id="rId472" ref="F164"/>
    <hyperlink r:id="rId473" ref="U164"/>
    <hyperlink r:id="rId474" ref="F165"/>
    <hyperlink r:id="rId475" ref="U165"/>
    <hyperlink r:id="rId476" ref="F166"/>
    <hyperlink r:id="rId477" ref="U166"/>
    <hyperlink r:id="rId478" ref="F167"/>
    <hyperlink r:id="rId479" ref="U167"/>
    <hyperlink r:id="rId480" ref="F168"/>
    <hyperlink r:id="rId481" ref="U168"/>
    <hyperlink r:id="rId482" ref="F169"/>
    <hyperlink r:id="rId483" ref="U169"/>
    <hyperlink r:id="rId484" ref="F170"/>
    <hyperlink r:id="rId485" ref="U170"/>
    <hyperlink r:id="rId486" ref="F171"/>
    <hyperlink r:id="rId487" ref="U171"/>
    <hyperlink r:id="rId488" ref="F172"/>
    <hyperlink r:id="rId489" ref="U172"/>
    <hyperlink r:id="rId490" ref="F173"/>
    <hyperlink r:id="rId491" ref="U173"/>
    <hyperlink r:id="rId492" ref="F174"/>
    <hyperlink r:id="rId493" ref="U174"/>
    <hyperlink r:id="rId494" ref="F175"/>
    <hyperlink r:id="rId495" ref="U175"/>
    <hyperlink r:id="rId496" ref="F176"/>
    <hyperlink r:id="rId497" ref="U176"/>
    <hyperlink r:id="rId498" ref="F177"/>
    <hyperlink r:id="rId499" ref="U177"/>
    <hyperlink r:id="rId500" ref="F178"/>
    <hyperlink r:id="rId501" ref="U178"/>
    <hyperlink r:id="rId502" ref="F179"/>
    <hyperlink r:id="rId503" ref="U179"/>
    <hyperlink r:id="rId504" ref="F180"/>
    <hyperlink r:id="rId505" ref="U180"/>
    <hyperlink r:id="rId506" ref="F181"/>
    <hyperlink r:id="rId507" ref="U181"/>
    <hyperlink r:id="rId508" ref="F182"/>
    <hyperlink r:id="rId509" ref="U182"/>
    <hyperlink r:id="rId510" ref="F183"/>
    <hyperlink r:id="rId511" ref="U183"/>
    <hyperlink r:id="rId512" ref="F184"/>
    <hyperlink r:id="rId513" ref="U184"/>
    <hyperlink r:id="rId514" ref="F185"/>
    <hyperlink r:id="rId515" ref="U185"/>
    <hyperlink r:id="rId516" ref="F186"/>
    <hyperlink r:id="rId517" ref="U186"/>
    <hyperlink r:id="rId518" ref="F187"/>
    <hyperlink r:id="rId519" ref="U187"/>
    <hyperlink r:id="rId520" ref="F188"/>
    <hyperlink r:id="rId521" ref="U188"/>
    <hyperlink r:id="rId522" ref="F189"/>
    <hyperlink r:id="rId523" ref="U189"/>
    <hyperlink r:id="rId524" ref="F190"/>
    <hyperlink r:id="rId525" ref="U190"/>
    <hyperlink r:id="rId526" ref="F191"/>
    <hyperlink r:id="rId527" ref="F192"/>
    <hyperlink r:id="rId528" ref="F193"/>
    <hyperlink r:id="rId529" ref="F194"/>
    <hyperlink r:id="rId530" ref="F195"/>
    <hyperlink r:id="rId531" ref="F196"/>
    <hyperlink r:id="rId532" ref="F197"/>
    <hyperlink r:id="rId533" ref="F198"/>
    <hyperlink r:id="rId534" ref="F199"/>
    <hyperlink r:id="rId535" ref="F200"/>
    <hyperlink r:id="rId536" ref="F201"/>
    <hyperlink r:id="rId537" ref="F202"/>
    <hyperlink r:id="rId538" ref="F203"/>
    <hyperlink r:id="rId539" ref="F204"/>
    <hyperlink r:id="rId540" ref="F205"/>
    <hyperlink r:id="rId541" ref="F206"/>
    <hyperlink r:id="rId542" ref="F207"/>
    <hyperlink r:id="rId543" ref="F208"/>
    <hyperlink r:id="rId544" ref="F209"/>
    <hyperlink r:id="rId545" ref="F210"/>
    <hyperlink r:id="rId546" ref="F211"/>
    <hyperlink r:id="rId547" ref="F212"/>
    <hyperlink r:id="rId548" ref="F213"/>
    <hyperlink r:id="rId549" ref="F214"/>
    <hyperlink r:id="rId550" ref="F215"/>
    <hyperlink r:id="rId551" ref="F216"/>
    <hyperlink r:id="rId552" ref="F217"/>
    <hyperlink r:id="rId553" ref="F218"/>
    <hyperlink r:id="rId554" ref="F219"/>
    <hyperlink r:id="rId555" ref="F220"/>
    <hyperlink r:id="rId556" ref="F221"/>
    <hyperlink r:id="rId557" ref="F222"/>
    <hyperlink r:id="rId558" ref="F223"/>
    <hyperlink r:id="rId559" ref="F224"/>
    <hyperlink r:id="rId560" ref="F225"/>
    <hyperlink r:id="rId561" ref="F226"/>
    <hyperlink r:id="rId562" ref="F227"/>
    <hyperlink r:id="rId563" ref="F228"/>
    <hyperlink r:id="rId564" ref="F229"/>
    <hyperlink r:id="rId565" ref="F230"/>
  </hyperlinks>
  <drawing r:id="rId56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13"/>
    <col customWidth="1" min="3" max="3" width="19.38"/>
    <col customWidth="1" min="4" max="4" width="17.25"/>
    <col customWidth="1" min="5" max="5" width="17.75"/>
    <col customWidth="1" min="6" max="6" width="15.88"/>
    <col customWidth="1" min="11" max="11" width="14.5"/>
  </cols>
  <sheetData>
    <row r="1">
      <c r="G1" s="36" t="s">
        <v>159</v>
      </c>
      <c r="K1" s="36" t="s">
        <v>160</v>
      </c>
      <c r="L1" s="36" t="s">
        <v>161</v>
      </c>
    </row>
    <row r="2">
      <c r="F2" s="36" t="s">
        <v>49</v>
      </c>
      <c r="G2" s="8">
        <f t="array" ref="G2">LET(
  result, SUM(IF(ISNUMBER(G11:G410), IF((2500 - G11:G410) &gt; 1, 2500 - G11:G410, 1), 0)),
  IF(result = 0, "", result)
)</f>
        <v>2500</v>
      </c>
      <c r="I2" s="38"/>
      <c r="J2" s="50" t="s">
        <v>65</v>
      </c>
      <c r="K2" s="8">
        <f t="shared" ref="K2:L2" si="1">K3+K4</f>
        <v>2500</v>
      </c>
      <c r="L2" s="8">
        <f t="shared" si="1"/>
        <v>1</v>
      </c>
    </row>
    <row r="3">
      <c r="F3" s="9" t="s">
        <v>50</v>
      </c>
      <c r="G3" s="8" t="str">
        <f>IF(COUNT(G11:G410)=0, "", concatenate("💎",sumproduct(G11:G410=Compilation!$E9:$E408)," 🥇",sumproduct(G11:G410=Compilation!$F9:$F408),"
🥈",sumproduct(G11:G410=Compilation!$G9:$G408)," 🥉",sumproduct(G11:G410=Compilation!$H9:$H408)))</f>
        <v>💎0 🥇0
🥈0 🥉0</v>
      </c>
      <c r="I3" s="38"/>
      <c r="J3" s="75" t="s">
        <v>72</v>
      </c>
      <c r="K3" s="76">
        <f>sum(J11:J410)</f>
        <v>0</v>
      </c>
      <c r="L3" s="76">
        <f>count(J11:J410)</f>
        <v>0</v>
      </c>
    </row>
    <row r="4">
      <c r="F4" s="7" t="s">
        <v>51</v>
      </c>
      <c r="G4" s="8">
        <f>LET(
  result, COUNT(G11:G410),
  IF(result = 0, "", result)
)</f>
        <v>1</v>
      </c>
      <c r="I4" s="38"/>
      <c r="J4" s="50" t="s">
        <v>73</v>
      </c>
      <c r="K4" s="8">
        <f>sum(K11:K410)</f>
        <v>2500</v>
      </c>
      <c r="L4" s="8">
        <f>count(K11:K410)</f>
        <v>1</v>
      </c>
    </row>
    <row r="5">
      <c r="F5" s="7" t="s">
        <v>52</v>
      </c>
      <c r="G5" s="10" t="str">
        <f>LET(
  result, SUM(G11:G410),
  IF(result = 0, "", result)
)</f>
        <v/>
      </c>
    </row>
    <row r="6">
      <c r="F6" s="7" t="s">
        <v>53</v>
      </c>
      <c r="G6" s="11">
        <f>IFERROR(AVERAGE(G11:G410), "")
</f>
        <v>0</v>
      </c>
    </row>
    <row r="7">
      <c r="F7" s="7" t="s">
        <v>54</v>
      </c>
      <c r="G7" s="12">
        <f t="array" ref="G7">IF(COUNT(G11:G410)=0, "", SUM(IF(ISNUMBER(G11:G410), G11:G410 - Compilation!$F9:$F408)))
</f>
        <v>-58</v>
      </c>
    </row>
    <row r="8">
      <c r="F8" s="7" t="s">
        <v>55</v>
      </c>
      <c r="G8" s="13">
        <f t="array" ref="G8">IF(COUNT(G11:G410)=0, "", AVERAGE(IF(ISNUMBER(G11:G410), G11:G410 - Compilation!$F9:$F408)))
</f>
        <v>-58</v>
      </c>
    </row>
    <row r="9">
      <c r="B9" s="26" t="b">
        <v>0</v>
      </c>
      <c r="C9" s="26" t="b">
        <v>0</v>
      </c>
      <c r="D9" s="26" t="b">
        <v>0</v>
      </c>
      <c r="E9" s="26" t="b">
        <v>0</v>
      </c>
      <c r="F9" s="26" t="b">
        <v>0</v>
      </c>
    </row>
    <row r="10">
      <c r="A10" s="36" t="str">
        <f>Scores!A11</f>
        <v>TASK</v>
      </c>
      <c r="B10" s="69" t="s">
        <v>45</v>
      </c>
      <c r="C10" s="69" t="s">
        <v>46</v>
      </c>
      <c r="D10" s="69" t="s">
        <v>11</v>
      </c>
      <c r="E10" s="69" t="s">
        <v>44</v>
      </c>
      <c r="F10" s="69" t="s">
        <v>39</v>
      </c>
      <c r="G10" s="36" t="s">
        <v>63</v>
      </c>
      <c r="H10" s="36" t="s">
        <v>60</v>
      </c>
      <c r="I10" s="35"/>
      <c r="J10" s="36" t="s">
        <v>162</v>
      </c>
      <c r="K10" s="36" t="s">
        <v>163</v>
      </c>
    </row>
    <row r="11">
      <c r="A11" s="21">
        <f>Scores!A12</f>
        <v>1</v>
      </c>
      <c r="B11" s="14" t="str">
        <f t="array" ref="B11">if(B9,xlookup(B10,Scores!B1:AA1,Scores!B12:AA411),"")</f>
        <v/>
      </c>
      <c r="C11" s="14" t="str">
        <f t="array" ref="C11">if(C9,xlookup(C10,Scores!B1:AA1,Scores!B12:AA411),"")</f>
        <v/>
      </c>
      <c r="D11" s="14" t="str">
        <f t="array" ref="D11">IF(D9,xlookup(D10,Scores!B1:AA1,Scores!B12:AA411),"")</f>
        <v/>
      </c>
      <c r="E11" s="14" t="str">
        <f t="array" ref="E11">IF(E9,xlookup(E10,Scores!B1:AA1,Scores!B12:AA411),"")</f>
        <v/>
      </c>
      <c r="F11" s="14" t="str">
        <f t="array" ref="F11">IF(F9,xlookup(F10,Scores!B1:AA1,Scores!B12:AA411),"")</f>
        <v/>
      </c>
      <c r="G11" s="14">
        <f>IFERROR(__xludf.DUMMYFUNCTION("IFERROR(MIN(FILTER(B11:F11, B11:F11&lt;&gt;0)),"""")"),0.0)</f>
        <v>0</v>
      </c>
      <c r="H11" s="14">
        <f>IF(OR(G11=Compilation!B9,G11=""),"",G11-Compilation!B9)</f>
        <v>-58</v>
      </c>
      <c r="I11" s="38"/>
      <c r="J11" s="14" t="str">
        <f t="shared" ref="J11:J410" si="2">if(and(n(B11)&gt;0,G11&lt;B11),B11-G11,"")</f>
        <v/>
      </c>
      <c r="K11" s="14">
        <f t="shared" ref="K11:K410" si="3">if(and(G11&lt;&gt;"",not(B11)),max(1,2500-G11),"")</f>
        <v>2500</v>
      </c>
    </row>
    <row r="12">
      <c r="A12" s="21">
        <f>Scores!A13</f>
        <v>2</v>
      </c>
      <c r="B12" s="14"/>
      <c r="C12" s="14"/>
      <c r="D12" s="14"/>
      <c r="E12" s="14"/>
      <c r="F12" s="14"/>
      <c r="G12" s="14" t="str">
        <f>IFERROR(__xludf.DUMMYFUNCTION("IFERROR(MIN(FILTER(B12:F12, B12:F12&lt;&gt;0)),"""")"),"")</f>
        <v/>
      </c>
      <c r="H12" s="14" t="str">
        <f>IF(OR(G12=Compilation!B10,G12=""),"",G12-Compilation!B10)</f>
        <v/>
      </c>
      <c r="I12" s="38"/>
      <c r="J12" s="14" t="str">
        <f t="shared" si="2"/>
        <v/>
      </c>
      <c r="K12" s="14" t="str">
        <f t="shared" si="3"/>
        <v/>
      </c>
    </row>
    <row r="13">
      <c r="A13" s="21">
        <f>Scores!A14</f>
        <v>3</v>
      </c>
      <c r="B13" s="14"/>
      <c r="C13" s="14"/>
      <c r="D13" s="14"/>
      <c r="E13" s="14"/>
      <c r="F13" s="14"/>
      <c r="G13" s="14" t="str">
        <f>IFERROR(__xludf.DUMMYFUNCTION("IFERROR(MIN(FILTER(B13:F13, B13:F13&lt;&gt;0)),"""")"),"")</f>
        <v/>
      </c>
      <c r="H13" s="14" t="str">
        <f>IF(OR(G13=Compilation!B11,G13=""),"",G13-Compilation!B11)</f>
        <v/>
      </c>
      <c r="I13" s="38"/>
      <c r="J13" s="14" t="str">
        <f t="shared" si="2"/>
        <v/>
      </c>
      <c r="K13" s="14" t="str">
        <f t="shared" si="3"/>
        <v/>
      </c>
    </row>
    <row r="14">
      <c r="A14" s="21">
        <f>Scores!A15</f>
        <v>4</v>
      </c>
      <c r="B14" s="14"/>
      <c r="C14" s="14"/>
      <c r="D14" s="14"/>
      <c r="E14" s="14"/>
      <c r="F14" s="14"/>
      <c r="G14" s="14" t="str">
        <f>IFERROR(__xludf.DUMMYFUNCTION("IFERROR(MIN(FILTER(B14:F14, B14:F14&lt;&gt;0)),"""")"),"")</f>
        <v/>
      </c>
      <c r="H14" s="14" t="str">
        <f>IF(OR(G14=Compilation!B12,G14=""),"",G14-Compilation!B12)</f>
        <v/>
      </c>
      <c r="I14" s="38"/>
      <c r="J14" s="14" t="str">
        <f t="shared" si="2"/>
        <v/>
      </c>
      <c r="K14" s="14" t="str">
        <f t="shared" si="3"/>
        <v/>
      </c>
    </row>
    <row r="15">
      <c r="A15" s="21">
        <f>Scores!A16</f>
        <v>5</v>
      </c>
      <c r="B15" s="14"/>
      <c r="C15" s="14"/>
      <c r="D15" s="14"/>
      <c r="E15" s="14"/>
      <c r="F15" s="14"/>
      <c r="G15" s="14" t="str">
        <f>IFERROR(__xludf.DUMMYFUNCTION("IFERROR(MIN(FILTER(B15:F15, B15:F15&lt;&gt;0)),"""")"),"")</f>
        <v/>
      </c>
      <c r="H15" s="14" t="str">
        <f>IF(OR(G15=Compilation!B13,G15=""),"",G15-Compilation!B13)</f>
        <v/>
      </c>
      <c r="I15" s="38"/>
      <c r="J15" s="14" t="str">
        <f t="shared" si="2"/>
        <v/>
      </c>
      <c r="K15" s="14" t="str">
        <f t="shared" si="3"/>
        <v/>
      </c>
    </row>
    <row r="16">
      <c r="A16" s="21">
        <f>Scores!A17</f>
        <v>6</v>
      </c>
      <c r="B16" s="14"/>
      <c r="C16" s="14"/>
      <c r="D16" s="14"/>
      <c r="E16" s="14"/>
      <c r="F16" s="14"/>
      <c r="G16" s="14" t="str">
        <f>IFERROR(__xludf.DUMMYFUNCTION("IFERROR(MIN(FILTER(B16:F16, B16:F16&lt;&gt;0)),"""")"),"")</f>
        <v/>
      </c>
      <c r="H16" s="14" t="str">
        <f>IF(OR(G16=Compilation!B14,G16=""),"",G16-Compilation!B14)</f>
        <v/>
      </c>
      <c r="I16" s="38"/>
      <c r="J16" s="14" t="str">
        <f t="shared" si="2"/>
        <v/>
      </c>
      <c r="K16" s="14" t="str">
        <f t="shared" si="3"/>
        <v/>
      </c>
    </row>
    <row r="17">
      <c r="A17" s="21">
        <f>Scores!A18</f>
        <v>7</v>
      </c>
      <c r="B17" s="14"/>
      <c r="C17" s="14"/>
      <c r="D17" s="14"/>
      <c r="E17" s="14"/>
      <c r="F17" s="14"/>
      <c r="G17" s="14" t="str">
        <f>IFERROR(__xludf.DUMMYFUNCTION("IFERROR(MIN(FILTER(B17:F17, B17:F17&lt;&gt;0)),"""")"),"")</f>
        <v/>
      </c>
      <c r="H17" s="14" t="str">
        <f>IF(OR(G17=Compilation!B15,G17=""),"",G17-Compilation!B15)</f>
        <v/>
      </c>
      <c r="I17" s="38"/>
      <c r="J17" s="14" t="str">
        <f t="shared" si="2"/>
        <v/>
      </c>
      <c r="K17" s="14" t="str">
        <f t="shared" si="3"/>
        <v/>
      </c>
    </row>
    <row r="18">
      <c r="A18" s="21">
        <f>Scores!A19</f>
        <v>8</v>
      </c>
      <c r="B18" s="14"/>
      <c r="C18" s="14"/>
      <c r="D18" s="14"/>
      <c r="E18" s="14"/>
      <c r="F18" s="14"/>
      <c r="G18" s="14" t="str">
        <f>IFERROR(__xludf.DUMMYFUNCTION("IFERROR(MIN(FILTER(B18:F18, B18:F18&lt;&gt;0)),"""")"),"")</f>
        <v/>
      </c>
      <c r="H18" s="14" t="str">
        <f>IF(OR(G18=Compilation!B16,G18=""),"",G18-Compilation!B16)</f>
        <v/>
      </c>
      <c r="I18" s="38"/>
      <c r="J18" s="14" t="str">
        <f t="shared" si="2"/>
        <v/>
      </c>
      <c r="K18" s="14" t="str">
        <f t="shared" si="3"/>
        <v/>
      </c>
    </row>
    <row r="19">
      <c r="A19" s="21">
        <f>Scores!A20</f>
        <v>9</v>
      </c>
      <c r="B19" s="14"/>
      <c r="C19" s="14"/>
      <c r="D19" s="14"/>
      <c r="E19" s="14"/>
      <c r="F19" s="14"/>
      <c r="G19" s="14" t="str">
        <f>IFERROR(__xludf.DUMMYFUNCTION("IFERROR(MIN(FILTER(B19:F19, B19:F19&lt;&gt;0)),"""")"),"")</f>
        <v/>
      </c>
      <c r="H19" s="14" t="str">
        <f>IF(OR(G19=Compilation!B17,G19=""),"",G19-Compilation!B17)</f>
        <v/>
      </c>
      <c r="I19" s="38"/>
      <c r="J19" s="14" t="str">
        <f t="shared" si="2"/>
        <v/>
      </c>
      <c r="K19" s="14" t="str">
        <f t="shared" si="3"/>
        <v/>
      </c>
    </row>
    <row r="20">
      <c r="A20" s="21">
        <f>Scores!A21</f>
        <v>10</v>
      </c>
      <c r="B20" s="14"/>
      <c r="C20" s="14"/>
      <c r="D20" s="14"/>
      <c r="E20" s="14"/>
      <c r="F20" s="14"/>
      <c r="G20" s="14" t="str">
        <f>IFERROR(__xludf.DUMMYFUNCTION("IFERROR(MIN(FILTER(B20:F20, B20:F20&lt;&gt;0)),"""")"),"")</f>
        <v/>
      </c>
      <c r="H20" s="14" t="str">
        <f>IF(OR(G20=Compilation!B18,G20=""),"",G20-Compilation!B18)</f>
        <v/>
      </c>
      <c r="I20" s="38"/>
      <c r="J20" s="14" t="str">
        <f t="shared" si="2"/>
        <v/>
      </c>
      <c r="K20" s="14" t="str">
        <f t="shared" si="3"/>
        <v/>
      </c>
    </row>
    <row r="21">
      <c r="A21" s="21">
        <f>Scores!A22</f>
        <v>11</v>
      </c>
      <c r="B21" s="14"/>
      <c r="C21" s="14"/>
      <c r="D21" s="14"/>
      <c r="E21" s="14"/>
      <c r="F21" s="14"/>
      <c r="G21" s="14" t="str">
        <f>IFERROR(__xludf.DUMMYFUNCTION("IFERROR(MIN(FILTER(B21:F21, B21:F21&lt;&gt;0)),"""")"),"")</f>
        <v/>
      </c>
      <c r="H21" s="14" t="str">
        <f>IF(OR(G21=Compilation!B19,G21=""),"",G21-Compilation!B19)</f>
        <v/>
      </c>
      <c r="I21" s="38"/>
      <c r="J21" s="14" t="str">
        <f t="shared" si="2"/>
        <v/>
      </c>
      <c r="K21" s="14" t="str">
        <f t="shared" si="3"/>
        <v/>
      </c>
    </row>
    <row r="22">
      <c r="A22" s="21">
        <f>Scores!A23</f>
        <v>12</v>
      </c>
      <c r="B22" s="14"/>
      <c r="C22" s="14"/>
      <c r="D22" s="14"/>
      <c r="E22" s="14"/>
      <c r="F22" s="14"/>
      <c r="G22" s="14" t="str">
        <f>IFERROR(__xludf.DUMMYFUNCTION("IFERROR(MIN(FILTER(B22:F22, B22:F22&lt;&gt;0)),"""")"),"")</f>
        <v/>
      </c>
      <c r="H22" s="14" t="str">
        <f>IF(OR(G22=Compilation!B20,G22=""),"",G22-Compilation!B20)</f>
        <v/>
      </c>
      <c r="I22" s="38"/>
      <c r="J22" s="14" t="str">
        <f t="shared" si="2"/>
        <v/>
      </c>
      <c r="K22" s="14" t="str">
        <f t="shared" si="3"/>
        <v/>
      </c>
    </row>
    <row r="23">
      <c r="A23" s="21">
        <f>Scores!A24</f>
        <v>13</v>
      </c>
      <c r="B23" s="14"/>
      <c r="C23" s="14"/>
      <c r="D23" s="14"/>
      <c r="E23" s="14"/>
      <c r="F23" s="14"/>
      <c r="G23" s="14" t="str">
        <f>IFERROR(__xludf.DUMMYFUNCTION("IFERROR(MIN(FILTER(B23:F23, B23:F23&lt;&gt;0)),"""")"),"")</f>
        <v/>
      </c>
      <c r="H23" s="14" t="str">
        <f>IF(OR(G23=Compilation!B21,G23=""),"",G23-Compilation!B21)</f>
        <v/>
      </c>
      <c r="I23" s="38"/>
      <c r="J23" s="14" t="str">
        <f t="shared" si="2"/>
        <v/>
      </c>
      <c r="K23" s="14" t="str">
        <f t="shared" si="3"/>
        <v/>
      </c>
    </row>
    <row r="24">
      <c r="A24" s="21">
        <f>Scores!A25</f>
        <v>14</v>
      </c>
      <c r="B24" s="14"/>
      <c r="C24" s="14"/>
      <c r="D24" s="14"/>
      <c r="E24" s="14"/>
      <c r="F24" s="14"/>
      <c r="G24" s="14" t="str">
        <f>IFERROR(__xludf.DUMMYFUNCTION("IFERROR(MIN(FILTER(B24:F24, B24:F24&lt;&gt;0)),"""")"),"")</f>
        <v/>
      </c>
      <c r="H24" s="14" t="str">
        <f>IF(OR(G24=Compilation!B22,G24=""),"",G24-Compilation!B22)</f>
        <v/>
      </c>
      <c r="I24" s="38"/>
      <c r="J24" s="14" t="str">
        <f t="shared" si="2"/>
        <v/>
      </c>
      <c r="K24" s="14" t="str">
        <f t="shared" si="3"/>
        <v/>
      </c>
    </row>
    <row r="25">
      <c r="A25" s="21">
        <f>Scores!A26</f>
        <v>15</v>
      </c>
      <c r="B25" s="14"/>
      <c r="C25" s="14"/>
      <c r="D25" s="14"/>
      <c r="E25" s="14"/>
      <c r="F25" s="14"/>
      <c r="G25" s="14" t="str">
        <f>IFERROR(__xludf.DUMMYFUNCTION("IFERROR(MIN(FILTER(B25:F25, B25:F25&lt;&gt;0)),"""")"),"")</f>
        <v/>
      </c>
      <c r="H25" s="14" t="str">
        <f>IF(OR(G25=Compilation!B23,G25=""),"",G25-Compilation!B23)</f>
        <v/>
      </c>
      <c r="I25" s="38"/>
      <c r="J25" s="14" t="str">
        <f t="shared" si="2"/>
        <v/>
      </c>
      <c r="K25" s="14" t="str">
        <f t="shared" si="3"/>
        <v/>
      </c>
    </row>
    <row r="26">
      <c r="A26" s="21">
        <f>Scores!A27</f>
        <v>16</v>
      </c>
      <c r="B26" s="14"/>
      <c r="C26" s="14"/>
      <c r="D26" s="14"/>
      <c r="E26" s="14"/>
      <c r="F26" s="14"/>
      <c r="G26" s="14" t="str">
        <f>IFERROR(__xludf.DUMMYFUNCTION("IFERROR(MIN(FILTER(B26:F26, B26:F26&lt;&gt;0)),"""")"),"")</f>
        <v/>
      </c>
      <c r="H26" s="14" t="str">
        <f>IF(OR(G26=Compilation!B24,G26=""),"",G26-Compilation!B24)</f>
        <v/>
      </c>
      <c r="I26" s="38"/>
      <c r="J26" s="14" t="str">
        <f t="shared" si="2"/>
        <v/>
      </c>
      <c r="K26" s="14" t="str">
        <f t="shared" si="3"/>
        <v/>
      </c>
    </row>
    <row r="27">
      <c r="A27" s="21">
        <f>Scores!A28</f>
        <v>17</v>
      </c>
      <c r="B27" s="14"/>
      <c r="C27" s="14"/>
      <c r="D27" s="14"/>
      <c r="E27" s="14"/>
      <c r="F27" s="14"/>
      <c r="G27" s="14" t="str">
        <f>IFERROR(__xludf.DUMMYFUNCTION("IFERROR(MIN(FILTER(B27:F27, B27:F27&lt;&gt;0)),"""")"),"")</f>
        <v/>
      </c>
      <c r="H27" s="14" t="str">
        <f>IF(OR(G27=Compilation!B25,G27=""),"",G27-Compilation!B25)</f>
        <v/>
      </c>
      <c r="I27" s="38"/>
      <c r="J27" s="14" t="str">
        <f t="shared" si="2"/>
        <v/>
      </c>
      <c r="K27" s="14" t="str">
        <f t="shared" si="3"/>
        <v/>
      </c>
    </row>
    <row r="28">
      <c r="A28" s="21">
        <f>Scores!A29</f>
        <v>18</v>
      </c>
      <c r="B28" s="14"/>
      <c r="C28" s="14"/>
      <c r="D28" s="14"/>
      <c r="E28" s="14"/>
      <c r="F28" s="14"/>
      <c r="G28" s="14" t="str">
        <f>IFERROR(__xludf.DUMMYFUNCTION("IFERROR(MIN(FILTER(B28:F28, B28:F28&lt;&gt;0)),"""")"),"")</f>
        <v/>
      </c>
      <c r="H28" s="14" t="str">
        <f>IF(OR(G28=Compilation!B26,G28=""),"",G28-Compilation!B26)</f>
        <v/>
      </c>
      <c r="I28" s="38"/>
      <c r="J28" s="14" t="str">
        <f t="shared" si="2"/>
        <v/>
      </c>
      <c r="K28" s="14" t="str">
        <f t="shared" si="3"/>
        <v/>
      </c>
    </row>
    <row r="29">
      <c r="A29" s="21">
        <f>Scores!A30</f>
        <v>19</v>
      </c>
      <c r="B29" s="14"/>
      <c r="C29" s="14"/>
      <c r="D29" s="14"/>
      <c r="E29" s="14"/>
      <c r="F29" s="14"/>
      <c r="G29" s="14" t="str">
        <f>IFERROR(__xludf.DUMMYFUNCTION("IFERROR(MIN(FILTER(B29:F29, B29:F29&lt;&gt;0)),"""")"),"")</f>
        <v/>
      </c>
      <c r="H29" s="14" t="str">
        <f>IF(OR(G29=Compilation!B27,G29=""),"",G29-Compilation!B27)</f>
        <v/>
      </c>
      <c r="I29" s="38"/>
      <c r="J29" s="14" t="str">
        <f t="shared" si="2"/>
        <v/>
      </c>
      <c r="K29" s="14" t="str">
        <f t="shared" si="3"/>
        <v/>
      </c>
    </row>
    <row r="30">
      <c r="A30" s="21">
        <f>Scores!A31</f>
        <v>20</v>
      </c>
      <c r="B30" s="14"/>
      <c r="C30" s="14"/>
      <c r="D30" s="14"/>
      <c r="E30" s="14"/>
      <c r="F30" s="14"/>
      <c r="G30" s="14" t="str">
        <f>IFERROR(__xludf.DUMMYFUNCTION("IFERROR(MIN(FILTER(B30:F30, B30:F30&lt;&gt;0)),"""")"),"")</f>
        <v/>
      </c>
      <c r="H30" s="14" t="str">
        <f>IF(OR(G30=Compilation!B28,G30=""),"",G30-Compilation!B28)</f>
        <v/>
      </c>
      <c r="I30" s="38"/>
      <c r="J30" s="14" t="str">
        <f t="shared" si="2"/>
        <v/>
      </c>
      <c r="K30" s="14" t="str">
        <f t="shared" si="3"/>
        <v/>
      </c>
    </row>
    <row r="31">
      <c r="A31" s="21">
        <f>Scores!A32</f>
        <v>21</v>
      </c>
      <c r="B31" s="14"/>
      <c r="C31" s="14"/>
      <c r="D31" s="14"/>
      <c r="E31" s="14"/>
      <c r="F31" s="14"/>
      <c r="G31" s="14" t="str">
        <f>IFERROR(__xludf.DUMMYFUNCTION("IFERROR(MIN(FILTER(B31:F31, B31:F31&lt;&gt;0)),"""")"),"")</f>
        <v/>
      </c>
      <c r="H31" s="14" t="str">
        <f>IF(OR(G31=Compilation!B29,G31=""),"",G31-Compilation!B29)</f>
        <v/>
      </c>
      <c r="I31" s="38"/>
      <c r="J31" s="14" t="str">
        <f t="shared" si="2"/>
        <v/>
      </c>
      <c r="K31" s="14" t="str">
        <f t="shared" si="3"/>
        <v/>
      </c>
    </row>
    <row r="32">
      <c r="A32" s="21">
        <f>Scores!A33</f>
        <v>22</v>
      </c>
      <c r="B32" s="14"/>
      <c r="C32" s="14"/>
      <c r="D32" s="14"/>
      <c r="E32" s="14"/>
      <c r="F32" s="14"/>
      <c r="G32" s="14" t="str">
        <f>IFERROR(__xludf.DUMMYFUNCTION("IFERROR(MIN(FILTER(B32:F32, B32:F32&lt;&gt;0)),"""")"),"")</f>
        <v/>
      </c>
      <c r="H32" s="14" t="str">
        <f>IF(OR(G32=Compilation!B30,G32=""),"",G32-Compilation!B30)</f>
        <v/>
      </c>
      <c r="I32" s="38"/>
      <c r="J32" s="14" t="str">
        <f t="shared" si="2"/>
        <v/>
      </c>
      <c r="K32" s="14" t="str">
        <f t="shared" si="3"/>
        <v/>
      </c>
    </row>
    <row r="33">
      <c r="A33" s="21">
        <f>Scores!A34</f>
        <v>23</v>
      </c>
      <c r="B33" s="14"/>
      <c r="C33" s="14"/>
      <c r="D33" s="14"/>
      <c r="E33" s="14"/>
      <c r="F33" s="14"/>
      <c r="G33" s="14" t="str">
        <f>IFERROR(__xludf.DUMMYFUNCTION("IFERROR(MIN(FILTER(B33:F33, B33:F33&lt;&gt;0)),"""")"),"")</f>
        <v/>
      </c>
      <c r="H33" s="14" t="str">
        <f>IF(OR(G33=Compilation!B31,G33=""),"",G33-Compilation!B31)</f>
        <v/>
      </c>
      <c r="I33" s="38"/>
      <c r="J33" s="14" t="str">
        <f t="shared" si="2"/>
        <v/>
      </c>
      <c r="K33" s="14" t="str">
        <f t="shared" si="3"/>
        <v/>
      </c>
    </row>
    <row r="34">
      <c r="A34" s="21">
        <f>Scores!A35</f>
        <v>24</v>
      </c>
      <c r="B34" s="14"/>
      <c r="C34" s="14"/>
      <c r="D34" s="14"/>
      <c r="E34" s="14"/>
      <c r="F34" s="14"/>
      <c r="G34" s="14" t="str">
        <f>IFERROR(__xludf.DUMMYFUNCTION("IFERROR(MIN(FILTER(B34:F34, B34:F34&lt;&gt;0)),"""")"),"")</f>
        <v/>
      </c>
      <c r="H34" s="14" t="str">
        <f>IF(OR(G34=Compilation!B32,G34=""),"",G34-Compilation!B32)</f>
        <v/>
      </c>
      <c r="I34" s="38"/>
      <c r="J34" s="14" t="str">
        <f t="shared" si="2"/>
        <v/>
      </c>
      <c r="K34" s="14" t="str">
        <f t="shared" si="3"/>
        <v/>
      </c>
    </row>
    <row r="35">
      <c r="A35" s="21">
        <f>Scores!A36</f>
        <v>25</v>
      </c>
      <c r="B35" s="14"/>
      <c r="C35" s="14"/>
      <c r="D35" s="14"/>
      <c r="E35" s="14"/>
      <c r="F35" s="14"/>
      <c r="G35" s="14" t="str">
        <f>IFERROR(__xludf.DUMMYFUNCTION("IFERROR(MIN(FILTER(B35:F35, B35:F35&lt;&gt;0)),"""")"),"")</f>
        <v/>
      </c>
      <c r="H35" s="14" t="str">
        <f>IF(OR(G35=Compilation!B33,G35=""),"",G35-Compilation!B33)</f>
        <v/>
      </c>
      <c r="I35" s="38"/>
      <c r="J35" s="14" t="str">
        <f t="shared" si="2"/>
        <v/>
      </c>
      <c r="K35" s="14" t="str">
        <f t="shared" si="3"/>
        <v/>
      </c>
    </row>
    <row r="36">
      <c r="A36" s="21">
        <f>Scores!A37</f>
        <v>26</v>
      </c>
      <c r="B36" s="14"/>
      <c r="C36" s="14"/>
      <c r="D36" s="14"/>
      <c r="E36" s="14"/>
      <c r="F36" s="14"/>
      <c r="G36" s="14" t="str">
        <f>IFERROR(__xludf.DUMMYFUNCTION("IFERROR(MIN(FILTER(B36:F36, B36:F36&lt;&gt;0)),"""")"),"")</f>
        <v/>
      </c>
      <c r="H36" s="14" t="str">
        <f>IF(OR(G36=Compilation!B34,G36=""),"",G36-Compilation!B34)</f>
        <v/>
      </c>
      <c r="I36" s="38"/>
      <c r="J36" s="14" t="str">
        <f t="shared" si="2"/>
        <v/>
      </c>
      <c r="K36" s="14" t="str">
        <f t="shared" si="3"/>
        <v/>
      </c>
    </row>
    <row r="37">
      <c r="A37" s="21">
        <f>Scores!A38</f>
        <v>27</v>
      </c>
      <c r="B37" s="14"/>
      <c r="C37" s="14"/>
      <c r="D37" s="14"/>
      <c r="E37" s="14"/>
      <c r="F37" s="14"/>
      <c r="G37" s="14" t="str">
        <f>IFERROR(__xludf.DUMMYFUNCTION("IFERROR(MIN(FILTER(B37:F37, B37:F37&lt;&gt;0)),"""")"),"")</f>
        <v/>
      </c>
      <c r="H37" s="14" t="str">
        <f>IF(OR(G37=Compilation!B35,G37=""),"",G37-Compilation!B35)</f>
        <v/>
      </c>
      <c r="I37" s="38"/>
      <c r="J37" s="14" t="str">
        <f t="shared" si="2"/>
        <v/>
      </c>
      <c r="K37" s="14" t="str">
        <f t="shared" si="3"/>
        <v/>
      </c>
    </row>
    <row r="38">
      <c r="A38" s="21">
        <f>Scores!A39</f>
        <v>28</v>
      </c>
      <c r="B38" s="14"/>
      <c r="C38" s="14"/>
      <c r="D38" s="14"/>
      <c r="E38" s="14"/>
      <c r="F38" s="14"/>
      <c r="G38" s="14" t="str">
        <f>IFERROR(__xludf.DUMMYFUNCTION("IFERROR(MIN(FILTER(B38:F38, B38:F38&lt;&gt;0)),"""")"),"")</f>
        <v/>
      </c>
      <c r="H38" s="14" t="str">
        <f>IF(OR(G38=Compilation!B36,G38=""),"",G38-Compilation!B36)</f>
        <v/>
      </c>
      <c r="I38" s="38"/>
      <c r="J38" s="14" t="str">
        <f t="shared" si="2"/>
        <v/>
      </c>
      <c r="K38" s="14" t="str">
        <f t="shared" si="3"/>
        <v/>
      </c>
    </row>
    <row r="39">
      <c r="A39" s="21">
        <f>Scores!A40</f>
        <v>29</v>
      </c>
      <c r="B39" s="14"/>
      <c r="C39" s="14"/>
      <c r="D39" s="14"/>
      <c r="E39" s="14"/>
      <c r="F39" s="14"/>
      <c r="G39" s="14" t="str">
        <f>IFERROR(__xludf.DUMMYFUNCTION("IFERROR(MIN(FILTER(B39:F39, B39:F39&lt;&gt;0)),"""")"),"")</f>
        <v/>
      </c>
      <c r="H39" s="14" t="str">
        <f>IF(OR(G39=Compilation!B37,G39=""),"",G39-Compilation!B37)</f>
        <v/>
      </c>
      <c r="I39" s="38"/>
      <c r="J39" s="14" t="str">
        <f t="shared" si="2"/>
        <v/>
      </c>
      <c r="K39" s="14" t="str">
        <f t="shared" si="3"/>
        <v/>
      </c>
    </row>
    <row r="40">
      <c r="A40" s="21">
        <f>Scores!A41</f>
        <v>30</v>
      </c>
      <c r="B40" s="14"/>
      <c r="C40" s="14"/>
      <c r="D40" s="14"/>
      <c r="E40" s="14"/>
      <c r="F40" s="14"/>
      <c r="G40" s="14" t="str">
        <f>IFERROR(__xludf.DUMMYFUNCTION("IFERROR(MIN(FILTER(B40:F40, B40:F40&lt;&gt;0)),"""")"),"")</f>
        <v/>
      </c>
      <c r="H40" s="14" t="str">
        <f>IF(OR(G40=Compilation!B38,G40=""),"",G40-Compilation!B38)</f>
        <v/>
      </c>
      <c r="I40" s="38"/>
      <c r="J40" s="14" t="str">
        <f t="shared" si="2"/>
        <v/>
      </c>
      <c r="K40" s="14" t="str">
        <f t="shared" si="3"/>
        <v/>
      </c>
    </row>
    <row r="41">
      <c r="A41" s="21">
        <f>Scores!A42</f>
        <v>31</v>
      </c>
      <c r="B41" s="14"/>
      <c r="C41" s="14"/>
      <c r="D41" s="14"/>
      <c r="E41" s="14"/>
      <c r="F41" s="14"/>
      <c r="G41" s="14" t="str">
        <f>IFERROR(__xludf.DUMMYFUNCTION("IFERROR(MIN(FILTER(B41:F41, B41:F41&lt;&gt;0)),"""")"),"")</f>
        <v/>
      </c>
      <c r="H41" s="14" t="str">
        <f>IF(OR(G41=Compilation!B39,G41=""),"",G41-Compilation!B39)</f>
        <v/>
      </c>
      <c r="I41" s="38"/>
      <c r="J41" s="14" t="str">
        <f t="shared" si="2"/>
        <v/>
      </c>
      <c r="K41" s="14" t="str">
        <f t="shared" si="3"/>
        <v/>
      </c>
    </row>
    <row r="42">
      <c r="A42" s="21">
        <f>Scores!A43</f>
        <v>32</v>
      </c>
      <c r="B42" s="14"/>
      <c r="C42" s="14"/>
      <c r="D42" s="14"/>
      <c r="E42" s="14"/>
      <c r="F42" s="14"/>
      <c r="G42" s="14" t="str">
        <f>IFERROR(__xludf.DUMMYFUNCTION("IFERROR(MIN(FILTER(B42:F42, B42:F42&lt;&gt;0)),"""")"),"")</f>
        <v/>
      </c>
      <c r="H42" s="14" t="str">
        <f>IF(OR(G42=Compilation!B40,G42=""),"",G42-Compilation!B40)</f>
        <v/>
      </c>
      <c r="I42" s="38"/>
      <c r="J42" s="14" t="str">
        <f t="shared" si="2"/>
        <v/>
      </c>
      <c r="K42" s="14" t="str">
        <f t="shared" si="3"/>
        <v/>
      </c>
    </row>
    <row r="43">
      <c r="A43" s="21">
        <f>Scores!A44</f>
        <v>33</v>
      </c>
      <c r="B43" s="14"/>
      <c r="C43" s="14"/>
      <c r="D43" s="14"/>
      <c r="E43" s="14"/>
      <c r="F43" s="14"/>
      <c r="G43" s="14" t="str">
        <f>IFERROR(__xludf.DUMMYFUNCTION("IFERROR(MIN(FILTER(B43:F43, B43:F43&lt;&gt;0)),"""")"),"")</f>
        <v/>
      </c>
      <c r="H43" s="14" t="str">
        <f>IF(OR(G43=Compilation!B41,G43=""),"",G43-Compilation!B41)</f>
        <v/>
      </c>
      <c r="I43" s="38"/>
      <c r="J43" s="14" t="str">
        <f t="shared" si="2"/>
        <v/>
      </c>
      <c r="K43" s="14" t="str">
        <f t="shared" si="3"/>
        <v/>
      </c>
    </row>
    <row r="44">
      <c r="A44" s="21">
        <f>Scores!A45</f>
        <v>34</v>
      </c>
      <c r="B44" s="14"/>
      <c r="C44" s="14"/>
      <c r="D44" s="14"/>
      <c r="E44" s="14"/>
      <c r="F44" s="14"/>
      <c r="G44" s="14" t="str">
        <f>IFERROR(__xludf.DUMMYFUNCTION("IFERROR(MIN(FILTER(B44:F44, B44:F44&lt;&gt;0)),"""")"),"")</f>
        <v/>
      </c>
      <c r="H44" s="14" t="str">
        <f>IF(OR(G44=Compilation!B42,G44=""),"",G44-Compilation!B42)</f>
        <v/>
      </c>
      <c r="I44" s="38"/>
      <c r="J44" s="14" t="str">
        <f t="shared" si="2"/>
        <v/>
      </c>
      <c r="K44" s="14" t="str">
        <f t="shared" si="3"/>
        <v/>
      </c>
    </row>
    <row r="45">
      <c r="A45" s="21">
        <f>Scores!A46</f>
        <v>35</v>
      </c>
      <c r="B45" s="14"/>
      <c r="C45" s="14"/>
      <c r="D45" s="14"/>
      <c r="E45" s="14"/>
      <c r="F45" s="14"/>
      <c r="G45" s="14" t="str">
        <f>IFERROR(__xludf.DUMMYFUNCTION("IFERROR(MIN(FILTER(B45:F45, B45:F45&lt;&gt;0)),"""")"),"")</f>
        <v/>
      </c>
      <c r="H45" s="14" t="str">
        <f>IF(OR(G45=Compilation!B43,G45=""),"",G45-Compilation!B43)</f>
        <v/>
      </c>
      <c r="I45" s="38"/>
      <c r="J45" s="14" t="str">
        <f t="shared" si="2"/>
        <v/>
      </c>
      <c r="K45" s="14" t="str">
        <f t="shared" si="3"/>
        <v/>
      </c>
    </row>
    <row r="46">
      <c r="A46" s="21">
        <f>Scores!A47</f>
        <v>36</v>
      </c>
      <c r="B46" s="14"/>
      <c r="C46" s="14"/>
      <c r="D46" s="14"/>
      <c r="E46" s="14"/>
      <c r="F46" s="14"/>
      <c r="G46" s="14" t="str">
        <f>IFERROR(__xludf.DUMMYFUNCTION("IFERROR(MIN(FILTER(B46:F46, B46:F46&lt;&gt;0)),"""")"),"")</f>
        <v/>
      </c>
      <c r="H46" s="14" t="str">
        <f>IF(OR(G46=Compilation!B44,G46=""),"",G46-Compilation!B44)</f>
        <v/>
      </c>
      <c r="I46" s="38"/>
      <c r="J46" s="14" t="str">
        <f t="shared" si="2"/>
        <v/>
      </c>
      <c r="K46" s="14" t="str">
        <f t="shared" si="3"/>
        <v/>
      </c>
    </row>
    <row r="47">
      <c r="A47" s="21">
        <f>Scores!A48</f>
        <v>37</v>
      </c>
      <c r="B47" s="14"/>
      <c r="C47" s="14"/>
      <c r="D47" s="14"/>
      <c r="E47" s="14"/>
      <c r="F47" s="14"/>
      <c r="G47" s="14" t="str">
        <f>IFERROR(__xludf.DUMMYFUNCTION("IFERROR(MIN(FILTER(B47:F47, B47:F47&lt;&gt;0)),"""")"),"")</f>
        <v/>
      </c>
      <c r="H47" s="14" t="str">
        <f>IF(OR(G47=Compilation!B45,G47=""),"",G47-Compilation!B45)</f>
        <v/>
      </c>
      <c r="I47" s="38"/>
      <c r="J47" s="14" t="str">
        <f t="shared" si="2"/>
        <v/>
      </c>
      <c r="K47" s="14" t="str">
        <f t="shared" si="3"/>
        <v/>
      </c>
    </row>
    <row r="48">
      <c r="A48" s="21">
        <f>Scores!A49</f>
        <v>38</v>
      </c>
      <c r="B48" s="14"/>
      <c r="C48" s="14"/>
      <c r="D48" s="14"/>
      <c r="E48" s="14"/>
      <c r="F48" s="14"/>
      <c r="G48" s="14" t="str">
        <f>IFERROR(__xludf.DUMMYFUNCTION("IFERROR(MIN(FILTER(B48:F48, B48:F48&lt;&gt;0)),"""")"),"")</f>
        <v/>
      </c>
      <c r="H48" s="14" t="str">
        <f>IF(OR(G48=Compilation!B46,G48=""),"",G48-Compilation!B46)</f>
        <v/>
      </c>
      <c r="I48" s="38"/>
      <c r="J48" s="14" t="str">
        <f t="shared" si="2"/>
        <v/>
      </c>
      <c r="K48" s="14" t="str">
        <f t="shared" si="3"/>
        <v/>
      </c>
    </row>
    <row r="49">
      <c r="A49" s="21">
        <f>Scores!A50</f>
        <v>39</v>
      </c>
      <c r="B49" s="14"/>
      <c r="C49" s="14"/>
      <c r="D49" s="14"/>
      <c r="E49" s="14"/>
      <c r="F49" s="14"/>
      <c r="G49" s="14" t="str">
        <f>IFERROR(__xludf.DUMMYFUNCTION("IFERROR(MIN(FILTER(B49:F49, B49:F49&lt;&gt;0)),"""")"),"")</f>
        <v/>
      </c>
      <c r="H49" s="14" t="str">
        <f>IF(OR(G49=Compilation!B47,G49=""),"",G49-Compilation!B47)</f>
        <v/>
      </c>
      <c r="I49" s="38"/>
      <c r="J49" s="14" t="str">
        <f t="shared" si="2"/>
        <v/>
      </c>
      <c r="K49" s="14" t="str">
        <f t="shared" si="3"/>
        <v/>
      </c>
    </row>
    <row r="50">
      <c r="A50" s="21">
        <f>Scores!A51</f>
        <v>40</v>
      </c>
      <c r="B50" s="14"/>
      <c r="C50" s="14"/>
      <c r="D50" s="14"/>
      <c r="E50" s="14"/>
      <c r="F50" s="14"/>
      <c r="G50" s="14" t="str">
        <f>IFERROR(__xludf.DUMMYFUNCTION("IFERROR(MIN(FILTER(B50:F50, B50:F50&lt;&gt;0)),"""")"),"")</f>
        <v/>
      </c>
      <c r="H50" s="14" t="str">
        <f>IF(OR(G50=Compilation!B48,G50=""),"",G50-Compilation!B48)</f>
        <v/>
      </c>
      <c r="I50" s="38"/>
      <c r="J50" s="14" t="str">
        <f t="shared" si="2"/>
        <v/>
      </c>
      <c r="K50" s="14" t="str">
        <f t="shared" si="3"/>
        <v/>
      </c>
    </row>
    <row r="51">
      <c r="A51" s="21">
        <f>Scores!A52</f>
        <v>41</v>
      </c>
      <c r="B51" s="14"/>
      <c r="C51" s="14"/>
      <c r="D51" s="14"/>
      <c r="E51" s="14"/>
      <c r="F51" s="14"/>
      <c r="G51" s="14" t="str">
        <f>IFERROR(__xludf.DUMMYFUNCTION("IFERROR(MIN(FILTER(B51:F51, B51:F51&lt;&gt;0)),"""")"),"")</f>
        <v/>
      </c>
      <c r="H51" s="14" t="str">
        <f>IF(OR(G51=Compilation!B49,G51=""),"",G51-Compilation!B49)</f>
        <v/>
      </c>
      <c r="I51" s="38"/>
      <c r="J51" s="14" t="str">
        <f t="shared" si="2"/>
        <v/>
      </c>
      <c r="K51" s="14" t="str">
        <f t="shared" si="3"/>
        <v/>
      </c>
    </row>
    <row r="52">
      <c r="A52" s="21">
        <f>Scores!A53</f>
        <v>42</v>
      </c>
      <c r="B52" s="14"/>
      <c r="C52" s="14"/>
      <c r="D52" s="14"/>
      <c r="E52" s="14"/>
      <c r="F52" s="14"/>
      <c r="G52" s="14" t="str">
        <f>IFERROR(__xludf.DUMMYFUNCTION("IFERROR(MIN(FILTER(B52:F52, B52:F52&lt;&gt;0)),"""")"),"")</f>
        <v/>
      </c>
      <c r="H52" s="14" t="str">
        <f>IF(OR(G52=Compilation!B50,G52=""),"",G52-Compilation!B50)</f>
        <v/>
      </c>
      <c r="I52" s="38"/>
      <c r="J52" s="14" t="str">
        <f t="shared" si="2"/>
        <v/>
      </c>
      <c r="K52" s="14" t="str">
        <f t="shared" si="3"/>
        <v/>
      </c>
    </row>
    <row r="53">
      <c r="A53" s="21">
        <f>Scores!A54</f>
        <v>43</v>
      </c>
      <c r="B53" s="14"/>
      <c r="C53" s="14"/>
      <c r="D53" s="14"/>
      <c r="E53" s="14"/>
      <c r="F53" s="14"/>
      <c r="G53" s="14" t="str">
        <f>IFERROR(__xludf.DUMMYFUNCTION("IFERROR(MIN(FILTER(B53:F53, B53:F53&lt;&gt;0)),"""")"),"")</f>
        <v/>
      </c>
      <c r="H53" s="14" t="str">
        <f>IF(OR(G53=Compilation!B51,G53=""),"",G53-Compilation!B51)</f>
        <v/>
      </c>
      <c r="I53" s="38"/>
      <c r="J53" s="14" t="str">
        <f t="shared" si="2"/>
        <v/>
      </c>
      <c r="K53" s="14" t="str">
        <f t="shared" si="3"/>
        <v/>
      </c>
    </row>
    <row r="54">
      <c r="A54" s="21">
        <f>Scores!A55</f>
        <v>44</v>
      </c>
      <c r="B54" s="14"/>
      <c r="C54" s="14"/>
      <c r="D54" s="14"/>
      <c r="E54" s="14"/>
      <c r="F54" s="14"/>
      <c r="G54" s="14" t="str">
        <f>IFERROR(__xludf.DUMMYFUNCTION("IFERROR(MIN(FILTER(B54:F54, B54:F54&lt;&gt;0)),"""")"),"")</f>
        <v/>
      </c>
      <c r="H54" s="14" t="str">
        <f>IF(OR(G54=Compilation!B52,G54=""),"",G54-Compilation!B52)</f>
        <v/>
      </c>
      <c r="I54" s="38"/>
      <c r="J54" s="14" t="str">
        <f t="shared" si="2"/>
        <v/>
      </c>
      <c r="K54" s="14" t="str">
        <f t="shared" si="3"/>
        <v/>
      </c>
    </row>
    <row r="55">
      <c r="A55" s="21">
        <f>Scores!A56</f>
        <v>45</v>
      </c>
      <c r="B55" s="14"/>
      <c r="C55" s="14"/>
      <c r="D55" s="14"/>
      <c r="E55" s="14"/>
      <c r="F55" s="14"/>
      <c r="G55" s="14" t="str">
        <f>IFERROR(__xludf.DUMMYFUNCTION("IFERROR(MIN(FILTER(B55:F55, B55:F55&lt;&gt;0)),"""")"),"")</f>
        <v/>
      </c>
      <c r="H55" s="14" t="str">
        <f>IF(OR(G55=Compilation!B53,G55=""),"",G55-Compilation!B53)</f>
        <v/>
      </c>
      <c r="I55" s="38"/>
      <c r="J55" s="14" t="str">
        <f t="shared" si="2"/>
        <v/>
      </c>
      <c r="K55" s="14" t="str">
        <f t="shared" si="3"/>
        <v/>
      </c>
    </row>
    <row r="56">
      <c r="A56" s="21">
        <f>Scores!A57</f>
        <v>46</v>
      </c>
      <c r="B56" s="14"/>
      <c r="C56" s="14"/>
      <c r="D56" s="14"/>
      <c r="E56" s="14"/>
      <c r="F56" s="14"/>
      <c r="G56" s="14" t="str">
        <f>IFERROR(__xludf.DUMMYFUNCTION("IFERROR(MIN(FILTER(B56:F56, B56:F56&lt;&gt;0)),"""")"),"")</f>
        <v/>
      </c>
      <c r="H56" s="14" t="str">
        <f>IF(OR(G56=Compilation!B54,G56=""),"",G56-Compilation!B54)</f>
        <v/>
      </c>
      <c r="I56" s="38"/>
      <c r="J56" s="14" t="str">
        <f t="shared" si="2"/>
        <v/>
      </c>
      <c r="K56" s="14" t="str">
        <f t="shared" si="3"/>
        <v/>
      </c>
    </row>
    <row r="57">
      <c r="A57" s="21">
        <f>Scores!A58</f>
        <v>47</v>
      </c>
      <c r="B57" s="14"/>
      <c r="C57" s="14"/>
      <c r="D57" s="14"/>
      <c r="E57" s="14"/>
      <c r="F57" s="14"/>
      <c r="G57" s="14" t="str">
        <f>IFERROR(__xludf.DUMMYFUNCTION("IFERROR(MIN(FILTER(B57:F57, B57:F57&lt;&gt;0)),"""")"),"")</f>
        <v/>
      </c>
      <c r="H57" s="14" t="str">
        <f>IF(OR(G57=Compilation!B55,G57=""),"",G57-Compilation!B55)</f>
        <v/>
      </c>
      <c r="I57" s="38"/>
      <c r="J57" s="14" t="str">
        <f t="shared" si="2"/>
        <v/>
      </c>
      <c r="K57" s="14" t="str">
        <f t="shared" si="3"/>
        <v/>
      </c>
    </row>
    <row r="58">
      <c r="A58" s="21">
        <f>Scores!A59</f>
        <v>48</v>
      </c>
      <c r="B58" s="14"/>
      <c r="C58" s="14"/>
      <c r="D58" s="14"/>
      <c r="E58" s="14"/>
      <c r="F58" s="14"/>
      <c r="G58" s="14" t="str">
        <f>IFERROR(__xludf.DUMMYFUNCTION("IFERROR(MIN(FILTER(B58:F58, B58:F58&lt;&gt;0)),"""")"),"")</f>
        <v/>
      </c>
      <c r="H58" s="14" t="str">
        <f>IF(OR(G58=Compilation!B56,G58=""),"",G58-Compilation!B56)</f>
        <v/>
      </c>
      <c r="I58" s="38"/>
      <c r="J58" s="14" t="str">
        <f t="shared" si="2"/>
        <v/>
      </c>
      <c r="K58" s="14" t="str">
        <f t="shared" si="3"/>
        <v/>
      </c>
    </row>
    <row r="59">
      <c r="A59" s="21">
        <f>Scores!A60</f>
        <v>49</v>
      </c>
      <c r="B59" s="14"/>
      <c r="C59" s="14"/>
      <c r="D59" s="14"/>
      <c r="E59" s="14"/>
      <c r="F59" s="14"/>
      <c r="G59" s="14" t="str">
        <f>IFERROR(__xludf.DUMMYFUNCTION("IFERROR(MIN(FILTER(B59:F59, B59:F59&lt;&gt;0)),"""")"),"")</f>
        <v/>
      </c>
      <c r="H59" s="14" t="str">
        <f>IF(OR(G59=Compilation!B57,G59=""),"",G59-Compilation!B57)</f>
        <v/>
      </c>
      <c r="I59" s="38"/>
      <c r="J59" s="14" t="str">
        <f t="shared" si="2"/>
        <v/>
      </c>
      <c r="K59" s="14" t="str">
        <f t="shared" si="3"/>
        <v/>
      </c>
    </row>
    <row r="60">
      <c r="A60" s="21">
        <f>Scores!A61</f>
        <v>50</v>
      </c>
      <c r="B60" s="14"/>
      <c r="C60" s="14"/>
      <c r="D60" s="14"/>
      <c r="E60" s="14"/>
      <c r="F60" s="14"/>
      <c r="G60" s="14" t="str">
        <f>IFERROR(__xludf.DUMMYFUNCTION("IFERROR(MIN(FILTER(B60:F60, B60:F60&lt;&gt;0)),"""")"),"")</f>
        <v/>
      </c>
      <c r="H60" s="14" t="str">
        <f>IF(OR(G60=Compilation!B58,G60=""),"",G60-Compilation!B58)</f>
        <v/>
      </c>
      <c r="I60" s="38"/>
      <c r="J60" s="14" t="str">
        <f t="shared" si="2"/>
        <v/>
      </c>
      <c r="K60" s="14" t="str">
        <f t="shared" si="3"/>
        <v/>
      </c>
    </row>
    <row r="61">
      <c r="A61" s="21">
        <f>Scores!A62</f>
        <v>51</v>
      </c>
      <c r="B61" s="14"/>
      <c r="C61" s="14"/>
      <c r="D61" s="14"/>
      <c r="E61" s="14"/>
      <c r="F61" s="14"/>
      <c r="G61" s="14" t="str">
        <f>IFERROR(__xludf.DUMMYFUNCTION("IFERROR(MIN(FILTER(B61:F61, B61:F61&lt;&gt;0)),"""")"),"")</f>
        <v/>
      </c>
      <c r="H61" s="14" t="str">
        <f>IF(OR(G61=Compilation!B59,G61=""),"",G61-Compilation!B59)</f>
        <v/>
      </c>
      <c r="I61" s="38"/>
      <c r="J61" s="14" t="str">
        <f t="shared" si="2"/>
        <v/>
      </c>
      <c r="K61" s="14" t="str">
        <f t="shared" si="3"/>
        <v/>
      </c>
    </row>
    <row r="62">
      <c r="A62" s="21">
        <f>Scores!A63</f>
        <v>52</v>
      </c>
      <c r="B62" s="14"/>
      <c r="C62" s="14"/>
      <c r="D62" s="14"/>
      <c r="E62" s="14"/>
      <c r="F62" s="14"/>
      <c r="G62" s="14" t="str">
        <f>IFERROR(__xludf.DUMMYFUNCTION("IFERROR(MIN(FILTER(B62:F62, B62:F62&lt;&gt;0)),"""")"),"")</f>
        <v/>
      </c>
      <c r="H62" s="14" t="str">
        <f>IF(OR(G62=Compilation!B60,G62=""),"",G62-Compilation!B60)</f>
        <v/>
      </c>
      <c r="I62" s="38"/>
      <c r="J62" s="14" t="str">
        <f t="shared" si="2"/>
        <v/>
      </c>
      <c r="K62" s="14" t="str">
        <f t="shared" si="3"/>
        <v/>
      </c>
    </row>
    <row r="63">
      <c r="A63" s="21">
        <f>Scores!A64</f>
        <v>53</v>
      </c>
      <c r="B63" s="14"/>
      <c r="C63" s="14"/>
      <c r="D63" s="14"/>
      <c r="E63" s="14"/>
      <c r="F63" s="14"/>
      <c r="G63" s="14" t="str">
        <f>IFERROR(__xludf.DUMMYFUNCTION("IFERROR(MIN(FILTER(B63:F63, B63:F63&lt;&gt;0)),"""")"),"")</f>
        <v/>
      </c>
      <c r="H63" s="14" t="str">
        <f>IF(OR(G63=Compilation!B61,G63=""),"",G63-Compilation!B61)</f>
        <v/>
      </c>
      <c r="I63" s="38"/>
      <c r="J63" s="14" t="str">
        <f t="shared" si="2"/>
        <v/>
      </c>
      <c r="K63" s="14" t="str">
        <f t="shared" si="3"/>
        <v/>
      </c>
    </row>
    <row r="64">
      <c r="A64" s="21">
        <f>Scores!A65</f>
        <v>54</v>
      </c>
      <c r="B64" s="14"/>
      <c r="C64" s="14"/>
      <c r="D64" s="14"/>
      <c r="E64" s="14"/>
      <c r="F64" s="14"/>
      <c r="G64" s="14" t="str">
        <f>IFERROR(__xludf.DUMMYFUNCTION("IFERROR(MIN(FILTER(B64:F64, B64:F64&lt;&gt;0)),"""")"),"")</f>
        <v/>
      </c>
      <c r="H64" s="14" t="str">
        <f>IF(OR(G64=Compilation!B62,G64=""),"",G64-Compilation!B62)</f>
        <v/>
      </c>
      <c r="I64" s="38"/>
      <c r="J64" s="14" t="str">
        <f t="shared" si="2"/>
        <v/>
      </c>
      <c r="K64" s="14" t="str">
        <f t="shared" si="3"/>
        <v/>
      </c>
    </row>
    <row r="65">
      <c r="A65" s="21">
        <f>Scores!A66</f>
        <v>55</v>
      </c>
      <c r="B65" s="14"/>
      <c r="C65" s="14"/>
      <c r="D65" s="14"/>
      <c r="E65" s="14"/>
      <c r="F65" s="14"/>
      <c r="G65" s="14" t="str">
        <f>IFERROR(__xludf.DUMMYFUNCTION("IFERROR(MIN(FILTER(B65:F65, B65:F65&lt;&gt;0)),"""")"),"")</f>
        <v/>
      </c>
      <c r="H65" s="14" t="str">
        <f>IF(OR(G65=Compilation!B63,G65=""),"",G65-Compilation!B63)</f>
        <v/>
      </c>
      <c r="I65" s="38"/>
      <c r="J65" s="14" t="str">
        <f t="shared" si="2"/>
        <v/>
      </c>
      <c r="K65" s="14" t="str">
        <f t="shared" si="3"/>
        <v/>
      </c>
    </row>
    <row r="66">
      <c r="A66" s="21">
        <f>Scores!A67</f>
        <v>56</v>
      </c>
      <c r="B66" s="14"/>
      <c r="C66" s="14"/>
      <c r="D66" s="14"/>
      <c r="E66" s="14"/>
      <c r="F66" s="14"/>
      <c r="G66" s="14" t="str">
        <f>IFERROR(__xludf.DUMMYFUNCTION("IFERROR(MIN(FILTER(B66:F66, B66:F66&lt;&gt;0)),"""")"),"")</f>
        <v/>
      </c>
      <c r="H66" s="14" t="str">
        <f>IF(OR(G66=Compilation!B64,G66=""),"",G66-Compilation!B64)</f>
        <v/>
      </c>
      <c r="I66" s="38"/>
      <c r="J66" s="14" t="str">
        <f t="shared" si="2"/>
        <v/>
      </c>
      <c r="K66" s="14" t="str">
        <f t="shared" si="3"/>
        <v/>
      </c>
    </row>
    <row r="67">
      <c r="A67" s="21">
        <f>Scores!A68</f>
        <v>57</v>
      </c>
      <c r="B67" s="14"/>
      <c r="C67" s="14"/>
      <c r="D67" s="14"/>
      <c r="E67" s="14"/>
      <c r="F67" s="14"/>
      <c r="G67" s="14" t="str">
        <f>IFERROR(__xludf.DUMMYFUNCTION("IFERROR(MIN(FILTER(B67:F67, B67:F67&lt;&gt;0)),"""")"),"")</f>
        <v/>
      </c>
      <c r="H67" s="14" t="str">
        <f>IF(OR(G67=Compilation!B65,G67=""),"",G67-Compilation!B65)</f>
        <v/>
      </c>
      <c r="I67" s="38"/>
      <c r="J67" s="14" t="str">
        <f t="shared" si="2"/>
        <v/>
      </c>
      <c r="K67" s="14" t="str">
        <f t="shared" si="3"/>
        <v/>
      </c>
    </row>
    <row r="68">
      <c r="A68" s="21">
        <f>Scores!A69</f>
        <v>58</v>
      </c>
      <c r="B68" s="14"/>
      <c r="C68" s="14"/>
      <c r="D68" s="14"/>
      <c r="E68" s="14"/>
      <c r="F68" s="14"/>
      <c r="G68" s="14" t="str">
        <f>IFERROR(__xludf.DUMMYFUNCTION("IFERROR(MIN(FILTER(B68:F68, B68:F68&lt;&gt;0)),"""")"),"")</f>
        <v/>
      </c>
      <c r="H68" s="14" t="str">
        <f>IF(OR(G68=Compilation!B66,G68=""),"",G68-Compilation!B66)</f>
        <v/>
      </c>
      <c r="I68" s="38"/>
      <c r="J68" s="14" t="str">
        <f t="shared" si="2"/>
        <v/>
      </c>
      <c r="K68" s="14" t="str">
        <f t="shared" si="3"/>
        <v/>
      </c>
    </row>
    <row r="69">
      <c r="A69" s="21">
        <f>Scores!A70</f>
        <v>59</v>
      </c>
      <c r="B69" s="14"/>
      <c r="C69" s="14"/>
      <c r="D69" s="14"/>
      <c r="E69" s="14"/>
      <c r="F69" s="14"/>
      <c r="G69" s="14" t="str">
        <f>IFERROR(__xludf.DUMMYFUNCTION("IFERROR(MIN(FILTER(B69:F69, B69:F69&lt;&gt;0)),"""")"),"")</f>
        <v/>
      </c>
      <c r="H69" s="14" t="str">
        <f>IF(OR(G69=Compilation!B67,G69=""),"",G69-Compilation!B67)</f>
        <v/>
      </c>
      <c r="I69" s="38"/>
      <c r="J69" s="14" t="str">
        <f t="shared" si="2"/>
        <v/>
      </c>
      <c r="K69" s="14" t="str">
        <f t="shared" si="3"/>
        <v/>
      </c>
    </row>
    <row r="70">
      <c r="A70" s="21">
        <f>Scores!A71</f>
        <v>60</v>
      </c>
      <c r="B70" s="14"/>
      <c r="C70" s="14"/>
      <c r="D70" s="14"/>
      <c r="E70" s="14"/>
      <c r="F70" s="14"/>
      <c r="G70" s="14" t="str">
        <f>IFERROR(__xludf.DUMMYFUNCTION("IFERROR(MIN(FILTER(B70:F70, B70:F70&lt;&gt;0)),"""")"),"")</f>
        <v/>
      </c>
      <c r="H70" s="14" t="str">
        <f>IF(OR(G70=Compilation!B68,G70=""),"",G70-Compilation!B68)</f>
        <v/>
      </c>
      <c r="I70" s="38"/>
      <c r="J70" s="14" t="str">
        <f t="shared" si="2"/>
        <v/>
      </c>
      <c r="K70" s="14" t="str">
        <f t="shared" si="3"/>
        <v/>
      </c>
    </row>
    <row r="71">
      <c r="A71" s="21">
        <f>Scores!A72</f>
        <v>61</v>
      </c>
      <c r="B71" s="14"/>
      <c r="C71" s="14"/>
      <c r="D71" s="14"/>
      <c r="E71" s="14"/>
      <c r="F71" s="14"/>
      <c r="G71" s="14" t="str">
        <f>IFERROR(__xludf.DUMMYFUNCTION("IFERROR(MIN(FILTER(B71:F71, B71:F71&lt;&gt;0)),"""")"),"")</f>
        <v/>
      </c>
      <c r="H71" s="14" t="str">
        <f>IF(OR(G71=Compilation!B69,G71=""),"",G71-Compilation!B69)</f>
        <v/>
      </c>
      <c r="I71" s="38"/>
      <c r="J71" s="14" t="str">
        <f t="shared" si="2"/>
        <v/>
      </c>
      <c r="K71" s="14" t="str">
        <f t="shared" si="3"/>
        <v/>
      </c>
    </row>
    <row r="72">
      <c r="A72" s="21">
        <f>Scores!A73</f>
        <v>62</v>
      </c>
      <c r="B72" s="14"/>
      <c r="C72" s="14"/>
      <c r="D72" s="14"/>
      <c r="E72" s="14"/>
      <c r="F72" s="14"/>
      <c r="G72" s="14" t="str">
        <f>IFERROR(__xludf.DUMMYFUNCTION("IFERROR(MIN(FILTER(B72:F72, B72:F72&lt;&gt;0)),"""")"),"")</f>
        <v/>
      </c>
      <c r="H72" s="14" t="str">
        <f>IF(OR(G72=Compilation!B70,G72=""),"",G72-Compilation!B70)</f>
        <v/>
      </c>
      <c r="I72" s="38"/>
      <c r="J72" s="14" t="str">
        <f t="shared" si="2"/>
        <v/>
      </c>
      <c r="K72" s="14" t="str">
        <f t="shared" si="3"/>
        <v/>
      </c>
    </row>
    <row r="73">
      <c r="A73" s="21">
        <f>Scores!A74</f>
        <v>63</v>
      </c>
      <c r="B73" s="14"/>
      <c r="C73" s="14"/>
      <c r="D73" s="14"/>
      <c r="E73" s="14"/>
      <c r="F73" s="14"/>
      <c r="G73" s="14" t="str">
        <f>IFERROR(__xludf.DUMMYFUNCTION("IFERROR(MIN(FILTER(B73:F73, B73:F73&lt;&gt;0)),"""")"),"")</f>
        <v/>
      </c>
      <c r="H73" s="14" t="str">
        <f>IF(OR(G73=Compilation!B71,G73=""),"",G73-Compilation!B71)</f>
        <v/>
      </c>
      <c r="I73" s="38"/>
      <c r="J73" s="14" t="str">
        <f t="shared" si="2"/>
        <v/>
      </c>
      <c r="K73" s="14" t="str">
        <f t="shared" si="3"/>
        <v/>
      </c>
    </row>
    <row r="74">
      <c r="A74" s="21">
        <f>Scores!A75</f>
        <v>64</v>
      </c>
      <c r="B74" s="14"/>
      <c r="C74" s="14"/>
      <c r="D74" s="14"/>
      <c r="E74" s="14"/>
      <c r="F74" s="14"/>
      <c r="G74" s="14" t="str">
        <f>IFERROR(__xludf.DUMMYFUNCTION("IFERROR(MIN(FILTER(B74:F74, B74:F74&lt;&gt;0)),"""")"),"")</f>
        <v/>
      </c>
      <c r="H74" s="14" t="str">
        <f>IF(OR(G74=Compilation!B72,G74=""),"",G74-Compilation!B72)</f>
        <v/>
      </c>
      <c r="I74" s="38"/>
      <c r="J74" s="14" t="str">
        <f t="shared" si="2"/>
        <v/>
      </c>
      <c r="K74" s="14" t="str">
        <f t="shared" si="3"/>
        <v/>
      </c>
    </row>
    <row r="75">
      <c r="A75" s="21">
        <f>Scores!A76</f>
        <v>65</v>
      </c>
      <c r="B75" s="14"/>
      <c r="C75" s="14"/>
      <c r="D75" s="14"/>
      <c r="E75" s="14"/>
      <c r="F75" s="14"/>
      <c r="G75" s="14" t="str">
        <f>IFERROR(__xludf.DUMMYFUNCTION("IFERROR(MIN(FILTER(B75:F75, B75:F75&lt;&gt;0)),"""")"),"")</f>
        <v/>
      </c>
      <c r="H75" s="14" t="str">
        <f>IF(OR(G75=Compilation!B73,G75=""),"",G75-Compilation!B73)</f>
        <v/>
      </c>
      <c r="I75" s="38"/>
      <c r="J75" s="14" t="str">
        <f t="shared" si="2"/>
        <v/>
      </c>
      <c r="K75" s="14" t="str">
        <f t="shared" si="3"/>
        <v/>
      </c>
    </row>
    <row r="76">
      <c r="A76" s="21">
        <f>Scores!A77</f>
        <v>66</v>
      </c>
      <c r="B76" s="14"/>
      <c r="C76" s="14"/>
      <c r="D76" s="14"/>
      <c r="E76" s="14"/>
      <c r="F76" s="14"/>
      <c r="G76" s="14" t="str">
        <f>IFERROR(__xludf.DUMMYFUNCTION("IFERROR(MIN(FILTER(B76:F76, B76:F76&lt;&gt;0)),"""")"),"")</f>
        <v/>
      </c>
      <c r="H76" s="14" t="str">
        <f>IF(OR(G76=Compilation!B74,G76=""),"",G76-Compilation!B74)</f>
        <v/>
      </c>
      <c r="I76" s="38"/>
      <c r="J76" s="14" t="str">
        <f t="shared" si="2"/>
        <v/>
      </c>
      <c r="K76" s="14" t="str">
        <f t="shared" si="3"/>
        <v/>
      </c>
    </row>
    <row r="77">
      <c r="A77" s="21">
        <f>Scores!A78</f>
        <v>67</v>
      </c>
      <c r="B77" s="14"/>
      <c r="C77" s="14"/>
      <c r="D77" s="14"/>
      <c r="E77" s="14"/>
      <c r="F77" s="14"/>
      <c r="G77" s="14" t="str">
        <f>IFERROR(__xludf.DUMMYFUNCTION("IFERROR(MIN(FILTER(B77:F77, B77:F77&lt;&gt;0)),"""")"),"")</f>
        <v/>
      </c>
      <c r="H77" s="14" t="str">
        <f>IF(OR(G77=Compilation!B75,G77=""),"",G77-Compilation!B75)</f>
        <v/>
      </c>
      <c r="I77" s="38"/>
      <c r="J77" s="14" t="str">
        <f t="shared" si="2"/>
        <v/>
      </c>
      <c r="K77" s="14" t="str">
        <f t="shared" si="3"/>
        <v/>
      </c>
    </row>
    <row r="78">
      <c r="A78" s="21">
        <f>Scores!A79</f>
        <v>68</v>
      </c>
      <c r="B78" s="14"/>
      <c r="C78" s="14"/>
      <c r="D78" s="14"/>
      <c r="E78" s="14"/>
      <c r="F78" s="14"/>
      <c r="G78" s="14" t="str">
        <f>IFERROR(__xludf.DUMMYFUNCTION("IFERROR(MIN(FILTER(B78:F78, B78:F78&lt;&gt;0)),"""")"),"")</f>
        <v/>
      </c>
      <c r="H78" s="14" t="str">
        <f>IF(OR(G78=Compilation!B76,G78=""),"",G78-Compilation!B76)</f>
        <v/>
      </c>
      <c r="I78" s="38"/>
      <c r="J78" s="14" t="str">
        <f t="shared" si="2"/>
        <v/>
      </c>
      <c r="K78" s="14" t="str">
        <f t="shared" si="3"/>
        <v/>
      </c>
    </row>
    <row r="79">
      <c r="A79" s="21">
        <f>Scores!A80</f>
        <v>69</v>
      </c>
      <c r="B79" s="14"/>
      <c r="C79" s="14"/>
      <c r="D79" s="14"/>
      <c r="E79" s="14"/>
      <c r="F79" s="14"/>
      <c r="G79" s="14" t="str">
        <f>IFERROR(__xludf.DUMMYFUNCTION("IFERROR(MIN(FILTER(B79:F79, B79:F79&lt;&gt;0)),"""")"),"")</f>
        <v/>
      </c>
      <c r="H79" s="14" t="str">
        <f>IF(OR(G79=Compilation!B77,G79=""),"",G79-Compilation!B77)</f>
        <v/>
      </c>
      <c r="I79" s="38"/>
      <c r="J79" s="14" t="str">
        <f t="shared" si="2"/>
        <v/>
      </c>
      <c r="K79" s="14" t="str">
        <f t="shared" si="3"/>
        <v/>
      </c>
    </row>
    <row r="80">
      <c r="A80" s="21">
        <f>Scores!A81</f>
        <v>70</v>
      </c>
      <c r="B80" s="14"/>
      <c r="C80" s="14"/>
      <c r="D80" s="14"/>
      <c r="E80" s="14"/>
      <c r="F80" s="14"/>
      <c r="G80" s="14" t="str">
        <f>IFERROR(__xludf.DUMMYFUNCTION("IFERROR(MIN(FILTER(B80:F80, B80:F80&lt;&gt;0)),"""")"),"")</f>
        <v/>
      </c>
      <c r="H80" s="14" t="str">
        <f>IF(OR(G80=Compilation!B78,G80=""),"",G80-Compilation!B78)</f>
        <v/>
      </c>
      <c r="I80" s="38"/>
      <c r="J80" s="14" t="str">
        <f t="shared" si="2"/>
        <v/>
      </c>
      <c r="K80" s="14" t="str">
        <f t="shared" si="3"/>
        <v/>
      </c>
    </row>
    <row r="81">
      <c r="A81" s="21">
        <f>Scores!A82</f>
        <v>71</v>
      </c>
      <c r="B81" s="14"/>
      <c r="C81" s="14"/>
      <c r="D81" s="14"/>
      <c r="E81" s="14"/>
      <c r="F81" s="14"/>
      <c r="G81" s="14" t="str">
        <f>IFERROR(__xludf.DUMMYFUNCTION("IFERROR(MIN(FILTER(B81:F81, B81:F81&lt;&gt;0)),"""")"),"")</f>
        <v/>
      </c>
      <c r="H81" s="14" t="str">
        <f>IF(OR(G81=Compilation!B79,G81=""),"",G81-Compilation!B79)</f>
        <v/>
      </c>
      <c r="I81" s="38"/>
      <c r="J81" s="14" t="str">
        <f t="shared" si="2"/>
        <v/>
      </c>
      <c r="K81" s="14" t="str">
        <f t="shared" si="3"/>
        <v/>
      </c>
    </row>
    <row r="82">
      <c r="A82" s="21">
        <f>Scores!A83</f>
        <v>72</v>
      </c>
      <c r="B82" s="14"/>
      <c r="C82" s="14"/>
      <c r="D82" s="14"/>
      <c r="E82" s="14"/>
      <c r="F82" s="14"/>
      <c r="G82" s="14" t="str">
        <f>IFERROR(__xludf.DUMMYFUNCTION("IFERROR(MIN(FILTER(B82:F82, B82:F82&lt;&gt;0)),"""")"),"")</f>
        <v/>
      </c>
      <c r="H82" s="14" t="str">
        <f>IF(OR(G82=Compilation!B80,G82=""),"",G82-Compilation!B80)</f>
        <v/>
      </c>
      <c r="I82" s="38"/>
      <c r="J82" s="14" t="str">
        <f t="shared" si="2"/>
        <v/>
      </c>
      <c r="K82" s="14" t="str">
        <f t="shared" si="3"/>
        <v/>
      </c>
    </row>
    <row r="83">
      <c r="A83" s="21">
        <f>Scores!A84</f>
        <v>73</v>
      </c>
      <c r="B83" s="14"/>
      <c r="C83" s="14"/>
      <c r="D83" s="14"/>
      <c r="E83" s="14"/>
      <c r="F83" s="14"/>
      <c r="G83" s="14" t="str">
        <f>IFERROR(__xludf.DUMMYFUNCTION("IFERROR(MIN(FILTER(B83:F83, B83:F83&lt;&gt;0)),"""")"),"")</f>
        <v/>
      </c>
      <c r="H83" s="14" t="str">
        <f>IF(OR(G83=Compilation!B81,G83=""),"",G83-Compilation!B81)</f>
        <v/>
      </c>
      <c r="I83" s="38"/>
      <c r="J83" s="14" t="str">
        <f t="shared" si="2"/>
        <v/>
      </c>
      <c r="K83" s="14" t="str">
        <f t="shared" si="3"/>
        <v/>
      </c>
    </row>
    <row r="84">
      <c r="A84" s="21">
        <f>Scores!A85</f>
        <v>74</v>
      </c>
      <c r="B84" s="14"/>
      <c r="C84" s="14"/>
      <c r="D84" s="14"/>
      <c r="E84" s="14"/>
      <c r="F84" s="14"/>
      <c r="G84" s="14" t="str">
        <f>IFERROR(__xludf.DUMMYFUNCTION("IFERROR(MIN(FILTER(B84:F84, B84:F84&lt;&gt;0)),"""")"),"")</f>
        <v/>
      </c>
      <c r="H84" s="14" t="str">
        <f>IF(OR(G84=Compilation!B82,G84=""),"",G84-Compilation!B82)</f>
        <v/>
      </c>
      <c r="I84" s="38"/>
      <c r="J84" s="14" t="str">
        <f t="shared" si="2"/>
        <v/>
      </c>
      <c r="K84" s="14" t="str">
        <f t="shared" si="3"/>
        <v/>
      </c>
    </row>
    <row r="85">
      <c r="A85" s="21">
        <f>Scores!A86</f>
        <v>75</v>
      </c>
      <c r="B85" s="14"/>
      <c r="C85" s="14"/>
      <c r="D85" s="14"/>
      <c r="E85" s="14"/>
      <c r="F85" s="14"/>
      <c r="G85" s="14" t="str">
        <f>IFERROR(__xludf.DUMMYFUNCTION("IFERROR(MIN(FILTER(B85:F85, B85:F85&lt;&gt;0)),"""")"),"")</f>
        <v/>
      </c>
      <c r="H85" s="14" t="str">
        <f>IF(OR(G85=Compilation!B83,G85=""),"",G85-Compilation!B83)</f>
        <v/>
      </c>
      <c r="I85" s="38"/>
      <c r="J85" s="14" t="str">
        <f t="shared" si="2"/>
        <v/>
      </c>
      <c r="K85" s="14" t="str">
        <f t="shared" si="3"/>
        <v/>
      </c>
    </row>
    <row r="86">
      <c r="A86" s="21">
        <f>Scores!A87</f>
        <v>76</v>
      </c>
      <c r="B86" s="14"/>
      <c r="C86" s="14"/>
      <c r="D86" s="14"/>
      <c r="E86" s="14"/>
      <c r="F86" s="14"/>
      <c r="G86" s="14" t="str">
        <f>IFERROR(__xludf.DUMMYFUNCTION("IFERROR(MIN(FILTER(B86:F86, B86:F86&lt;&gt;0)),"""")"),"")</f>
        <v/>
      </c>
      <c r="H86" s="14" t="str">
        <f>IF(OR(G86=Compilation!B84,G86=""),"",G86-Compilation!B84)</f>
        <v/>
      </c>
      <c r="I86" s="38"/>
      <c r="J86" s="14" t="str">
        <f t="shared" si="2"/>
        <v/>
      </c>
      <c r="K86" s="14" t="str">
        <f t="shared" si="3"/>
        <v/>
      </c>
    </row>
    <row r="87">
      <c r="A87" s="21">
        <f>Scores!A88</f>
        <v>77</v>
      </c>
      <c r="B87" s="14"/>
      <c r="C87" s="14"/>
      <c r="D87" s="14"/>
      <c r="E87" s="14"/>
      <c r="F87" s="14"/>
      <c r="G87" s="14" t="str">
        <f>IFERROR(__xludf.DUMMYFUNCTION("IFERROR(MIN(FILTER(B87:F87, B87:F87&lt;&gt;0)),"""")"),"")</f>
        <v/>
      </c>
      <c r="H87" s="14" t="str">
        <f>IF(OR(G87=Compilation!B85,G87=""),"",G87-Compilation!B85)</f>
        <v/>
      </c>
      <c r="I87" s="38"/>
      <c r="J87" s="14" t="str">
        <f t="shared" si="2"/>
        <v/>
      </c>
      <c r="K87" s="14" t="str">
        <f t="shared" si="3"/>
        <v/>
      </c>
    </row>
    <row r="88">
      <c r="A88" s="21">
        <f>Scores!A89</f>
        <v>78</v>
      </c>
      <c r="B88" s="14"/>
      <c r="C88" s="14"/>
      <c r="D88" s="14"/>
      <c r="E88" s="14"/>
      <c r="F88" s="14"/>
      <c r="G88" s="14" t="str">
        <f>IFERROR(__xludf.DUMMYFUNCTION("IFERROR(MIN(FILTER(B88:F88, B88:F88&lt;&gt;0)),"""")"),"")</f>
        <v/>
      </c>
      <c r="H88" s="14" t="str">
        <f>IF(OR(G88=Compilation!B86,G88=""),"",G88-Compilation!B86)</f>
        <v/>
      </c>
      <c r="I88" s="38"/>
      <c r="J88" s="14" t="str">
        <f t="shared" si="2"/>
        <v/>
      </c>
      <c r="K88" s="14" t="str">
        <f t="shared" si="3"/>
        <v/>
      </c>
    </row>
    <row r="89">
      <c r="A89" s="21">
        <f>Scores!A90</f>
        <v>79</v>
      </c>
      <c r="B89" s="14"/>
      <c r="C89" s="14"/>
      <c r="D89" s="14"/>
      <c r="E89" s="14"/>
      <c r="F89" s="14"/>
      <c r="G89" s="14" t="str">
        <f>IFERROR(__xludf.DUMMYFUNCTION("IFERROR(MIN(FILTER(B89:F89, B89:F89&lt;&gt;0)),"""")"),"")</f>
        <v/>
      </c>
      <c r="H89" s="14" t="str">
        <f>IF(OR(G89=Compilation!B87,G89=""),"",G89-Compilation!B87)</f>
        <v/>
      </c>
      <c r="I89" s="38"/>
      <c r="J89" s="14" t="str">
        <f t="shared" si="2"/>
        <v/>
      </c>
      <c r="K89" s="14" t="str">
        <f t="shared" si="3"/>
        <v/>
      </c>
    </row>
    <row r="90">
      <c r="A90" s="21">
        <f>Scores!A91</f>
        <v>80</v>
      </c>
      <c r="B90" s="14"/>
      <c r="C90" s="14"/>
      <c r="D90" s="14"/>
      <c r="E90" s="14"/>
      <c r="F90" s="14"/>
      <c r="G90" s="14" t="str">
        <f>IFERROR(__xludf.DUMMYFUNCTION("IFERROR(MIN(FILTER(B90:F90, B90:F90&lt;&gt;0)),"""")"),"")</f>
        <v/>
      </c>
      <c r="H90" s="14" t="str">
        <f>IF(OR(G90=Compilation!B88,G90=""),"",G90-Compilation!B88)</f>
        <v/>
      </c>
      <c r="I90" s="38"/>
      <c r="J90" s="14" t="str">
        <f t="shared" si="2"/>
        <v/>
      </c>
      <c r="K90" s="14" t="str">
        <f t="shared" si="3"/>
        <v/>
      </c>
    </row>
    <row r="91">
      <c r="A91" s="21">
        <f>Scores!A92</f>
        <v>81</v>
      </c>
      <c r="B91" s="14"/>
      <c r="C91" s="14"/>
      <c r="D91" s="14"/>
      <c r="E91" s="14"/>
      <c r="F91" s="14"/>
      <c r="G91" s="14" t="str">
        <f>IFERROR(__xludf.DUMMYFUNCTION("IFERROR(MIN(FILTER(B91:F91, B91:F91&lt;&gt;0)),"""")"),"")</f>
        <v/>
      </c>
      <c r="H91" s="14" t="str">
        <f>IF(OR(G91=Compilation!B89,G91=""),"",G91-Compilation!B89)</f>
        <v/>
      </c>
      <c r="I91" s="38"/>
      <c r="J91" s="14" t="str">
        <f t="shared" si="2"/>
        <v/>
      </c>
      <c r="K91" s="14" t="str">
        <f t="shared" si="3"/>
        <v/>
      </c>
    </row>
    <row r="92">
      <c r="A92" s="21">
        <f>Scores!A93</f>
        <v>82</v>
      </c>
      <c r="B92" s="14"/>
      <c r="C92" s="14"/>
      <c r="D92" s="14"/>
      <c r="E92" s="14"/>
      <c r="F92" s="14"/>
      <c r="G92" s="14" t="str">
        <f>IFERROR(__xludf.DUMMYFUNCTION("IFERROR(MIN(FILTER(B92:F92, B92:F92&lt;&gt;0)),"""")"),"")</f>
        <v/>
      </c>
      <c r="H92" s="14" t="str">
        <f>IF(OR(G92=Compilation!B90,G92=""),"",G92-Compilation!B90)</f>
        <v/>
      </c>
      <c r="I92" s="38"/>
      <c r="J92" s="14" t="str">
        <f t="shared" si="2"/>
        <v/>
      </c>
      <c r="K92" s="14" t="str">
        <f t="shared" si="3"/>
        <v/>
      </c>
    </row>
    <row r="93">
      <c r="A93" s="21">
        <f>Scores!A94</f>
        <v>83</v>
      </c>
      <c r="B93" s="14"/>
      <c r="C93" s="14"/>
      <c r="D93" s="14"/>
      <c r="E93" s="14"/>
      <c r="F93" s="14"/>
      <c r="G93" s="14" t="str">
        <f>IFERROR(__xludf.DUMMYFUNCTION("IFERROR(MIN(FILTER(B93:F93, B93:F93&lt;&gt;0)),"""")"),"")</f>
        <v/>
      </c>
      <c r="H93" s="14" t="str">
        <f>IF(OR(G93=Compilation!B91,G93=""),"",G93-Compilation!B91)</f>
        <v/>
      </c>
      <c r="I93" s="38"/>
      <c r="J93" s="14" t="str">
        <f t="shared" si="2"/>
        <v/>
      </c>
      <c r="K93" s="14" t="str">
        <f t="shared" si="3"/>
        <v/>
      </c>
    </row>
    <row r="94">
      <c r="A94" s="21">
        <f>Scores!A95</f>
        <v>84</v>
      </c>
      <c r="B94" s="14"/>
      <c r="C94" s="14"/>
      <c r="D94" s="14"/>
      <c r="E94" s="14"/>
      <c r="F94" s="14"/>
      <c r="G94" s="14" t="str">
        <f>IFERROR(__xludf.DUMMYFUNCTION("IFERROR(MIN(FILTER(B94:F94, B94:F94&lt;&gt;0)),"""")"),"")</f>
        <v/>
      </c>
      <c r="H94" s="14" t="str">
        <f>IF(OR(G94=Compilation!B92,G94=""),"",G94-Compilation!B92)</f>
        <v/>
      </c>
      <c r="I94" s="38"/>
      <c r="J94" s="14" t="str">
        <f t="shared" si="2"/>
        <v/>
      </c>
      <c r="K94" s="14" t="str">
        <f t="shared" si="3"/>
        <v/>
      </c>
    </row>
    <row r="95">
      <c r="A95" s="21">
        <f>Scores!A96</f>
        <v>85</v>
      </c>
      <c r="B95" s="14"/>
      <c r="C95" s="14"/>
      <c r="D95" s="14"/>
      <c r="E95" s="14"/>
      <c r="F95" s="14"/>
      <c r="G95" s="14" t="str">
        <f>IFERROR(__xludf.DUMMYFUNCTION("IFERROR(MIN(FILTER(B95:F95, B95:F95&lt;&gt;0)),"""")"),"")</f>
        <v/>
      </c>
      <c r="H95" s="14" t="str">
        <f>IF(OR(G95=Compilation!B93,G95=""),"",G95-Compilation!B93)</f>
        <v/>
      </c>
      <c r="I95" s="38"/>
      <c r="J95" s="14" t="str">
        <f t="shared" si="2"/>
        <v/>
      </c>
      <c r="K95" s="14" t="str">
        <f t="shared" si="3"/>
        <v/>
      </c>
    </row>
    <row r="96">
      <c r="A96" s="21">
        <f>Scores!A97</f>
        <v>86</v>
      </c>
      <c r="B96" s="14"/>
      <c r="C96" s="14"/>
      <c r="D96" s="14"/>
      <c r="E96" s="14"/>
      <c r="F96" s="14"/>
      <c r="G96" s="14" t="str">
        <f>IFERROR(__xludf.DUMMYFUNCTION("IFERROR(MIN(FILTER(B96:F96, B96:F96&lt;&gt;0)),"""")"),"")</f>
        <v/>
      </c>
      <c r="H96" s="14" t="str">
        <f>IF(OR(G96=Compilation!B94,G96=""),"",G96-Compilation!B94)</f>
        <v/>
      </c>
      <c r="I96" s="38"/>
      <c r="J96" s="14" t="str">
        <f t="shared" si="2"/>
        <v/>
      </c>
      <c r="K96" s="14" t="str">
        <f t="shared" si="3"/>
        <v/>
      </c>
    </row>
    <row r="97">
      <c r="A97" s="21">
        <f>Scores!A98</f>
        <v>87</v>
      </c>
      <c r="B97" s="14"/>
      <c r="C97" s="14"/>
      <c r="D97" s="14"/>
      <c r="E97" s="14"/>
      <c r="F97" s="14"/>
      <c r="G97" s="14" t="str">
        <f>IFERROR(__xludf.DUMMYFUNCTION("IFERROR(MIN(FILTER(B97:F97, B97:F97&lt;&gt;0)),"""")"),"")</f>
        <v/>
      </c>
      <c r="H97" s="14" t="str">
        <f>IF(OR(G97=Compilation!B95,G97=""),"",G97-Compilation!B95)</f>
        <v/>
      </c>
      <c r="I97" s="38"/>
      <c r="J97" s="14" t="str">
        <f t="shared" si="2"/>
        <v/>
      </c>
      <c r="K97" s="14" t="str">
        <f t="shared" si="3"/>
        <v/>
      </c>
    </row>
    <row r="98">
      <c r="A98" s="21">
        <f>Scores!A99</f>
        <v>88</v>
      </c>
      <c r="B98" s="14"/>
      <c r="C98" s="14"/>
      <c r="D98" s="14"/>
      <c r="E98" s="14"/>
      <c r="F98" s="14"/>
      <c r="G98" s="14" t="str">
        <f>IFERROR(__xludf.DUMMYFUNCTION("IFERROR(MIN(FILTER(B98:F98, B98:F98&lt;&gt;0)),"""")"),"")</f>
        <v/>
      </c>
      <c r="H98" s="14" t="str">
        <f>IF(OR(G98=Compilation!B96,G98=""),"",G98-Compilation!B96)</f>
        <v/>
      </c>
      <c r="I98" s="38"/>
      <c r="J98" s="14" t="str">
        <f t="shared" si="2"/>
        <v/>
      </c>
      <c r="K98" s="14" t="str">
        <f t="shared" si="3"/>
        <v/>
      </c>
    </row>
    <row r="99">
      <c r="A99" s="21">
        <f>Scores!A100</f>
        <v>89</v>
      </c>
      <c r="B99" s="14"/>
      <c r="C99" s="14"/>
      <c r="D99" s="14"/>
      <c r="E99" s="14"/>
      <c r="F99" s="14"/>
      <c r="G99" s="14" t="str">
        <f>IFERROR(__xludf.DUMMYFUNCTION("IFERROR(MIN(FILTER(B99:F99, B99:F99&lt;&gt;0)),"""")"),"")</f>
        <v/>
      </c>
      <c r="H99" s="14" t="str">
        <f>IF(OR(G99=Compilation!B97,G99=""),"",G99-Compilation!B97)</f>
        <v/>
      </c>
      <c r="I99" s="38"/>
      <c r="J99" s="14" t="str">
        <f t="shared" si="2"/>
        <v/>
      </c>
      <c r="K99" s="14" t="str">
        <f t="shared" si="3"/>
        <v/>
      </c>
    </row>
    <row r="100">
      <c r="A100" s="21">
        <f>Scores!A101</f>
        <v>90</v>
      </c>
      <c r="B100" s="14"/>
      <c r="C100" s="14"/>
      <c r="D100" s="14"/>
      <c r="E100" s="14"/>
      <c r="F100" s="14"/>
      <c r="G100" s="14" t="str">
        <f>IFERROR(__xludf.DUMMYFUNCTION("IFERROR(MIN(FILTER(B100:F100, B100:F100&lt;&gt;0)),"""")"),"")</f>
        <v/>
      </c>
      <c r="H100" s="14" t="str">
        <f>IF(OR(G100=Compilation!B98,G100=""),"",G100-Compilation!B98)</f>
        <v/>
      </c>
      <c r="I100" s="38"/>
      <c r="J100" s="14" t="str">
        <f t="shared" si="2"/>
        <v/>
      </c>
      <c r="K100" s="14" t="str">
        <f t="shared" si="3"/>
        <v/>
      </c>
    </row>
    <row r="101">
      <c r="A101" s="21">
        <f>Scores!A102</f>
        <v>91</v>
      </c>
      <c r="B101" s="14"/>
      <c r="C101" s="14"/>
      <c r="D101" s="14"/>
      <c r="E101" s="14"/>
      <c r="F101" s="14"/>
      <c r="G101" s="14" t="str">
        <f>IFERROR(__xludf.DUMMYFUNCTION("IFERROR(MIN(FILTER(B101:F101, B101:F101&lt;&gt;0)),"""")"),"")</f>
        <v/>
      </c>
      <c r="H101" s="14" t="str">
        <f>IF(OR(G101=Compilation!B99,G101=""),"",G101-Compilation!B99)</f>
        <v/>
      </c>
      <c r="I101" s="38"/>
      <c r="J101" s="14" t="str">
        <f t="shared" si="2"/>
        <v/>
      </c>
      <c r="K101" s="14" t="str">
        <f t="shared" si="3"/>
        <v/>
      </c>
    </row>
    <row r="102">
      <c r="A102" s="21">
        <f>Scores!A103</f>
        <v>92</v>
      </c>
      <c r="B102" s="14"/>
      <c r="C102" s="14"/>
      <c r="D102" s="14"/>
      <c r="E102" s="14"/>
      <c r="F102" s="14"/>
      <c r="G102" s="14" t="str">
        <f>IFERROR(__xludf.DUMMYFUNCTION("IFERROR(MIN(FILTER(B102:F102, B102:F102&lt;&gt;0)),"""")"),"")</f>
        <v/>
      </c>
      <c r="H102" s="14" t="str">
        <f>IF(OR(G102=Compilation!B100,G102=""),"",G102-Compilation!B100)</f>
        <v/>
      </c>
      <c r="I102" s="38"/>
      <c r="J102" s="14" t="str">
        <f t="shared" si="2"/>
        <v/>
      </c>
      <c r="K102" s="14" t="str">
        <f t="shared" si="3"/>
        <v/>
      </c>
    </row>
    <row r="103">
      <c r="A103" s="21">
        <f>Scores!A104</f>
        <v>93</v>
      </c>
      <c r="B103" s="14"/>
      <c r="C103" s="14"/>
      <c r="D103" s="14"/>
      <c r="E103" s="14"/>
      <c r="F103" s="14"/>
      <c r="G103" s="14" t="str">
        <f>IFERROR(__xludf.DUMMYFUNCTION("IFERROR(MIN(FILTER(B103:F103, B103:F103&lt;&gt;0)),"""")"),"")</f>
        <v/>
      </c>
      <c r="H103" s="14" t="str">
        <f>IF(OR(G103=Compilation!B101,G103=""),"",G103-Compilation!B101)</f>
        <v/>
      </c>
      <c r="I103" s="38"/>
      <c r="J103" s="14" t="str">
        <f t="shared" si="2"/>
        <v/>
      </c>
      <c r="K103" s="14" t="str">
        <f t="shared" si="3"/>
        <v/>
      </c>
    </row>
    <row r="104">
      <c r="A104" s="21">
        <f>Scores!A105</f>
        <v>94</v>
      </c>
      <c r="B104" s="14"/>
      <c r="C104" s="14"/>
      <c r="D104" s="14"/>
      <c r="E104" s="14"/>
      <c r="F104" s="14"/>
      <c r="G104" s="14" t="str">
        <f>IFERROR(__xludf.DUMMYFUNCTION("IFERROR(MIN(FILTER(B104:F104, B104:F104&lt;&gt;0)),"""")"),"")</f>
        <v/>
      </c>
      <c r="H104" s="14" t="str">
        <f>IF(OR(G104=Compilation!B102,G104=""),"",G104-Compilation!B102)</f>
        <v/>
      </c>
      <c r="I104" s="38"/>
      <c r="J104" s="14" t="str">
        <f t="shared" si="2"/>
        <v/>
      </c>
      <c r="K104" s="14" t="str">
        <f t="shared" si="3"/>
        <v/>
      </c>
    </row>
    <row r="105">
      <c r="A105" s="21">
        <f>Scores!A106</f>
        <v>95</v>
      </c>
      <c r="B105" s="14"/>
      <c r="C105" s="14"/>
      <c r="D105" s="14"/>
      <c r="E105" s="14"/>
      <c r="F105" s="14"/>
      <c r="G105" s="14" t="str">
        <f>IFERROR(__xludf.DUMMYFUNCTION("IFERROR(MIN(FILTER(B105:F105, B105:F105&lt;&gt;0)),"""")"),"")</f>
        <v/>
      </c>
      <c r="H105" s="14" t="str">
        <f>IF(OR(G105=Compilation!B103,G105=""),"",G105-Compilation!B103)</f>
        <v/>
      </c>
      <c r="I105" s="38"/>
      <c r="J105" s="14" t="str">
        <f t="shared" si="2"/>
        <v/>
      </c>
      <c r="K105" s="14" t="str">
        <f t="shared" si="3"/>
        <v/>
      </c>
    </row>
    <row r="106">
      <c r="A106" s="21">
        <f>Scores!A107</f>
        <v>96</v>
      </c>
      <c r="B106" s="14"/>
      <c r="C106" s="14"/>
      <c r="D106" s="14"/>
      <c r="E106" s="14"/>
      <c r="F106" s="14"/>
      <c r="G106" s="14" t="str">
        <f>IFERROR(__xludf.DUMMYFUNCTION("IFERROR(MIN(FILTER(B106:F106, B106:F106&lt;&gt;0)),"""")"),"")</f>
        <v/>
      </c>
      <c r="H106" s="14" t="str">
        <f>IF(OR(G106=Compilation!B104,G106=""),"",G106-Compilation!B104)</f>
        <v/>
      </c>
      <c r="I106" s="38"/>
      <c r="J106" s="14" t="str">
        <f t="shared" si="2"/>
        <v/>
      </c>
      <c r="K106" s="14" t="str">
        <f t="shared" si="3"/>
        <v/>
      </c>
    </row>
    <row r="107">
      <c r="A107" s="21">
        <f>Scores!A108</f>
        <v>97</v>
      </c>
      <c r="B107" s="14"/>
      <c r="C107" s="14"/>
      <c r="D107" s="14"/>
      <c r="E107" s="14"/>
      <c r="F107" s="14"/>
      <c r="G107" s="14" t="str">
        <f>IFERROR(__xludf.DUMMYFUNCTION("IFERROR(MIN(FILTER(B107:F107, B107:F107&lt;&gt;0)),"""")"),"")</f>
        <v/>
      </c>
      <c r="H107" s="14" t="str">
        <f>IF(OR(G107=Compilation!B105,G107=""),"",G107-Compilation!B105)</f>
        <v/>
      </c>
      <c r="I107" s="38"/>
      <c r="J107" s="14" t="str">
        <f t="shared" si="2"/>
        <v/>
      </c>
      <c r="K107" s="14" t="str">
        <f t="shared" si="3"/>
        <v/>
      </c>
    </row>
    <row r="108">
      <c r="A108" s="21">
        <f>Scores!A109</f>
        <v>98</v>
      </c>
      <c r="B108" s="14"/>
      <c r="C108" s="14"/>
      <c r="D108" s="14"/>
      <c r="E108" s="14"/>
      <c r="F108" s="14"/>
      <c r="G108" s="14" t="str">
        <f>IFERROR(__xludf.DUMMYFUNCTION("IFERROR(MIN(FILTER(B108:F108, B108:F108&lt;&gt;0)),"""")"),"")</f>
        <v/>
      </c>
      <c r="H108" s="14" t="str">
        <f>IF(OR(G108=Compilation!B106,G108=""),"",G108-Compilation!B106)</f>
        <v/>
      </c>
      <c r="I108" s="38"/>
      <c r="J108" s="14" t="str">
        <f t="shared" si="2"/>
        <v/>
      </c>
      <c r="K108" s="14" t="str">
        <f t="shared" si="3"/>
        <v/>
      </c>
    </row>
    <row r="109">
      <c r="A109" s="21">
        <f>Scores!A110</f>
        <v>99</v>
      </c>
      <c r="B109" s="14"/>
      <c r="C109" s="14"/>
      <c r="D109" s="14"/>
      <c r="E109" s="14"/>
      <c r="F109" s="14"/>
      <c r="G109" s="14" t="str">
        <f>IFERROR(__xludf.DUMMYFUNCTION("IFERROR(MIN(FILTER(B109:F109, B109:F109&lt;&gt;0)),"""")"),"")</f>
        <v/>
      </c>
      <c r="H109" s="14" t="str">
        <f>IF(OR(G109=Compilation!B107,G109=""),"",G109-Compilation!B107)</f>
        <v/>
      </c>
      <c r="I109" s="38"/>
      <c r="J109" s="14" t="str">
        <f t="shared" si="2"/>
        <v/>
      </c>
      <c r="K109" s="14" t="str">
        <f t="shared" si="3"/>
        <v/>
      </c>
    </row>
    <row r="110">
      <c r="A110" s="21">
        <f>Scores!A111</f>
        <v>100</v>
      </c>
      <c r="B110" s="14"/>
      <c r="C110" s="14"/>
      <c r="D110" s="14"/>
      <c r="E110" s="14"/>
      <c r="F110" s="14"/>
      <c r="G110" s="14" t="str">
        <f>IFERROR(__xludf.DUMMYFUNCTION("IFERROR(MIN(FILTER(B110:F110, B110:F110&lt;&gt;0)),"""")"),"")</f>
        <v/>
      </c>
      <c r="H110" s="14" t="str">
        <f>IF(OR(G110=Compilation!B108,G110=""),"",G110-Compilation!B108)</f>
        <v/>
      </c>
      <c r="I110" s="38"/>
      <c r="J110" s="14" t="str">
        <f t="shared" si="2"/>
        <v/>
      </c>
      <c r="K110" s="14" t="str">
        <f t="shared" si="3"/>
        <v/>
      </c>
    </row>
    <row r="111">
      <c r="A111" s="21">
        <f>Scores!A112</f>
        <v>101</v>
      </c>
      <c r="B111" s="14"/>
      <c r="C111" s="14"/>
      <c r="D111" s="14"/>
      <c r="E111" s="14"/>
      <c r="F111" s="14"/>
      <c r="G111" s="14" t="str">
        <f>IFERROR(__xludf.DUMMYFUNCTION("IFERROR(MIN(FILTER(B111:F111, B111:F111&lt;&gt;0)),"""")"),"")</f>
        <v/>
      </c>
      <c r="H111" s="14" t="str">
        <f>IF(OR(G111=Compilation!B109,G111=""),"",G111-Compilation!B109)</f>
        <v/>
      </c>
      <c r="I111" s="38"/>
      <c r="J111" s="14" t="str">
        <f t="shared" si="2"/>
        <v/>
      </c>
      <c r="K111" s="14" t="str">
        <f t="shared" si="3"/>
        <v/>
      </c>
    </row>
    <row r="112">
      <c r="A112" s="21">
        <f>Scores!A113</f>
        <v>102</v>
      </c>
      <c r="B112" s="14"/>
      <c r="C112" s="14"/>
      <c r="D112" s="14"/>
      <c r="E112" s="14"/>
      <c r="F112" s="14"/>
      <c r="G112" s="14" t="str">
        <f>IFERROR(__xludf.DUMMYFUNCTION("IFERROR(MIN(FILTER(B112:F112, B112:F112&lt;&gt;0)),"""")"),"")</f>
        <v/>
      </c>
      <c r="H112" s="14" t="str">
        <f>IF(OR(G112=Compilation!B110,G112=""),"",G112-Compilation!B110)</f>
        <v/>
      </c>
      <c r="I112" s="38"/>
      <c r="J112" s="14" t="str">
        <f t="shared" si="2"/>
        <v/>
      </c>
      <c r="K112" s="14" t="str">
        <f t="shared" si="3"/>
        <v/>
      </c>
    </row>
    <row r="113">
      <c r="A113" s="21">
        <f>Scores!A114</f>
        <v>103</v>
      </c>
      <c r="B113" s="14"/>
      <c r="C113" s="14"/>
      <c r="D113" s="14"/>
      <c r="E113" s="14"/>
      <c r="F113" s="14"/>
      <c r="G113" s="14" t="str">
        <f>IFERROR(__xludf.DUMMYFUNCTION("IFERROR(MIN(FILTER(B113:F113, B113:F113&lt;&gt;0)),"""")"),"")</f>
        <v/>
      </c>
      <c r="H113" s="14" t="str">
        <f>IF(OR(G113=Compilation!B111,G113=""),"",G113-Compilation!B111)</f>
        <v/>
      </c>
      <c r="I113" s="38"/>
      <c r="J113" s="14" t="str">
        <f t="shared" si="2"/>
        <v/>
      </c>
      <c r="K113" s="14" t="str">
        <f t="shared" si="3"/>
        <v/>
      </c>
    </row>
    <row r="114">
      <c r="A114" s="21">
        <f>Scores!A115</f>
        <v>104</v>
      </c>
      <c r="B114" s="14"/>
      <c r="C114" s="14"/>
      <c r="D114" s="14"/>
      <c r="E114" s="14"/>
      <c r="F114" s="14"/>
      <c r="G114" s="14" t="str">
        <f>IFERROR(__xludf.DUMMYFUNCTION("IFERROR(MIN(FILTER(B114:F114, B114:F114&lt;&gt;0)),"""")"),"")</f>
        <v/>
      </c>
      <c r="H114" s="14" t="str">
        <f>IF(OR(G114=Compilation!B112,G114=""),"",G114-Compilation!B112)</f>
        <v/>
      </c>
      <c r="I114" s="38"/>
      <c r="J114" s="14" t="str">
        <f t="shared" si="2"/>
        <v/>
      </c>
      <c r="K114" s="14" t="str">
        <f t="shared" si="3"/>
        <v/>
      </c>
    </row>
    <row r="115">
      <c r="A115" s="21">
        <f>Scores!A116</f>
        <v>105</v>
      </c>
      <c r="B115" s="14"/>
      <c r="C115" s="14"/>
      <c r="D115" s="14"/>
      <c r="E115" s="14"/>
      <c r="F115" s="14"/>
      <c r="G115" s="14" t="str">
        <f>IFERROR(__xludf.DUMMYFUNCTION("IFERROR(MIN(FILTER(B115:F115, B115:F115&lt;&gt;0)),"""")"),"")</f>
        <v/>
      </c>
      <c r="H115" s="14" t="str">
        <f>IF(OR(G115=Compilation!B113,G115=""),"",G115-Compilation!B113)</f>
        <v/>
      </c>
      <c r="I115" s="38"/>
      <c r="J115" s="14" t="str">
        <f t="shared" si="2"/>
        <v/>
      </c>
      <c r="K115" s="14" t="str">
        <f t="shared" si="3"/>
        <v/>
      </c>
    </row>
    <row r="116">
      <c r="A116" s="21">
        <f>Scores!A117</f>
        <v>106</v>
      </c>
      <c r="B116" s="14"/>
      <c r="C116" s="14"/>
      <c r="D116" s="14"/>
      <c r="E116" s="14"/>
      <c r="F116" s="14"/>
      <c r="G116" s="14" t="str">
        <f>IFERROR(__xludf.DUMMYFUNCTION("IFERROR(MIN(FILTER(B116:F116, B116:F116&lt;&gt;0)),"""")"),"")</f>
        <v/>
      </c>
      <c r="H116" s="14" t="str">
        <f>IF(OR(G116=Compilation!B114,G116=""),"",G116-Compilation!B114)</f>
        <v/>
      </c>
      <c r="I116" s="38"/>
      <c r="J116" s="14" t="str">
        <f t="shared" si="2"/>
        <v/>
      </c>
      <c r="K116" s="14" t="str">
        <f t="shared" si="3"/>
        <v/>
      </c>
    </row>
    <row r="117">
      <c r="A117" s="21">
        <f>Scores!A118</f>
        <v>107</v>
      </c>
      <c r="B117" s="14"/>
      <c r="C117" s="14"/>
      <c r="D117" s="14"/>
      <c r="E117" s="14"/>
      <c r="F117" s="14"/>
      <c r="G117" s="14" t="str">
        <f>IFERROR(__xludf.DUMMYFUNCTION("IFERROR(MIN(FILTER(B117:F117, B117:F117&lt;&gt;0)),"""")"),"")</f>
        <v/>
      </c>
      <c r="H117" s="14" t="str">
        <f>IF(OR(G117=Compilation!B115,G117=""),"",G117-Compilation!B115)</f>
        <v/>
      </c>
      <c r="I117" s="38"/>
      <c r="J117" s="14" t="str">
        <f t="shared" si="2"/>
        <v/>
      </c>
      <c r="K117" s="14" t="str">
        <f t="shared" si="3"/>
        <v/>
      </c>
    </row>
    <row r="118">
      <c r="A118" s="21">
        <f>Scores!A119</f>
        <v>108</v>
      </c>
      <c r="B118" s="14"/>
      <c r="C118" s="14"/>
      <c r="D118" s="14"/>
      <c r="E118" s="14"/>
      <c r="F118" s="14"/>
      <c r="G118" s="14" t="str">
        <f>IFERROR(__xludf.DUMMYFUNCTION("IFERROR(MIN(FILTER(B118:F118, B118:F118&lt;&gt;0)),"""")"),"")</f>
        <v/>
      </c>
      <c r="H118" s="14" t="str">
        <f>IF(OR(G118=Compilation!B116,G118=""),"",G118-Compilation!B116)</f>
        <v/>
      </c>
      <c r="I118" s="38"/>
      <c r="J118" s="14" t="str">
        <f t="shared" si="2"/>
        <v/>
      </c>
      <c r="K118" s="14" t="str">
        <f t="shared" si="3"/>
        <v/>
      </c>
    </row>
    <row r="119">
      <c r="A119" s="21">
        <f>Scores!A120</f>
        <v>109</v>
      </c>
      <c r="B119" s="14"/>
      <c r="C119" s="14"/>
      <c r="D119" s="14"/>
      <c r="E119" s="14"/>
      <c r="F119" s="14"/>
      <c r="G119" s="14" t="str">
        <f>IFERROR(__xludf.DUMMYFUNCTION("IFERROR(MIN(FILTER(B119:F119, B119:F119&lt;&gt;0)),"""")"),"")</f>
        <v/>
      </c>
      <c r="H119" s="14" t="str">
        <f>IF(OR(G119=Compilation!B117,G119=""),"",G119-Compilation!B117)</f>
        <v/>
      </c>
      <c r="I119" s="38"/>
      <c r="J119" s="14" t="str">
        <f t="shared" si="2"/>
        <v/>
      </c>
      <c r="K119" s="14" t="str">
        <f t="shared" si="3"/>
        <v/>
      </c>
    </row>
    <row r="120">
      <c r="A120" s="21">
        <f>Scores!A121</f>
        <v>110</v>
      </c>
      <c r="B120" s="14"/>
      <c r="C120" s="14"/>
      <c r="D120" s="14"/>
      <c r="E120" s="14"/>
      <c r="F120" s="14"/>
      <c r="G120" s="14" t="str">
        <f>IFERROR(__xludf.DUMMYFUNCTION("IFERROR(MIN(FILTER(B120:F120, B120:F120&lt;&gt;0)),"""")"),"")</f>
        <v/>
      </c>
      <c r="H120" s="14" t="str">
        <f>IF(OR(G120=Compilation!B118,G120=""),"",G120-Compilation!B118)</f>
        <v/>
      </c>
      <c r="I120" s="38"/>
      <c r="J120" s="14" t="str">
        <f t="shared" si="2"/>
        <v/>
      </c>
      <c r="K120" s="14" t="str">
        <f t="shared" si="3"/>
        <v/>
      </c>
    </row>
    <row r="121">
      <c r="A121" s="21">
        <f>Scores!A122</f>
        <v>111</v>
      </c>
      <c r="B121" s="14"/>
      <c r="C121" s="14"/>
      <c r="D121" s="14"/>
      <c r="E121" s="14"/>
      <c r="F121" s="14"/>
      <c r="G121" s="14" t="str">
        <f>IFERROR(__xludf.DUMMYFUNCTION("IFERROR(MIN(FILTER(B121:F121, B121:F121&lt;&gt;0)),"""")"),"")</f>
        <v/>
      </c>
      <c r="H121" s="14" t="str">
        <f>IF(OR(G121=Compilation!B119,G121=""),"",G121-Compilation!B119)</f>
        <v/>
      </c>
      <c r="I121" s="38"/>
      <c r="J121" s="14" t="str">
        <f t="shared" si="2"/>
        <v/>
      </c>
      <c r="K121" s="14" t="str">
        <f t="shared" si="3"/>
        <v/>
      </c>
    </row>
    <row r="122">
      <c r="A122" s="21">
        <f>Scores!A123</f>
        <v>112</v>
      </c>
      <c r="B122" s="14"/>
      <c r="C122" s="14"/>
      <c r="D122" s="14"/>
      <c r="E122" s="14"/>
      <c r="F122" s="14"/>
      <c r="G122" s="14" t="str">
        <f>IFERROR(__xludf.DUMMYFUNCTION("IFERROR(MIN(FILTER(B122:F122, B122:F122&lt;&gt;0)),"""")"),"")</f>
        <v/>
      </c>
      <c r="H122" s="14" t="str">
        <f>IF(OR(G122=Compilation!B120,G122=""),"",G122-Compilation!B120)</f>
        <v/>
      </c>
      <c r="I122" s="38"/>
      <c r="J122" s="14" t="str">
        <f t="shared" si="2"/>
        <v/>
      </c>
      <c r="K122" s="14" t="str">
        <f t="shared" si="3"/>
        <v/>
      </c>
    </row>
    <row r="123">
      <c r="A123" s="21">
        <f>Scores!A124</f>
        <v>113</v>
      </c>
      <c r="B123" s="14"/>
      <c r="C123" s="14"/>
      <c r="D123" s="14"/>
      <c r="E123" s="14"/>
      <c r="F123" s="14"/>
      <c r="G123" s="14" t="str">
        <f>IFERROR(__xludf.DUMMYFUNCTION("IFERROR(MIN(FILTER(B123:F123, B123:F123&lt;&gt;0)),"""")"),"")</f>
        <v/>
      </c>
      <c r="H123" s="14" t="str">
        <f>IF(OR(G123=Compilation!B121,G123=""),"",G123-Compilation!B121)</f>
        <v/>
      </c>
      <c r="I123" s="38"/>
      <c r="J123" s="14" t="str">
        <f t="shared" si="2"/>
        <v/>
      </c>
      <c r="K123" s="14" t="str">
        <f t="shared" si="3"/>
        <v/>
      </c>
    </row>
    <row r="124">
      <c r="A124" s="21">
        <f>Scores!A125</f>
        <v>114</v>
      </c>
      <c r="B124" s="14"/>
      <c r="C124" s="14"/>
      <c r="D124" s="14"/>
      <c r="E124" s="14"/>
      <c r="F124" s="14"/>
      <c r="G124" s="14" t="str">
        <f>IFERROR(__xludf.DUMMYFUNCTION("IFERROR(MIN(FILTER(B124:F124, B124:F124&lt;&gt;0)),"""")"),"")</f>
        <v/>
      </c>
      <c r="H124" s="14" t="str">
        <f>IF(OR(G124=Compilation!B122,G124=""),"",G124-Compilation!B122)</f>
        <v/>
      </c>
      <c r="I124" s="38"/>
      <c r="J124" s="14" t="str">
        <f t="shared" si="2"/>
        <v/>
      </c>
      <c r="K124" s="14" t="str">
        <f t="shared" si="3"/>
        <v/>
      </c>
    </row>
    <row r="125">
      <c r="A125" s="21">
        <f>Scores!A126</f>
        <v>115</v>
      </c>
      <c r="B125" s="14"/>
      <c r="C125" s="14"/>
      <c r="D125" s="14"/>
      <c r="E125" s="14"/>
      <c r="F125" s="14"/>
      <c r="G125" s="14" t="str">
        <f>IFERROR(__xludf.DUMMYFUNCTION("IFERROR(MIN(FILTER(B125:F125, B125:F125&lt;&gt;0)),"""")"),"")</f>
        <v/>
      </c>
      <c r="H125" s="14" t="str">
        <f>IF(OR(G125=Compilation!B123,G125=""),"",G125-Compilation!B123)</f>
        <v/>
      </c>
      <c r="I125" s="38"/>
      <c r="J125" s="14" t="str">
        <f t="shared" si="2"/>
        <v/>
      </c>
      <c r="K125" s="14" t="str">
        <f t="shared" si="3"/>
        <v/>
      </c>
    </row>
    <row r="126">
      <c r="A126" s="21">
        <f>Scores!A127</f>
        <v>116</v>
      </c>
      <c r="B126" s="14"/>
      <c r="C126" s="14"/>
      <c r="D126" s="14"/>
      <c r="E126" s="14"/>
      <c r="F126" s="14"/>
      <c r="G126" s="14" t="str">
        <f>IFERROR(__xludf.DUMMYFUNCTION("IFERROR(MIN(FILTER(B126:F126, B126:F126&lt;&gt;0)),"""")"),"")</f>
        <v/>
      </c>
      <c r="H126" s="14" t="str">
        <f>IF(OR(G126=Compilation!B124,G126=""),"",G126-Compilation!B124)</f>
        <v/>
      </c>
      <c r="I126" s="38"/>
      <c r="J126" s="14" t="str">
        <f t="shared" si="2"/>
        <v/>
      </c>
      <c r="K126" s="14" t="str">
        <f t="shared" si="3"/>
        <v/>
      </c>
    </row>
    <row r="127">
      <c r="A127" s="21">
        <f>Scores!A128</f>
        <v>117</v>
      </c>
      <c r="B127" s="14"/>
      <c r="C127" s="14"/>
      <c r="D127" s="14"/>
      <c r="E127" s="14"/>
      <c r="F127" s="14"/>
      <c r="G127" s="14" t="str">
        <f>IFERROR(__xludf.DUMMYFUNCTION("IFERROR(MIN(FILTER(B127:F127, B127:F127&lt;&gt;0)),"""")"),"")</f>
        <v/>
      </c>
      <c r="H127" s="14" t="str">
        <f>IF(OR(G127=Compilation!B125,G127=""),"",G127-Compilation!B125)</f>
        <v/>
      </c>
      <c r="I127" s="38"/>
      <c r="J127" s="14" t="str">
        <f t="shared" si="2"/>
        <v/>
      </c>
      <c r="K127" s="14" t="str">
        <f t="shared" si="3"/>
        <v/>
      </c>
    </row>
    <row r="128">
      <c r="A128" s="21">
        <f>Scores!A129</f>
        <v>118</v>
      </c>
      <c r="B128" s="14"/>
      <c r="C128" s="14"/>
      <c r="D128" s="14"/>
      <c r="E128" s="14"/>
      <c r="F128" s="14"/>
      <c r="G128" s="14" t="str">
        <f>IFERROR(__xludf.DUMMYFUNCTION("IFERROR(MIN(FILTER(B128:F128, B128:F128&lt;&gt;0)),"""")"),"")</f>
        <v/>
      </c>
      <c r="H128" s="14" t="str">
        <f>IF(OR(G128=Compilation!B126,G128=""),"",G128-Compilation!B126)</f>
        <v/>
      </c>
      <c r="I128" s="38"/>
      <c r="J128" s="14" t="str">
        <f t="shared" si="2"/>
        <v/>
      </c>
      <c r="K128" s="14" t="str">
        <f t="shared" si="3"/>
        <v/>
      </c>
    </row>
    <row r="129">
      <c r="A129" s="21">
        <f>Scores!A130</f>
        <v>119</v>
      </c>
      <c r="B129" s="14"/>
      <c r="C129" s="14"/>
      <c r="D129" s="14"/>
      <c r="E129" s="14"/>
      <c r="F129" s="14"/>
      <c r="G129" s="14" t="str">
        <f>IFERROR(__xludf.DUMMYFUNCTION("IFERROR(MIN(FILTER(B129:F129, B129:F129&lt;&gt;0)),"""")"),"")</f>
        <v/>
      </c>
      <c r="H129" s="14" t="str">
        <f>IF(OR(G129=Compilation!B127,G129=""),"",G129-Compilation!B127)</f>
        <v/>
      </c>
      <c r="I129" s="38"/>
      <c r="J129" s="14" t="str">
        <f t="shared" si="2"/>
        <v/>
      </c>
      <c r="K129" s="14" t="str">
        <f t="shared" si="3"/>
        <v/>
      </c>
    </row>
    <row r="130">
      <c r="A130" s="21">
        <f>Scores!A131</f>
        <v>120</v>
      </c>
      <c r="B130" s="14"/>
      <c r="C130" s="14"/>
      <c r="D130" s="14"/>
      <c r="E130" s="14"/>
      <c r="F130" s="14"/>
      <c r="G130" s="14" t="str">
        <f>IFERROR(__xludf.DUMMYFUNCTION("IFERROR(MIN(FILTER(B130:F130, B130:F130&lt;&gt;0)),"""")"),"")</f>
        <v/>
      </c>
      <c r="H130" s="14" t="str">
        <f>IF(OR(G130=Compilation!B128,G130=""),"",G130-Compilation!B128)</f>
        <v/>
      </c>
      <c r="I130" s="38"/>
      <c r="J130" s="14" t="str">
        <f t="shared" si="2"/>
        <v/>
      </c>
      <c r="K130" s="14" t="str">
        <f t="shared" si="3"/>
        <v/>
      </c>
    </row>
    <row r="131">
      <c r="A131" s="21">
        <f>Scores!A132</f>
        <v>121</v>
      </c>
      <c r="B131" s="14"/>
      <c r="C131" s="14"/>
      <c r="D131" s="14"/>
      <c r="E131" s="14"/>
      <c r="F131" s="14"/>
      <c r="G131" s="14" t="str">
        <f>IFERROR(__xludf.DUMMYFUNCTION("IFERROR(MIN(FILTER(B131:F131, B131:F131&lt;&gt;0)),"""")"),"")</f>
        <v/>
      </c>
      <c r="H131" s="14" t="str">
        <f>IF(OR(G131=Compilation!B129,G131=""),"",G131-Compilation!B129)</f>
        <v/>
      </c>
      <c r="I131" s="38"/>
      <c r="J131" s="14" t="str">
        <f t="shared" si="2"/>
        <v/>
      </c>
      <c r="K131" s="14" t="str">
        <f t="shared" si="3"/>
        <v/>
      </c>
    </row>
    <row r="132">
      <c r="A132" s="21">
        <f>Scores!A133</f>
        <v>122</v>
      </c>
      <c r="B132" s="14"/>
      <c r="C132" s="14"/>
      <c r="D132" s="14"/>
      <c r="E132" s="14"/>
      <c r="F132" s="14"/>
      <c r="G132" s="14" t="str">
        <f>IFERROR(__xludf.DUMMYFUNCTION("IFERROR(MIN(FILTER(B132:F132, B132:F132&lt;&gt;0)),"""")"),"")</f>
        <v/>
      </c>
      <c r="H132" s="14" t="str">
        <f>IF(OR(G132=Compilation!B130,G132=""),"",G132-Compilation!B130)</f>
        <v/>
      </c>
      <c r="I132" s="38"/>
      <c r="J132" s="14" t="str">
        <f t="shared" si="2"/>
        <v/>
      </c>
      <c r="K132" s="14" t="str">
        <f t="shared" si="3"/>
        <v/>
      </c>
    </row>
    <row r="133">
      <c r="A133" s="21">
        <f>Scores!A134</f>
        <v>123</v>
      </c>
      <c r="B133" s="14"/>
      <c r="C133" s="14"/>
      <c r="D133" s="14"/>
      <c r="E133" s="14"/>
      <c r="F133" s="14"/>
      <c r="G133" s="14" t="str">
        <f>IFERROR(__xludf.DUMMYFUNCTION("IFERROR(MIN(FILTER(B133:F133, B133:F133&lt;&gt;0)),"""")"),"")</f>
        <v/>
      </c>
      <c r="H133" s="14" t="str">
        <f>IF(OR(G133=Compilation!B131,G133=""),"",G133-Compilation!B131)</f>
        <v/>
      </c>
      <c r="I133" s="38"/>
      <c r="J133" s="14" t="str">
        <f t="shared" si="2"/>
        <v/>
      </c>
      <c r="K133" s="14" t="str">
        <f t="shared" si="3"/>
        <v/>
      </c>
    </row>
    <row r="134">
      <c r="A134" s="21">
        <f>Scores!A135</f>
        <v>124</v>
      </c>
      <c r="B134" s="14"/>
      <c r="C134" s="14"/>
      <c r="D134" s="14"/>
      <c r="E134" s="14"/>
      <c r="F134" s="14"/>
      <c r="G134" s="14" t="str">
        <f>IFERROR(__xludf.DUMMYFUNCTION("IFERROR(MIN(FILTER(B134:F134, B134:F134&lt;&gt;0)),"""")"),"")</f>
        <v/>
      </c>
      <c r="H134" s="14" t="str">
        <f>IF(OR(G134=Compilation!B132,G134=""),"",G134-Compilation!B132)</f>
        <v/>
      </c>
      <c r="I134" s="38"/>
      <c r="J134" s="14" t="str">
        <f t="shared" si="2"/>
        <v/>
      </c>
      <c r="K134" s="14" t="str">
        <f t="shared" si="3"/>
        <v/>
      </c>
    </row>
    <row r="135">
      <c r="A135" s="21">
        <f>Scores!A136</f>
        <v>125</v>
      </c>
      <c r="B135" s="14"/>
      <c r="C135" s="14"/>
      <c r="D135" s="14"/>
      <c r="E135" s="14"/>
      <c r="F135" s="14"/>
      <c r="G135" s="14" t="str">
        <f>IFERROR(__xludf.DUMMYFUNCTION("IFERROR(MIN(FILTER(B135:F135, B135:F135&lt;&gt;0)),"""")"),"")</f>
        <v/>
      </c>
      <c r="H135" s="14" t="str">
        <f>IF(OR(G135=Compilation!B133,G135=""),"",G135-Compilation!B133)</f>
        <v/>
      </c>
      <c r="I135" s="38"/>
      <c r="J135" s="14" t="str">
        <f t="shared" si="2"/>
        <v/>
      </c>
      <c r="K135" s="14" t="str">
        <f t="shared" si="3"/>
        <v/>
      </c>
    </row>
    <row r="136">
      <c r="A136" s="21">
        <f>Scores!A137</f>
        <v>126</v>
      </c>
      <c r="B136" s="14"/>
      <c r="C136" s="14"/>
      <c r="D136" s="14"/>
      <c r="E136" s="14"/>
      <c r="F136" s="14"/>
      <c r="G136" s="14" t="str">
        <f>IFERROR(__xludf.DUMMYFUNCTION("IFERROR(MIN(FILTER(B136:F136, B136:F136&lt;&gt;0)),"""")"),"")</f>
        <v/>
      </c>
      <c r="H136" s="14" t="str">
        <f>IF(OR(G136=Compilation!B134,G136=""),"",G136-Compilation!B134)</f>
        <v/>
      </c>
      <c r="I136" s="38"/>
      <c r="J136" s="14" t="str">
        <f t="shared" si="2"/>
        <v/>
      </c>
      <c r="K136" s="14" t="str">
        <f t="shared" si="3"/>
        <v/>
      </c>
    </row>
    <row r="137">
      <c r="A137" s="21">
        <f>Scores!A138</f>
        <v>127</v>
      </c>
      <c r="B137" s="14"/>
      <c r="C137" s="14"/>
      <c r="D137" s="14"/>
      <c r="E137" s="14"/>
      <c r="F137" s="14"/>
      <c r="G137" s="14" t="str">
        <f>IFERROR(__xludf.DUMMYFUNCTION("IFERROR(MIN(FILTER(B137:F137, B137:F137&lt;&gt;0)),"""")"),"")</f>
        <v/>
      </c>
      <c r="H137" s="14" t="str">
        <f>IF(OR(G137=Compilation!B135,G137=""),"",G137-Compilation!B135)</f>
        <v/>
      </c>
      <c r="I137" s="38"/>
      <c r="J137" s="14" t="str">
        <f t="shared" si="2"/>
        <v/>
      </c>
      <c r="K137" s="14" t="str">
        <f t="shared" si="3"/>
        <v/>
      </c>
    </row>
    <row r="138">
      <c r="A138" s="21">
        <f>Scores!A139</f>
        <v>128</v>
      </c>
      <c r="B138" s="14"/>
      <c r="C138" s="14"/>
      <c r="D138" s="14"/>
      <c r="E138" s="14"/>
      <c r="F138" s="14"/>
      <c r="G138" s="14" t="str">
        <f>IFERROR(__xludf.DUMMYFUNCTION("IFERROR(MIN(FILTER(B138:F138, B138:F138&lt;&gt;0)),"""")"),"")</f>
        <v/>
      </c>
      <c r="H138" s="14" t="str">
        <f>IF(OR(G138=Compilation!B136,G138=""),"",G138-Compilation!B136)</f>
        <v/>
      </c>
      <c r="I138" s="38"/>
      <c r="J138" s="14" t="str">
        <f t="shared" si="2"/>
        <v/>
      </c>
      <c r="K138" s="14" t="str">
        <f t="shared" si="3"/>
        <v/>
      </c>
    </row>
    <row r="139">
      <c r="A139" s="21">
        <f>Scores!A140</f>
        <v>129</v>
      </c>
      <c r="B139" s="14"/>
      <c r="C139" s="14"/>
      <c r="D139" s="14"/>
      <c r="E139" s="14"/>
      <c r="F139" s="14"/>
      <c r="G139" s="14" t="str">
        <f>IFERROR(__xludf.DUMMYFUNCTION("IFERROR(MIN(FILTER(B139:F139, B139:F139&lt;&gt;0)),"""")"),"")</f>
        <v/>
      </c>
      <c r="H139" s="14" t="str">
        <f>IF(OR(G139=Compilation!B137,G139=""),"",G139-Compilation!B137)</f>
        <v/>
      </c>
      <c r="I139" s="38"/>
      <c r="J139" s="14" t="str">
        <f t="shared" si="2"/>
        <v/>
      </c>
      <c r="K139" s="14" t="str">
        <f t="shared" si="3"/>
        <v/>
      </c>
    </row>
    <row r="140">
      <c r="A140" s="21">
        <f>Scores!A141</f>
        <v>130</v>
      </c>
      <c r="B140" s="14"/>
      <c r="C140" s="14"/>
      <c r="D140" s="14"/>
      <c r="E140" s="14"/>
      <c r="F140" s="14"/>
      <c r="G140" s="14" t="str">
        <f>IFERROR(__xludf.DUMMYFUNCTION("IFERROR(MIN(FILTER(B140:F140, B140:F140&lt;&gt;0)),"""")"),"")</f>
        <v/>
      </c>
      <c r="H140" s="14" t="str">
        <f>IF(OR(G140=Compilation!B138,G140=""),"",G140-Compilation!B138)</f>
        <v/>
      </c>
      <c r="I140" s="38"/>
      <c r="J140" s="14" t="str">
        <f t="shared" si="2"/>
        <v/>
      </c>
      <c r="K140" s="14" t="str">
        <f t="shared" si="3"/>
        <v/>
      </c>
    </row>
    <row r="141">
      <c r="A141" s="21">
        <f>Scores!A142</f>
        <v>131</v>
      </c>
      <c r="B141" s="14"/>
      <c r="C141" s="14"/>
      <c r="D141" s="14"/>
      <c r="E141" s="14"/>
      <c r="F141" s="14"/>
      <c r="G141" s="14" t="str">
        <f>IFERROR(__xludf.DUMMYFUNCTION("IFERROR(MIN(FILTER(B141:F141, B141:F141&lt;&gt;0)),"""")"),"")</f>
        <v/>
      </c>
      <c r="H141" s="14" t="str">
        <f>IF(OR(G141=Compilation!B139,G141=""),"",G141-Compilation!B139)</f>
        <v/>
      </c>
      <c r="I141" s="38"/>
      <c r="J141" s="14" t="str">
        <f t="shared" si="2"/>
        <v/>
      </c>
      <c r="K141" s="14" t="str">
        <f t="shared" si="3"/>
        <v/>
      </c>
    </row>
    <row r="142">
      <c r="A142" s="21">
        <f>Scores!A143</f>
        <v>132</v>
      </c>
      <c r="B142" s="14"/>
      <c r="C142" s="14"/>
      <c r="D142" s="14"/>
      <c r="E142" s="14"/>
      <c r="F142" s="14"/>
      <c r="G142" s="14" t="str">
        <f>IFERROR(__xludf.DUMMYFUNCTION("IFERROR(MIN(FILTER(B142:F142, B142:F142&lt;&gt;0)),"""")"),"")</f>
        <v/>
      </c>
      <c r="H142" s="14" t="str">
        <f>IF(OR(G142=Compilation!B140,G142=""),"",G142-Compilation!B140)</f>
        <v/>
      </c>
      <c r="I142" s="38"/>
      <c r="J142" s="14" t="str">
        <f t="shared" si="2"/>
        <v/>
      </c>
      <c r="K142" s="14" t="str">
        <f t="shared" si="3"/>
        <v/>
      </c>
    </row>
    <row r="143">
      <c r="A143" s="21">
        <f>Scores!A144</f>
        <v>133</v>
      </c>
      <c r="B143" s="14"/>
      <c r="C143" s="14"/>
      <c r="D143" s="14"/>
      <c r="E143" s="14"/>
      <c r="F143" s="14"/>
      <c r="G143" s="14" t="str">
        <f>IFERROR(__xludf.DUMMYFUNCTION("IFERROR(MIN(FILTER(B143:F143, B143:F143&lt;&gt;0)),"""")"),"")</f>
        <v/>
      </c>
      <c r="H143" s="14" t="str">
        <f>IF(OR(G143=Compilation!B141,G143=""),"",G143-Compilation!B141)</f>
        <v/>
      </c>
      <c r="I143" s="38"/>
      <c r="J143" s="14" t="str">
        <f t="shared" si="2"/>
        <v/>
      </c>
      <c r="K143" s="14" t="str">
        <f t="shared" si="3"/>
        <v/>
      </c>
    </row>
    <row r="144">
      <c r="A144" s="21">
        <f>Scores!A145</f>
        <v>134</v>
      </c>
      <c r="B144" s="14"/>
      <c r="C144" s="14"/>
      <c r="D144" s="14"/>
      <c r="E144" s="14"/>
      <c r="F144" s="14"/>
      <c r="G144" s="14" t="str">
        <f>IFERROR(__xludf.DUMMYFUNCTION("IFERROR(MIN(FILTER(B144:F144, B144:F144&lt;&gt;0)),"""")"),"")</f>
        <v/>
      </c>
      <c r="H144" s="14" t="str">
        <f>IF(OR(G144=Compilation!B142,G144=""),"",G144-Compilation!B142)</f>
        <v/>
      </c>
      <c r="I144" s="38"/>
      <c r="J144" s="14" t="str">
        <f t="shared" si="2"/>
        <v/>
      </c>
      <c r="K144" s="14" t="str">
        <f t="shared" si="3"/>
        <v/>
      </c>
    </row>
    <row r="145">
      <c r="A145" s="21">
        <f>Scores!A146</f>
        <v>135</v>
      </c>
      <c r="B145" s="14"/>
      <c r="C145" s="14"/>
      <c r="D145" s="14"/>
      <c r="E145" s="14"/>
      <c r="F145" s="14"/>
      <c r="G145" s="14" t="str">
        <f>IFERROR(__xludf.DUMMYFUNCTION("IFERROR(MIN(FILTER(B145:F145, B145:F145&lt;&gt;0)),"""")"),"")</f>
        <v/>
      </c>
      <c r="H145" s="14" t="str">
        <f>IF(OR(G145=Compilation!B143,G145=""),"",G145-Compilation!B143)</f>
        <v/>
      </c>
      <c r="I145" s="38"/>
      <c r="J145" s="14" t="str">
        <f t="shared" si="2"/>
        <v/>
      </c>
      <c r="K145" s="14" t="str">
        <f t="shared" si="3"/>
        <v/>
      </c>
    </row>
    <row r="146">
      <c r="A146" s="21">
        <f>Scores!A147</f>
        <v>136</v>
      </c>
      <c r="B146" s="14"/>
      <c r="C146" s="14"/>
      <c r="D146" s="14"/>
      <c r="E146" s="14"/>
      <c r="F146" s="14"/>
      <c r="G146" s="14" t="str">
        <f>IFERROR(__xludf.DUMMYFUNCTION("IFERROR(MIN(FILTER(B146:F146, B146:F146&lt;&gt;0)),"""")"),"")</f>
        <v/>
      </c>
      <c r="H146" s="14" t="str">
        <f>IF(OR(G146=Compilation!B144,G146=""),"",G146-Compilation!B144)</f>
        <v/>
      </c>
      <c r="I146" s="38"/>
      <c r="J146" s="14" t="str">
        <f t="shared" si="2"/>
        <v/>
      </c>
      <c r="K146" s="14" t="str">
        <f t="shared" si="3"/>
        <v/>
      </c>
    </row>
    <row r="147">
      <c r="A147" s="21">
        <f>Scores!A148</f>
        <v>137</v>
      </c>
      <c r="B147" s="14"/>
      <c r="C147" s="14"/>
      <c r="D147" s="14"/>
      <c r="E147" s="14"/>
      <c r="F147" s="14"/>
      <c r="G147" s="14" t="str">
        <f>IFERROR(__xludf.DUMMYFUNCTION("IFERROR(MIN(FILTER(B147:F147, B147:F147&lt;&gt;0)),"""")"),"")</f>
        <v/>
      </c>
      <c r="H147" s="14" t="str">
        <f>IF(OR(G147=Compilation!B145,G147=""),"",G147-Compilation!B145)</f>
        <v/>
      </c>
      <c r="I147" s="38"/>
      <c r="J147" s="14" t="str">
        <f t="shared" si="2"/>
        <v/>
      </c>
      <c r="K147" s="14" t="str">
        <f t="shared" si="3"/>
        <v/>
      </c>
    </row>
    <row r="148">
      <c r="A148" s="21">
        <f>Scores!A149</f>
        <v>138</v>
      </c>
      <c r="B148" s="14"/>
      <c r="C148" s="14"/>
      <c r="D148" s="14"/>
      <c r="E148" s="14"/>
      <c r="F148" s="14"/>
      <c r="G148" s="14" t="str">
        <f>IFERROR(__xludf.DUMMYFUNCTION("IFERROR(MIN(FILTER(B148:F148, B148:F148&lt;&gt;0)),"""")"),"")</f>
        <v/>
      </c>
      <c r="H148" s="14" t="str">
        <f>IF(OR(G148=Compilation!B146,G148=""),"",G148-Compilation!B146)</f>
        <v/>
      </c>
      <c r="I148" s="38"/>
      <c r="J148" s="14" t="str">
        <f t="shared" si="2"/>
        <v/>
      </c>
      <c r="K148" s="14" t="str">
        <f t="shared" si="3"/>
        <v/>
      </c>
    </row>
    <row r="149">
      <c r="A149" s="21">
        <f>Scores!A150</f>
        <v>139</v>
      </c>
      <c r="B149" s="14"/>
      <c r="C149" s="14"/>
      <c r="D149" s="14"/>
      <c r="E149" s="14"/>
      <c r="F149" s="14"/>
      <c r="G149" s="14" t="str">
        <f>IFERROR(__xludf.DUMMYFUNCTION("IFERROR(MIN(FILTER(B149:F149, B149:F149&lt;&gt;0)),"""")"),"")</f>
        <v/>
      </c>
      <c r="H149" s="14" t="str">
        <f>IF(OR(G149=Compilation!B147,G149=""),"",G149-Compilation!B147)</f>
        <v/>
      </c>
      <c r="I149" s="38"/>
      <c r="J149" s="14" t="str">
        <f t="shared" si="2"/>
        <v/>
      </c>
      <c r="K149" s="14" t="str">
        <f t="shared" si="3"/>
        <v/>
      </c>
    </row>
    <row r="150">
      <c r="A150" s="21">
        <f>Scores!A151</f>
        <v>140</v>
      </c>
      <c r="B150" s="14"/>
      <c r="C150" s="14"/>
      <c r="D150" s="14"/>
      <c r="E150" s="14"/>
      <c r="F150" s="14"/>
      <c r="G150" s="14" t="str">
        <f>IFERROR(__xludf.DUMMYFUNCTION("IFERROR(MIN(FILTER(B150:F150, B150:F150&lt;&gt;0)),"""")"),"")</f>
        <v/>
      </c>
      <c r="H150" s="14" t="str">
        <f>IF(OR(G150=Compilation!B148,G150=""),"",G150-Compilation!B148)</f>
        <v/>
      </c>
      <c r="I150" s="38"/>
      <c r="J150" s="14" t="str">
        <f t="shared" si="2"/>
        <v/>
      </c>
      <c r="K150" s="14" t="str">
        <f t="shared" si="3"/>
        <v/>
      </c>
    </row>
    <row r="151">
      <c r="A151" s="21">
        <f>Scores!A152</f>
        <v>141</v>
      </c>
      <c r="B151" s="14"/>
      <c r="C151" s="14"/>
      <c r="D151" s="14"/>
      <c r="E151" s="14"/>
      <c r="F151" s="14"/>
      <c r="G151" s="14" t="str">
        <f>IFERROR(__xludf.DUMMYFUNCTION("IFERROR(MIN(FILTER(B151:F151, B151:F151&lt;&gt;0)),"""")"),"")</f>
        <v/>
      </c>
      <c r="H151" s="14" t="str">
        <f>IF(OR(G151=Compilation!B149,G151=""),"",G151-Compilation!B149)</f>
        <v/>
      </c>
      <c r="I151" s="38"/>
      <c r="J151" s="14" t="str">
        <f t="shared" si="2"/>
        <v/>
      </c>
      <c r="K151" s="14" t="str">
        <f t="shared" si="3"/>
        <v/>
      </c>
    </row>
    <row r="152">
      <c r="A152" s="21">
        <f>Scores!A153</f>
        <v>142</v>
      </c>
      <c r="B152" s="14"/>
      <c r="C152" s="14"/>
      <c r="D152" s="14"/>
      <c r="E152" s="14"/>
      <c r="F152" s="14"/>
      <c r="G152" s="14" t="str">
        <f>IFERROR(__xludf.DUMMYFUNCTION("IFERROR(MIN(FILTER(B152:F152, B152:F152&lt;&gt;0)),"""")"),"")</f>
        <v/>
      </c>
      <c r="H152" s="14" t="str">
        <f>IF(OR(G152=Compilation!B150,G152=""),"",G152-Compilation!B150)</f>
        <v/>
      </c>
      <c r="I152" s="38"/>
      <c r="J152" s="14" t="str">
        <f t="shared" si="2"/>
        <v/>
      </c>
      <c r="K152" s="14" t="str">
        <f t="shared" si="3"/>
        <v/>
      </c>
    </row>
    <row r="153">
      <c r="A153" s="21">
        <f>Scores!A154</f>
        <v>143</v>
      </c>
      <c r="B153" s="14"/>
      <c r="C153" s="14"/>
      <c r="D153" s="14"/>
      <c r="E153" s="14"/>
      <c r="F153" s="14"/>
      <c r="G153" s="14" t="str">
        <f>IFERROR(__xludf.DUMMYFUNCTION("IFERROR(MIN(FILTER(B153:F153, B153:F153&lt;&gt;0)),"""")"),"")</f>
        <v/>
      </c>
      <c r="H153" s="14" t="str">
        <f>IF(OR(G153=Compilation!B151,G153=""),"",G153-Compilation!B151)</f>
        <v/>
      </c>
      <c r="I153" s="38"/>
      <c r="J153" s="14" t="str">
        <f t="shared" si="2"/>
        <v/>
      </c>
      <c r="K153" s="14" t="str">
        <f t="shared" si="3"/>
        <v/>
      </c>
    </row>
    <row r="154">
      <c r="A154" s="21">
        <f>Scores!A155</f>
        <v>144</v>
      </c>
      <c r="B154" s="14"/>
      <c r="C154" s="14"/>
      <c r="D154" s="14"/>
      <c r="E154" s="14"/>
      <c r="F154" s="14"/>
      <c r="G154" s="14" t="str">
        <f>IFERROR(__xludf.DUMMYFUNCTION("IFERROR(MIN(FILTER(B154:F154, B154:F154&lt;&gt;0)),"""")"),"")</f>
        <v/>
      </c>
      <c r="H154" s="14" t="str">
        <f>IF(OR(G154=Compilation!B152,G154=""),"",G154-Compilation!B152)</f>
        <v/>
      </c>
      <c r="I154" s="38"/>
      <c r="J154" s="14" t="str">
        <f t="shared" si="2"/>
        <v/>
      </c>
      <c r="K154" s="14" t="str">
        <f t="shared" si="3"/>
        <v/>
      </c>
    </row>
    <row r="155">
      <c r="A155" s="21">
        <f>Scores!A156</f>
        <v>145</v>
      </c>
      <c r="B155" s="14"/>
      <c r="C155" s="14"/>
      <c r="D155" s="14"/>
      <c r="E155" s="14"/>
      <c r="F155" s="14"/>
      <c r="G155" s="14" t="str">
        <f>IFERROR(__xludf.DUMMYFUNCTION("IFERROR(MIN(FILTER(B155:F155, B155:F155&lt;&gt;0)),"""")"),"")</f>
        <v/>
      </c>
      <c r="H155" s="14" t="str">
        <f>IF(OR(G155=Compilation!B153,G155=""),"",G155-Compilation!B153)</f>
        <v/>
      </c>
      <c r="I155" s="38"/>
      <c r="J155" s="14" t="str">
        <f t="shared" si="2"/>
        <v/>
      </c>
      <c r="K155" s="14" t="str">
        <f t="shared" si="3"/>
        <v/>
      </c>
    </row>
    <row r="156">
      <c r="A156" s="21">
        <f>Scores!A157</f>
        <v>146</v>
      </c>
      <c r="B156" s="14"/>
      <c r="C156" s="14"/>
      <c r="D156" s="14"/>
      <c r="E156" s="14"/>
      <c r="F156" s="14"/>
      <c r="G156" s="14" t="str">
        <f>IFERROR(__xludf.DUMMYFUNCTION("IFERROR(MIN(FILTER(B156:F156, B156:F156&lt;&gt;0)),"""")"),"")</f>
        <v/>
      </c>
      <c r="H156" s="14" t="str">
        <f>IF(OR(G156=Compilation!B154,G156=""),"",G156-Compilation!B154)</f>
        <v/>
      </c>
      <c r="I156" s="38"/>
      <c r="J156" s="14" t="str">
        <f t="shared" si="2"/>
        <v/>
      </c>
      <c r="K156" s="14" t="str">
        <f t="shared" si="3"/>
        <v/>
      </c>
    </row>
    <row r="157">
      <c r="A157" s="21">
        <f>Scores!A158</f>
        <v>147</v>
      </c>
      <c r="B157" s="14"/>
      <c r="C157" s="14"/>
      <c r="D157" s="14"/>
      <c r="E157" s="14"/>
      <c r="F157" s="14"/>
      <c r="G157" s="14" t="str">
        <f>IFERROR(__xludf.DUMMYFUNCTION("IFERROR(MIN(FILTER(B157:F157, B157:F157&lt;&gt;0)),"""")"),"")</f>
        <v/>
      </c>
      <c r="H157" s="14" t="str">
        <f>IF(OR(G157=Compilation!B155,G157=""),"",G157-Compilation!B155)</f>
        <v/>
      </c>
      <c r="I157" s="38"/>
      <c r="J157" s="14" t="str">
        <f t="shared" si="2"/>
        <v/>
      </c>
      <c r="K157" s="14" t="str">
        <f t="shared" si="3"/>
        <v/>
      </c>
    </row>
    <row r="158">
      <c r="A158" s="21">
        <f>Scores!A159</f>
        <v>148</v>
      </c>
      <c r="B158" s="14"/>
      <c r="C158" s="14"/>
      <c r="D158" s="14"/>
      <c r="E158" s="14"/>
      <c r="F158" s="14"/>
      <c r="G158" s="14" t="str">
        <f>IFERROR(__xludf.DUMMYFUNCTION("IFERROR(MIN(FILTER(B158:F158, B158:F158&lt;&gt;0)),"""")"),"")</f>
        <v/>
      </c>
      <c r="H158" s="14" t="str">
        <f>IF(OR(G158=Compilation!B156,G158=""),"",G158-Compilation!B156)</f>
        <v/>
      </c>
      <c r="I158" s="38"/>
      <c r="J158" s="14" t="str">
        <f t="shared" si="2"/>
        <v/>
      </c>
      <c r="K158" s="14" t="str">
        <f t="shared" si="3"/>
        <v/>
      </c>
    </row>
    <row r="159">
      <c r="A159" s="21">
        <f>Scores!A160</f>
        <v>149</v>
      </c>
      <c r="B159" s="14"/>
      <c r="C159" s="14"/>
      <c r="D159" s="14"/>
      <c r="E159" s="14"/>
      <c r="F159" s="14"/>
      <c r="G159" s="14" t="str">
        <f>IFERROR(__xludf.DUMMYFUNCTION("IFERROR(MIN(FILTER(B159:F159, B159:F159&lt;&gt;0)),"""")"),"")</f>
        <v/>
      </c>
      <c r="H159" s="14" t="str">
        <f>IF(OR(G159=Compilation!B157,G159=""),"",G159-Compilation!B157)</f>
        <v/>
      </c>
      <c r="I159" s="38"/>
      <c r="J159" s="14" t="str">
        <f t="shared" si="2"/>
        <v/>
      </c>
      <c r="K159" s="14" t="str">
        <f t="shared" si="3"/>
        <v/>
      </c>
    </row>
    <row r="160">
      <c r="A160" s="21">
        <f>Scores!A161</f>
        <v>150</v>
      </c>
      <c r="B160" s="14"/>
      <c r="C160" s="14"/>
      <c r="D160" s="14"/>
      <c r="E160" s="14"/>
      <c r="F160" s="14"/>
      <c r="G160" s="14" t="str">
        <f>IFERROR(__xludf.DUMMYFUNCTION("IFERROR(MIN(FILTER(B160:F160, B160:F160&lt;&gt;0)),"""")"),"")</f>
        <v/>
      </c>
      <c r="H160" s="14" t="str">
        <f>IF(OR(G160=Compilation!B158,G160=""),"",G160-Compilation!B158)</f>
        <v/>
      </c>
      <c r="I160" s="38"/>
      <c r="J160" s="14" t="str">
        <f t="shared" si="2"/>
        <v/>
      </c>
      <c r="K160" s="14" t="str">
        <f t="shared" si="3"/>
        <v/>
      </c>
    </row>
    <row r="161">
      <c r="A161" s="21">
        <f>Scores!A162</f>
        <v>151</v>
      </c>
      <c r="B161" s="14"/>
      <c r="C161" s="14"/>
      <c r="D161" s="14"/>
      <c r="E161" s="14"/>
      <c r="F161" s="14"/>
      <c r="G161" s="14" t="str">
        <f>IFERROR(__xludf.DUMMYFUNCTION("IFERROR(MIN(FILTER(B161:F161, B161:F161&lt;&gt;0)),"""")"),"")</f>
        <v/>
      </c>
      <c r="H161" s="14" t="str">
        <f>IF(OR(G161=Compilation!B159,G161=""),"",G161-Compilation!B159)</f>
        <v/>
      </c>
      <c r="I161" s="38"/>
      <c r="J161" s="14" t="str">
        <f t="shared" si="2"/>
        <v/>
      </c>
      <c r="K161" s="14" t="str">
        <f t="shared" si="3"/>
        <v/>
      </c>
    </row>
    <row r="162">
      <c r="A162" s="21">
        <f>Scores!A163</f>
        <v>152</v>
      </c>
      <c r="B162" s="14"/>
      <c r="C162" s="14"/>
      <c r="D162" s="14"/>
      <c r="E162" s="14"/>
      <c r="F162" s="14"/>
      <c r="G162" s="14" t="str">
        <f>IFERROR(__xludf.DUMMYFUNCTION("IFERROR(MIN(FILTER(B162:F162, B162:F162&lt;&gt;0)),"""")"),"")</f>
        <v/>
      </c>
      <c r="H162" s="14" t="str">
        <f>IF(OR(G162=Compilation!B160,G162=""),"",G162-Compilation!B160)</f>
        <v/>
      </c>
      <c r="I162" s="38"/>
      <c r="J162" s="14" t="str">
        <f t="shared" si="2"/>
        <v/>
      </c>
      <c r="K162" s="14" t="str">
        <f t="shared" si="3"/>
        <v/>
      </c>
    </row>
    <row r="163">
      <c r="A163" s="21">
        <f>Scores!A164</f>
        <v>153</v>
      </c>
      <c r="B163" s="14"/>
      <c r="C163" s="14"/>
      <c r="D163" s="14"/>
      <c r="E163" s="14"/>
      <c r="F163" s="14"/>
      <c r="G163" s="14" t="str">
        <f>IFERROR(__xludf.DUMMYFUNCTION("IFERROR(MIN(FILTER(B163:F163, B163:F163&lt;&gt;0)),"""")"),"")</f>
        <v/>
      </c>
      <c r="H163" s="14" t="str">
        <f>IF(OR(G163=Compilation!B161,G163=""),"",G163-Compilation!B161)</f>
        <v/>
      </c>
      <c r="I163" s="38"/>
      <c r="J163" s="14" t="str">
        <f t="shared" si="2"/>
        <v/>
      </c>
      <c r="K163" s="14" t="str">
        <f t="shared" si="3"/>
        <v/>
      </c>
    </row>
    <row r="164">
      <c r="A164" s="21">
        <f>Scores!A165</f>
        <v>154</v>
      </c>
      <c r="B164" s="14"/>
      <c r="C164" s="14"/>
      <c r="D164" s="14"/>
      <c r="E164" s="14"/>
      <c r="F164" s="14"/>
      <c r="G164" s="14" t="str">
        <f>IFERROR(__xludf.DUMMYFUNCTION("IFERROR(MIN(FILTER(B164:F164, B164:F164&lt;&gt;0)),"""")"),"")</f>
        <v/>
      </c>
      <c r="H164" s="14" t="str">
        <f>IF(OR(G164=Compilation!B162,G164=""),"",G164-Compilation!B162)</f>
        <v/>
      </c>
      <c r="I164" s="38"/>
      <c r="J164" s="14" t="str">
        <f t="shared" si="2"/>
        <v/>
      </c>
      <c r="K164" s="14" t="str">
        <f t="shared" si="3"/>
        <v/>
      </c>
    </row>
    <row r="165">
      <c r="A165" s="21">
        <f>Scores!A166</f>
        <v>155</v>
      </c>
      <c r="B165" s="14"/>
      <c r="C165" s="14"/>
      <c r="D165" s="14"/>
      <c r="E165" s="14"/>
      <c r="F165" s="14"/>
      <c r="G165" s="14" t="str">
        <f>IFERROR(__xludf.DUMMYFUNCTION("IFERROR(MIN(FILTER(B165:F165, B165:F165&lt;&gt;0)),"""")"),"")</f>
        <v/>
      </c>
      <c r="H165" s="14" t="str">
        <f>IF(OR(G165=Compilation!B163,G165=""),"",G165-Compilation!B163)</f>
        <v/>
      </c>
      <c r="I165" s="38"/>
      <c r="J165" s="14" t="str">
        <f t="shared" si="2"/>
        <v/>
      </c>
      <c r="K165" s="14" t="str">
        <f t="shared" si="3"/>
        <v/>
      </c>
    </row>
    <row r="166">
      <c r="A166" s="21">
        <f>Scores!A167</f>
        <v>156</v>
      </c>
      <c r="B166" s="14"/>
      <c r="C166" s="14"/>
      <c r="D166" s="14"/>
      <c r="E166" s="14"/>
      <c r="F166" s="14"/>
      <c r="G166" s="14" t="str">
        <f>IFERROR(__xludf.DUMMYFUNCTION("IFERROR(MIN(FILTER(B166:F166, B166:F166&lt;&gt;0)),"""")"),"")</f>
        <v/>
      </c>
      <c r="H166" s="14" t="str">
        <f>IF(OR(G166=Compilation!B164,G166=""),"",G166-Compilation!B164)</f>
        <v/>
      </c>
      <c r="I166" s="38"/>
      <c r="J166" s="14" t="str">
        <f t="shared" si="2"/>
        <v/>
      </c>
      <c r="K166" s="14" t="str">
        <f t="shared" si="3"/>
        <v/>
      </c>
    </row>
    <row r="167">
      <c r="A167" s="21">
        <f>Scores!A168</f>
        <v>157</v>
      </c>
      <c r="B167" s="14"/>
      <c r="C167" s="14"/>
      <c r="D167" s="14"/>
      <c r="E167" s="14"/>
      <c r="F167" s="14"/>
      <c r="G167" s="14" t="str">
        <f>IFERROR(__xludf.DUMMYFUNCTION("IFERROR(MIN(FILTER(B167:F167, B167:F167&lt;&gt;0)),"""")"),"")</f>
        <v/>
      </c>
      <c r="H167" s="14" t="str">
        <f>IF(OR(G167=Compilation!B165,G167=""),"",G167-Compilation!B165)</f>
        <v/>
      </c>
      <c r="I167" s="38"/>
      <c r="J167" s="14" t="str">
        <f t="shared" si="2"/>
        <v/>
      </c>
      <c r="K167" s="14" t="str">
        <f t="shared" si="3"/>
        <v/>
      </c>
    </row>
    <row r="168">
      <c r="A168" s="21">
        <f>Scores!A169</f>
        <v>158</v>
      </c>
      <c r="B168" s="14"/>
      <c r="C168" s="14"/>
      <c r="D168" s="14"/>
      <c r="E168" s="14"/>
      <c r="F168" s="14"/>
      <c r="G168" s="14" t="str">
        <f>IFERROR(__xludf.DUMMYFUNCTION("IFERROR(MIN(FILTER(B168:F168, B168:F168&lt;&gt;0)),"""")"),"")</f>
        <v/>
      </c>
      <c r="H168" s="14" t="str">
        <f>IF(OR(G168=Compilation!B166,G168=""),"",G168-Compilation!B166)</f>
        <v/>
      </c>
      <c r="I168" s="38"/>
      <c r="J168" s="14" t="str">
        <f t="shared" si="2"/>
        <v/>
      </c>
      <c r="K168" s="14" t="str">
        <f t="shared" si="3"/>
        <v/>
      </c>
    </row>
    <row r="169">
      <c r="A169" s="21">
        <f>Scores!A170</f>
        <v>159</v>
      </c>
      <c r="B169" s="14"/>
      <c r="C169" s="14"/>
      <c r="D169" s="14"/>
      <c r="E169" s="14"/>
      <c r="F169" s="14"/>
      <c r="G169" s="14" t="str">
        <f>IFERROR(__xludf.DUMMYFUNCTION("IFERROR(MIN(FILTER(B169:F169, B169:F169&lt;&gt;0)),"""")"),"")</f>
        <v/>
      </c>
      <c r="H169" s="14" t="str">
        <f>IF(OR(G169=Compilation!B167,G169=""),"",G169-Compilation!B167)</f>
        <v/>
      </c>
      <c r="I169" s="38"/>
      <c r="J169" s="14" t="str">
        <f t="shared" si="2"/>
        <v/>
      </c>
      <c r="K169" s="14" t="str">
        <f t="shared" si="3"/>
        <v/>
      </c>
    </row>
    <row r="170">
      <c r="A170" s="21">
        <f>Scores!A171</f>
        <v>160</v>
      </c>
      <c r="B170" s="14"/>
      <c r="C170" s="14"/>
      <c r="D170" s="14"/>
      <c r="E170" s="14"/>
      <c r="F170" s="14"/>
      <c r="G170" s="14" t="str">
        <f>IFERROR(__xludf.DUMMYFUNCTION("IFERROR(MIN(FILTER(B170:F170, B170:F170&lt;&gt;0)),"""")"),"")</f>
        <v/>
      </c>
      <c r="H170" s="14" t="str">
        <f>IF(OR(G170=Compilation!B168,G170=""),"",G170-Compilation!B168)</f>
        <v/>
      </c>
      <c r="I170" s="38"/>
      <c r="J170" s="14" t="str">
        <f t="shared" si="2"/>
        <v/>
      </c>
      <c r="K170" s="14" t="str">
        <f t="shared" si="3"/>
        <v/>
      </c>
    </row>
    <row r="171">
      <c r="A171" s="21">
        <f>Scores!A172</f>
        <v>161</v>
      </c>
      <c r="B171" s="14"/>
      <c r="C171" s="14"/>
      <c r="D171" s="14"/>
      <c r="E171" s="14"/>
      <c r="F171" s="14"/>
      <c r="G171" s="14" t="str">
        <f>IFERROR(__xludf.DUMMYFUNCTION("IFERROR(MIN(FILTER(B171:F171, B171:F171&lt;&gt;0)),"""")"),"")</f>
        <v/>
      </c>
      <c r="H171" s="14" t="str">
        <f>IF(OR(G171=Compilation!B169,G171=""),"",G171-Compilation!B169)</f>
        <v/>
      </c>
      <c r="I171" s="38"/>
      <c r="J171" s="14" t="str">
        <f t="shared" si="2"/>
        <v/>
      </c>
      <c r="K171" s="14" t="str">
        <f t="shared" si="3"/>
        <v/>
      </c>
    </row>
    <row r="172">
      <c r="A172" s="21">
        <f>Scores!A173</f>
        <v>162</v>
      </c>
      <c r="B172" s="14"/>
      <c r="C172" s="14"/>
      <c r="D172" s="14"/>
      <c r="E172" s="14"/>
      <c r="F172" s="14"/>
      <c r="G172" s="14" t="str">
        <f>IFERROR(__xludf.DUMMYFUNCTION("IFERROR(MIN(FILTER(B172:F172, B172:F172&lt;&gt;0)),"""")"),"")</f>
        <v/>
      </c>
      <c r="H172" s="14" t="str">
        <f>IF(OR(G172=Compilation!B170,G172=""),"",G172-Compilation!B170)</f>
        <v/>
      </c>
      <c r="I172" s="38"/>
      <c r="J172" s="14" t="str">
        <f t="shared" si="2"/>
        <v/>
      </c>
      <c r="K172" s="14" t="str">
        <f t="shared" si="3"/>
        <v/>
      </c>
    </row>
    <row r="173">
      <c r="A173" s="21">
        <f>Scores!A174</f>
        <v>163</v>
      </c>
      <c r="B173" s="14"/>
      <c r="C173" s="14"/>
      <c r="D173" s="14"/>
      <c r="E173" s="14"/>
      <c r="F173" s="14"/>
      <c r="G173" s="14" t="str">
        <f>IFERROR(__xludf.DUMMYFUNCTION("IFERROR(MIN(FILTER(B173:F173, B173:F173&lt;&gt;0)),"""")"),"")</f>
        <v/>
      </c>
      <c r="H173" s="14" t="str">
        <f>IF(OR(G173=Compilation!B171,G173=""),"",G173-Compilation!B171)</f>
        <v/>
      </c>
      <c r="I173" s="38"/>
      <c r="J173" s="14" t="str">
        <f t="shared" si="2"/>
        <v/>
      </c>
      <c r="K173" s="14" t="str">
        <f t="shared" si="3"/>
        <v/>
      </c>
    </row>
    <row r="174">
      <c r="A174" s="21">
        <f>Scores!A175</f>
        <v>164</v>
      </c>
      <c r="B174" s="14"/>
      <c r="C174" s="14"/>
      <c r="D174" s="14"/>
      <c r="E174" s="14"/>
      <c r="F174" s="14"/>
      <c r="G174" s="14" t="str">
        <f>IFERROR(__xludf.DUMMYFUNCTION("IFERROR(MIN(FILTER(B174:F174, B174:F174&lt;&gt;0)),"""")"),"")</f>
        <v/>
      </c>
      <c r="H174" s="14" t="str">
        <f>IF(OR(G174=Compilation!B172,G174=""),"",G174-Compilation!B172)</f>
        <v/>
      </c>
      <c r="I174" s="38"/>
      <c r="J174" s="14" t="str">
        <f t="shared" si="2"/>
        <v/>
      </c>
      <c r="K174" s="14" t="str">
        <f t="shared" si="3"/>
        <v/>
      </c>
    </row>
    <row r="175">
      <c r="A175" s="21">
        <f>Scores!A176</f>
        <v>165</v>
      </c>
      <c r="B175" s="14"/>
      <c r="C175" s="14"/>
      <c r="D175" s="14"/>
      <c r="E175" s="14"/>
      <c r="F175" s="14"/>
      <c r="G175" s="14" t="str">
        <f>IFERROR(__xludf.DUMMYFUNCTION("IFERROR(MIN(FILTER(B175:F175, B175:F175&lt;&gt;0)),"""")"),"")</f>
        <v/>
      </c>
      <c r="H175" s="14" t="str">
        <f>IF(OR(G175=Compilation!B173,G175=""),"",G175-Compilation!B173)</f>
        <v/>
      </c>
      <c r="I175" s="38"/>
      <c r="J175" s="14" t="str">
        <f t="shared" si="2"/>
        <v/>
      </c>
      <c r="K175" s="14" t="str">
        <f t="shared" si="3"/>
        <v/>
      </c>
    </row>
    <row r="176">
      <c r="A176" s="21">
        <f>Scores!A177</f>
        <v>166</v>
      </c>
      <c r="B176" s="14"/>
      <c r="C176" s="14"/>
      <c r="D176" s="14"/>
      <c r="E176" s="14"/>
      <c r="F176" s="14"/>
      <c r="G176" s="14" t="str">
        <f>IFERROR(__xludf.DUMMYFUNCTION("IFERROR(MIN(FILTER(B176:F176, B176:F176&lt;&gt;0)),"""")"),"")</f>
        <v/>
      </c>
      <c r="H176" s="14" t="str">
        <f>IF(OR(G176=Compilation!B174,G176=""),"",G176-Compilation!B174)</f>
        <v/>
      </c>
      <c r="I176" s="38"/>
      <c r="J176" s="14" t="str">
        <f t="shared" si="2"/>
        <v/>
      </c>
      <c r="K176" s="14" t="str">
        <f t="shared" si="3"/>
        <v/>
      </c>
    </row>
    <row r="177">
      <c r="A177" s="21">
        <f>Scores!A178</f>
        <v>167</v>
      </c>
      <c r="B177" s="14"/>
      <c r="C177" s="14"/>
      <c r="D177" s="14"/>
      <c r="E177" s="14"/>
      <c r="F177" s="14"/>
      <c r="G177" s="14" t="str">
        <f>IFERROR(__xludf.DUMMYFUNCTION("IFERROR(MIN(FILTER(B177:F177, B177:F177&lt;&gt;0)),"""")"),"")</f>
        <v/>
      </c>
      <c r="H177" s="14" t="str">
        <f>IF(OR(G177=Compilation!B175,G177=""),"",G177-Compilation!B175)</f>
        <v/>
      </c>
      <c r="I177" s="38"/>
      <c r="J177" s="14" t="str">
        <f t="shared" si="2"/>
        <v/>
      </c>
      <c r="K177" s="14" t="str">
        <f t="shared" si="3"/>
        <v/>
      </c>
    </row>
    <row r="178">
      <c r="A178" s="21">
        <f>Scores!A179</f>
        <v>168</v>
      </c>
      <c r="B178" s="14"/>
      <c r="C178" s="14"/>
      <c r="D178" s="14"/>
      <c r="E178" s="14"/>
      <c r="F178" s="14"/>
      <c r="G178" s="14" t="str">
        <f>IFERROR(__xludf.DUMMYFUNCTION("IFERROR(MIN(FILTER(B178:F178, B178:F178&lt;&gt;0)),"""")"),"")</f>
        <v/>
      </c>
      <c r="H178" s="14" t="str">
        <f>IF(OR(G178=Compilation!B176,G178=""),"",G178-Compilation!B176)</f>
        <v/>
      </c>
      <c r="I178" s="38"/>
      <c r="J178" s="14" t="str">
        <f t="shared" si="2"/>
        <v/>
      </c>
      <c r="K178" s="14" t="str">
        <f t="shared" si="3"/>
        <v/>
      </c>
    </row>
    <row r="179">
      <c r="A179" s="21">
        <f>Scores!A180</f>
        <v>169</v>
      </c>
      <c r="B179" s="14"/>
      <c r="C179" s="14"/>
      <c r="D179" s="14"/>
      <c r="E179" s="14"/>
      <c r="F179" s="14"/>
      <c r="G179" s="14" t="str">
        <f>IFERROR(__xludf.DUMMYFUNCTION("IFERROR(MIN(FILTER(B179:F179, B179:F179&lt;&gt;0)),"""")"),"")</f>
        <v/>
      </c>
      <c r="H179" s="14" t="str">
        <f>IF(OR(G179=Compilation!B177,G179=""),"",G179-Compilation!B177)</f>
        <v/>
      </c>
      <c r="I179" s="38"/>
      <c r="J179" s="14" t="str">
        <f t="shared" si="2"/>
        <v/>
      </c>
      <c r="K179" s="14" t="str">
        <f t="shared" si="3"/>
        <v/>
      </c>
    </row>
    <row r="180">
      <c r="A180" s="21">
        <f>Scores!A181</f>
        <v>170</v>
      </c>
      <c r="B180" s="14"/>
      <c r="C180" s="14"/>
      <c r="D180" s="14"/>
      <c r="E180" s="14"/>
      <c r="F180" s="14"/>
      <c r="G180" s="14" t="str">
        <f>IFERROR(__xludf.DUMMYFUNCTION("IFERROR(MIN(FILTER(B180:F180, B180:F180&lt;&gt;0)),"""")"),"")</f>
        <v/>
      </c>
      <c r="H180" s="14" t="str">
        <f>IF(OR(G180=Compilation!B178,G180=""),"",G180-Compilation!B178)</f>
        <v/>
      </c>
      <c r="I180" s="38"/>
      <c r="J180" s="14" t="str">
        <f t="shared" si="2"/>
        <v/>
      </c>
      <c r="K180" s="14" t="str">
        <f t="shared" si="3"/>
        <v/>
      </c>
    </row>
    <row r="181">
      <c r="A181" s="21">
        <f>Scores!A182</f>
        <v>171</v>
      </c>
      <c r="B181" s="14"/>
      <c r="C181" s="14"/>
      <c r="D181" s="14"/>
      <c r="E181" s="14"/>
      <c r="F181" s="14"/>
      <c r="G181" s="14" t="str">
        <f>IFERROR(__xludf.DUMMYFUNCTION("IFERROR(MIN(FILTER(B181:F181, B181:F181&lt;&gt;0)),"""")"),"")</f>
        <v/>
      </c>
      <c r="H181" s="14" t="str">
        <f>IF(OR(G181=Compilation!B179,G181=""),"",G181-Compilation!B179)</f>
        <v/>
      </c>
      <c r="I181" s="38"/>
      <c r="J181" s="14" t="str">
        <f t="shared" si="2"/>
        <v/>
      </c>
      <c r="K181" s="14" t="str">
        <f t="shared" si="3"/>
        <v/>
      </c>
    </row>
    <row r="182">
      <c r="A182" s="21">
        <f>Scores!A183</f>
        <v>172</v>
      </c>
      <c r="B182" s="14"/>
      <c r="C182" s="14"/>
      <c r="D182" s="14"/>
      <c r="E182" s="14"/>
      <c r="F182" s="14"/>
      <c r="G182" s="14" t="str">
        <f>IFERROR(__xludf.DUMMYFUNCTION("IFERROR(MIN(FILTER(B182:F182, B182:F182&lt;&gt;0)),"""")"),"")</f>
        <v/>
      </c>
      <c r="H182" s="14" t="str">
        <f>IF(OR(G182=Compilation!B180,G182=""),"",G182-Compilation!B180)</f>
        <v/>
      </c>
      <c r="I182" s="38"/>
      <c r="J182" s="14" t="str">
        <f t="shared" si="2"/>
        <v/>
      </c>
      <c r="K182" s="14" t="str">
        <f t="shared" si="3"/>
        <v/>
      </c>
    </row>
    <row r="183">
      <c r="A183" s="21">
        <f>Scores!A184</f>
        <v>173</v>
      </c>
      <c r="B183" s="14"/>
      <c r="C183" s="14"/>
      <c r="D183" s="14"/>
      <c r="E183" s="14"/>
      <c r="F183" s="14"/>
      <c r="G183" s="14" t="str">
        <f>IFERROR(__xludf.DUMMYFUNCTION("IFERROR(MIN(FILTER(B183:F183, B183:F183&lt;&gt;0)),"""")"),"")</f>
        <v/>
      </c>
      <c r="H183" s="14" t="str">
        <f>IF(OR(G183=Compilation!B181,G183=""),"",G183-Compilation!B181)</f>
        <v/>
      </c>
      <c r="I183" s="38"/>
      <c r="J183" s="14" t="str">
        <f t="shared" si="2"/>
        <v/>
      </c>
      <c r="K183" s="14" t="str">
        <f t="shared" si="3"/>
        <v/>
      </c>
    </row>
    <row r="184">
      <c r="A184" s="21">
        <f>Scores!A185</f>
        <v>174</v>
      </c>
      <c r="B184" s="14"/>
      <c r="C184" s="14"/>
      <c r="D184" s="14"/>
      <c r="E184" s="14"/>
      <c r="F184" s="14"/>
      <c r="G184" s="14" t="str">
        <f>IFERROR(__xludf.DUMMYFUNCTION("IFERROR(MIN(FILTER(B184:F184, B184:F184&lt;&gt;0)),"""")"),"")</f>
        <v/>
      </c>
      <c r="H184" s="14" t="str">
        <f>IF(OR(G184=Compilation!B182,G184=""),"",G184-Compilation!B182)</f>
        <v/>
      </c>
      <c r="I184" s="38"/>
      <c r="J184" s="14" t="str">
        <f t="shared" si="2"/>
        <v/>
      </c>
      <c r="K184" s="14" t="str">
        <f t="shared" si="3"/>
        <v/>
      </c>
    </row>
    <row r="185">
      <c r="A185" s="21">
        <f>Scores!A186</f>
        <v>175</v>
      </c>
      <c r="B185" s="14"/>
      <c r="C185" s="14"/>
      <c r="D185" s="14"/>
      <c r="E185" s="14"/>
      <c r="F185" s="14"/>
      <c r="G185" s="14" t="str">
        <f>IFERROR(__xludf.DUMMYFUNCTION("IFERROR(MIN(FILTER(B185:F185, B185:F185&lt;&gt;0)),"""")"),"")</f>
        <v/>
      </c>
      <c r="H185" s="14" t="str">
        <f>IF(OR(G185=Compilation!B183,G185=""),"",G185-Compilation!B183)</f>
        <v/>
      </c>
      <c r="I185" s="38"/>
      <c r="J185" s="14" t="str">
        <f t="shared" si="2"/>
        <v/>
      </c>
      <c r="K185" s="14" t="str">
        <f t="shared" si="3"/>
        <v/>
      </c>
    </row>
    <row r="186">
      <c r="A186" s="21">
        <f>Scores!A187</f>
        <v>176</v>
      </c>
      <c r="B186" s="14"/>
      <c r="C186" s="14"/>
      <c r="D186" s="14"/>
      <c r="E186" s="14"/>
      <c r="F186" s="14"/>
      <c r="G186" s="14" t="str">
        <f>IFERROR(__xludf.DUMMYFUNCTION("IFERROR(MIN(FILTER(B186:F186, B186:F186&lt;&gt;0)),"""")"),"")</f>
        <v/>
      </c>
      <c r="H186" s="14" t="str">
        <f>IF(OR(G186=Compilation!B184,G186=""),"",G186-Compilation!B184)</f>
        <v/>
      </c>
      <c r="I186" s="38"/>
      <c r="J186" s="14" t="str">
        <f t="shared" si="2"/>
        <v/>
      </c>
      <c r="K186" s="14" t="str">
        <f t="shared" si="3"/>
        <v/>
      </c>
    </row>
    <row r="187">
      <c r="A187" s="21">
        <f>Scores!A188</f>
        <v>177</v>
      </c>
      <c r="B187" s="14"/>
      <c r="C187" s="14"/>
      <c r="D187" s="14"/>
      <c r="E187" s="14"/>
      <c r="F187" s="14"/>
      <c r="G187" s="14" t="str">
        <f>IFERROR(__xludf.DUMMYFUNCTION("IFERROR(MIN(FILTER(B187:F187, B187:F187&lt;&gt;0)),"""")"),"")</f>
        <v/>
      </c>
      <c r="H187" s="14" t="str">
        <f>IF(OR(G187=Compilation!B185,G187=""),"",G187-Compilation!B185)</f>
        <v/>
      </c>
      <c r="I187" s="38"/>
      <c r="J187" s="14" t="str">
        <f t="shared" si="2"/>
        <v/>
      </c>
      <c r="K187" s="14" t="str">
        <f t="shared" si="3"/>
        <v/>
      </c>
    </row>
    <row r="188">
      <c r="A188" s="21">
        <f>Scores!A189</f>
        <v>178</v>
      </c>
      <c r="B188" s="14"/>
      <c r="C188" s="14"/>
      <c r="D188" s="14"/>
      <c r="E188" s="14"/>
      <c r="F188" s="14"/>
      <c r="G188" s="14" t="str">
        <f>IFERROR(__xludf.DUMMYFUNCTION("IFERROR(MIN(FILTER(B188:F188, B188:F188&lt;&gt;0)),"""")"),"")</f>
        <v/>
      </c>
      <c r="H188" s="14" t="str">
        <f>IF(OR(G188=Compilation!B186,G188=""),"",G188-Compilation!B186)</f>
        <v/>
      </c>
      <c r="I188" s="38"/>
      <c r="J188" s="14" t="str">
        <f t="shared" si="2"/>
        <v/>
      </c>
      <c r="K188" s="14" t="str">
        <f t="shared" si="3"/>
        <v/>
      </c>
    </row>
    <row r="189">
      <c r="A189" s="21">
        <f>Scores!A190</f>
        <v>179</v>
      </c>
      <c r="B189" s="14"/>
      <c r="C189" s="14"/>
      <c r="D189" s="14"/>
      <c r="E189" s="14"/>
      <c r="F189" s="14"/>
      <c r="G189" s="14" t="str">
        <f>IFERROR(__xludf.DUMMYFUNCTION("IFERROR(MIN(FILTER(B189:F189, B189:F189&lt;&gt;0)),"""")"),"")</f>
        <v/>
      </c>
      <c r="H189" s="14" t="str">
        <f>IF(OR(G189=Compilation!B187,G189=""),"",G189-Compilation!B187)</f>
        <v/>
      </c>
      <c r="I189" s="38"/>
      <c r="J189" s="14" t="str">
        <f t="shared" si="2"/>
        <v/>
      </c>
      <c r="K189" s="14" t="str">
        <f t="shared" si="3"/>
        <v/>
      </c>
    </row>
    <row r="190">
      <c r="A190" s="21">
        <f>Scores!A191</f>
        <v>180</v>
      </c>
      <c r="B190" s="14"/>
      <c r="C190" s="14"/>
      <c r="D190" s="14"/>
      <c r="E190" s="14"/>
      <c r="F190" s="14"/>
      <c r="G190" s="14" t="str">
        <f>IFERROR(__xludf.DUMMYFUNCTION("IFERROR(MIN(FILTER(B190:F190, B190:F190&lt;&gt;0)),"""")"),"")</f>
        <v/>
      </c>
      <c r="H190" s="14" t="str">
        <f>IF(OR(G190=Compilation!B188,G190=""),"",G190-Compilation!B188)</f>
        <v/>
      </c>
      <c r="I190" s="38"/>
      <c r="J190" s="14" t="str">
        <f t="shared" si="2"/>
        <v/>
      </c>
      <c r="K190" s="14" t="str">
        <f t="shared" si="3"/>
        <v/>
      </c>
    </row>
    <row r="191">
      <c r="A191" s="21">
        <f>Scores!A192</f>
        <v>181</v>
      </c>
      <c r="B191" s="14"/>
      <c r="C191" s="14"/>
      <c r="D191" s="14"/>
      <c r="E191" s="14"/>
      <c r="F191" s="14"/>
      <c r="G191" s="14" t="str">
        <f>IFERROR(__xludf.DUMMYFUNCTION("IFERROR(MIN(FILTER(B191:F191, B191:F191&lt;&gt;0)),"""")"),"")</f>
        <v/>
      </c>
      <c r="H191" s="14" t="str">
        <f>IF(OR(G191=Compilation!B189,G191=""),"",G191-Compilation!B189)</f>
        <v/>
      </c>
      <c r="I191" s="38"/>
      <c r="J191" s="14" t="str">
        <f t="shared" si="2"/>
        <v/>
      </c>
      <c r="K191" s="14" t="str">
        <f t="shared" si="3"/>
        <v/>
      </c>
    </row>
    <row r="192">
      <c r="A192" s="21">
        <f>Scores!A193</f>
        <v>182</v>
      </c>
      <c r="B192" s="14"/>
      <c r="C192" s="14"/>
      <c r="D192" s="14"/>
      <c r="E192" s="14"/>
      <c r="F192" s="14"/>
      <c r="G192" s="14" t="str">
        <f>IFERROR(__xludf.DUMMYFUNCTION("IFERROR(MIN(FILTER(B192:F192, B192:F192&lt;&gt;0)),"""")"),"")</f>
        <v/>
      </c>
      <c r="H192" s="14" t="str">
        <f>IF(OR(G192=Compilation!B190,G192=""),"",G192-Compilation!B190)</f>
        <v/>
      </c>
      <c r="I192" s="38"/>
      <c r="J192" s="14" t="str">
        <f t="shared" si="2"/>
        <v/>
      </c>
      <c r="K192" s="14" t="str">
        <f t="shared" si="3"/>
        <v/>
      </c>
    </row>
    <row r="193">
      <c r="A193" s="21">
        <f>Scores!A194</f>
        <v>183</v>
      </c>
      <c r="B193" s="14"/>
      <c r="C193" s="14"/>
      <c r="D193" s="14"/>
      <c r="E193" s="14"/>
      <c r="F193" s="14"/>
      <c r="G193" s="14" t="str">
        <f>IFERROR(__xludf.DUMMYFUNCTION("IFERROR(MIN(FILTER(B193:F193, B193:F193&lt;&gt;0)),"""")"),"")</f>
        <v/>
      </c>
      <c r="H193" s="14" t="str">
        <f>IF(OR(G193=Compilation!B191,G193=""),"",G193-Compilation!B191)</f>
        <v/>
      </c>
      <c r="I193" s="38"/>
      <c r="J193" s="14" t="str">
        <f t="shared" si="2"/>
        <v/>
      </c>
      <c r="K193" s="14" t="str">
        <f t="shared" si="3"/>
        <v/>
      </c>
    </row>
    <row r="194">
      <c r="A194" s="21">
        <f>Scores!A195</f>
        <v>184</v>
      </c>
      <c r="B194" s="14"/>
      <c r="C194" s="14"/>
      <c r="D194" s="14"/>
      <c r="E194" s="14"/>
      <c r="F194" s="14"/>
      <c r="G194" s="14" t="str">
        <f>IFERROR(__xludf.DUMMYFUNCTION("IFERROR(MIN(FILTER(B194:F194, B194:F194&lt;&gt;0)),"""")"),"")</f>
        <v/>
      </c>
      <c r="H194" s="14" t="str">
        <f>IF(OR(G194=Compilation!B192,G194=""),"",G194-Compilation!B192)</f>
        <v/>
      </c>
      <c r="I194" s="38"/>
      <c r="J194" s="14" t="str">
        <f t="shared" si="2"/>
        <v/>
      </c>
      <c r="K194" s="14" t="str">
        <f t="shared" si="3"/>
        <v/>
      </c>
    </row>
    <row r="195">
      <c r="A195" s="21">
        <f>Scores!A196</f>
        <v>185</v>
      </c>
      <c r="B195" s="14"/>
      <c r="C195" s="14"/>
      <c r="D195" s="14"/>
      <c r="E195" s="14"/>
      <c r="F195" s="14"/>
      <c r="G195" s="14" t="str">
        <f>IFERROR(__xludf.DUMMYFUNCTION("IFERROR(MIN(FILTER(B195:F195, B195:F195&lt;&gt;0)),"""")"),"")</f>
        <v/>
      </c>
      <c r="H195" s="14" t="str">
        <f>IF(OR(G195=Compilation!B193,G195=""),"",G195-Compilation!B193)</f>
        <v/>
      </c>
      <c r="I195" s="38"/>
      <c r="J195" s="14" t="str">
        <f t="shared" si="2"/>
        <v/>
      </c>
      <c r="K195" s="14" t="str">
        <f t="shared" si="3"/>
        <v/>
      </c>
    </row>
    <row r="196">
      <c r="A196" s="21">
        <f>Scores!A197</f>
        <v>186</v>
      </c>
      <c r="B196" s="14"/>
      <c r="C196" s="14"/>
      <c r="D196" s="14"/>
      <c r="E196" s="14"/>
      <c r="F196" s="14"/>
      <c r="G196" s="14" t="str">
        <f>IFERROR(__xludf.DUMMYFUNCTION("IFERROR(MIN(FILTER(B196:F196, B196:F196&lt;&gt;0)),"""")"),"")</f>
        <v/>
      </c>
      <c r="H196" s="14" t="str">
        <f>IF(OR(G196=Compilation!B194,G196=""),"",G196-Compilation!B194)</f>
        <v/>
      </c>
      <c r="I196" s="38"/>
      <c r="J196" s="14" t="str">
        <f t="shared" si="2"/>
        <v/>
      </c>
      <c r="K196" s="14" t="str">
        <f t="shared" si="3"/>
        <v/>
      </c>
    </row>
    <row r="197">
      <c r="A197" s="21">
        <f>Scores!A198</f>
        <v>187</v>
      </c>
      <c r="B197" s="14"/>
      <c r="C197" s="14"/>
      <c r="D197" s="14"/>
      <c r="E197" s="14"/>
      <c r="F197" s="14"/>
      <c r="G197" s="14" t="str">
        <f>IFERROR(__xludf.DUMMYFUNCTION("IFERROR(MIN(FILTER(B197:F197, B197:F197&lt;&gt;0)),"""")"),"")</f>
        <v/>
      </c>
      <c r="H197" s="14" t="str">
        <f>IF(OR(G197=Compilation!B195,G197=""),"",G197-Compilation!B195)</f>
        <v/>
      </c>
      <c r="I197" s="38"/>
      <c r="J197" s="14" t="str">
        <f t="shared" si="2"/>
        <v/>
      </c>
      <c r="K197" s="14" t="str">
        <f t="shared" si="3"/>
        <v/>
      </c>
    </row>
    <row r="198">
      <c r="A198" s="21">
        <f>Scores!A199</f>
        <v>188</v>
      </c>
      <c r="B198" s="14"/>
      <c r="C198" s="14"/>
      <c r="D198" s="14"/>
      <c r="E198" s="14"/>
      <c r="F198" s="14"/>
      <c r="G198" s="14" t="str">
        <f>IFERROR(__xludf.DUMMYFUNCTION("IFERROR(MIN(FILTER(B198:F198, B198:F198&lt;&gt;0)),"""")"),"")</f>
        <v/>
      </c>
      <c r="H198" s="14" t="str">
        <f>IF(OR(G198=Compilation!B196,G198=""),"",G198-Compilation!B196)</f>
        <v/>
      </c>
      <c r="I198" s="38"/>
      <c r="J198" s="14" t="str">
        <f t="shared" si="2"/>
        <v/>
      </c>
      <c r="K198" s="14" t="str">
        <f t="shared" si="3"/>
        <v/>
      </c>
    </row>
    <row r="199">
      <c r="A199" s="21">
        <f>Scores!A200</f>
        <v>189</v>
      </c>
      <c r="B199" s="14"/>
      <c r="C199" s="14"/>
      <c r="D199" s="14"/>
      <c r="E199" s="14"/>
      <c r="F199" s="14"/>
      <c r="G199" s="14" t="str">
        <f>IFERROR(__xludf.DUMMYFUNCTION("IFERROR(MIN(FILTER(B199:F199, B199:F199&lt;&gt;0)),"""")"),"")</f>
        <v/>
      </c>
      <c r="H199" s="14" t="str">
        <f>IF(OR(G199=Compilation!B197,G199=""),"",G199-Compilation!B197)</f>
        <v/>
      </c>
      <c r="I199" s="38"/>
      <c r="J199" s="14" t="str">
        <f t="shared" si="2"/>
        <v/>
      </c>
      <c r="K199" s="14" t="str">
        <f t="shared" si="3"/>
        <v/>
      </c>
    </row>
    <row r="200">
      <c r="A200" s="21">
        <f>Scores!A201</f>
        <v>190</v>
      </c>
      <c r="B200" s="14"/>
      <c r="C200" s="14"/>
      <c r="D200" s="14"/>
      <c r="E200" s="14"/>
      <c r="F200" s="14"/>
      <c r="G200" s="14" t="str">
        <f>IFERROR(__xludf.DUMMYFUNCTION("IFERROR(MIN(FILTER(B200:F200, B200:F200&lt;&gt;0)),"""")"),"")</f>
        <v/>
      </c>
      <c r="H200" s="14" t="str">
        <f>IF(OR(G200=Compilation!B198,G200=""),"",G200-Compilation!B198)</f>
        <v/>
      </c>
      <c r="I200" s="38"/>
      <c r="J200" s="14" t="str">
        <f t="shared" si="2"/>
        <v/>
      </c>
      <c r="K200" s="14" t="str">
        <f t="shared" si="3"/>
        <v/>
      </c>
    </row>
    <row r="201">
      <c r="A201" s="21">
        <f>Scores!A202</f>
        <v>191</v>
      </c>
      <c r="B201" s="14"/>
      <c r="C201" s="14"/>
      <c r="D201" s="14"/>
      <c r="E201" s="14"/>
      <c r="F201" s="14"/>
      <c r="G201" s="14" t="str">
        <f>IFERROR(__xludf.DUMMYFUNCTION("IFERROR(MIN(FILTER(B201:F201, B201:F201&lt;&gt;0)),"""")"),"")</f>
        <v/>
      </c>
      <c r="H201" s="14" t="str">
        <f>IF(OR(G201=Compilation!B199,G201=""),"",G201-Compilation!B199)</f>
        <v/>
      </c>
      <c r="I201" s="38"/>
      <c r="J201" s="14" t="str">
        <f t="shared" si="2"/>
        <v/>
      </c>
      <c r="K201" s="14" t="str">
        <f t="shared" si="3"/>
        <v/>
      </c>
    </row>
    <row r="202">
      <c r="A202" s="21">
        <f>Scores!A203</f>
        <v>192</v>
      </c>
      <c r="B202" s="14"/>
      <c r="C202" s="14"/>
      <c r="D202" s="14"/>
      <c r="E202" s="14"/>
      <c r="F202" s="14"/>
      <c r="G202" s="14" t="str">
        <f>IFERROR(__xludf.DUMMYFUNCTION("IFERROR(MIN(FILTER(B202:F202, B202:F202&lt;&gt;0)),"""")"),"")</f>
        <v/>
      </c>
      <c r="H202" s="14" t="str">
        <f>IF(OR(G202=Compilation!B200,G202=""),"",G202-Compilation!B200)</f>
        <v/>
      </c>
      <c r="I202" s="38"/>
      <c r="J202" s="14" t="str">
        <f t="shared" si="2"/>
        <v/>
      </c>
      <c r="K202" s="14" t="str">
        <f t="shared" si="3"/>
        <v/>
      </c>
    </row>
    <row r="203">
      <c r="A203" s="21">
        <f>Scores!A204</f>
        <v>193</v>
      </c>
      <c r="B203" s="14"/>
      <c r="C203" s="14"/>
      <c r="D203" s="14"/>
      <c r="E203" s="14"/>
      <c r="F203" s="14"/>
      <c r="G203" s="14" t="str">
        <f>IFERROR(__xludf.DUMMYFUNCTION("IFERROR(MIN(FILTER(B203:F203, B203:F203&lt;&gt;0)),"""")"),"")</f>
        <v/>
      </c>
      <c r="H203" s="14" t="str">
        <f>IF(OR(G203=Compilation!B201,G203=""),"",G203-Compilation!B201)</f>
        <v/>
      </c>
      <c r="I203" s="38"/>
      <c r="J203" s="14" t="str">
        <f t="shared" si="2"/>
        <v/>
      </c>
      <c r="K203" s="14" t="str">
        <f t="shared" si="3"/>
        <v/>
      </c>
    </row>
    <row r="204">
      <c r="A204" s="21">
        <f>Scores!A205</f>
        <v>194</v>
      </c>
      <c r="B204" s="14"/>
      <c r="C204" s="14"/>
      <c r="D204" s="14"/>
      <c r="E204" s="14"/>
      <c r="F204" s="14"/>
      <c r="G204" s="14" t="str">
        <f>IFERROR(__xludf.DUMMYFUNCTION("IFERROR(MIN(FILTER(B204:F204, B204:F204&lt;&gt;0)),"""")"),"")</f>
        <v/>
      </c>
      <c r="H204" s="14" t="str">
        <f>IF(OR(G204=Compilation!B202,G204=""),"",G204-Compilation!B202)</f>
        <v/>
      </c>
      <c r="I204" s="38"/>
      <c r="J204" s="14" t="str">
        <f t="shared" si="2"/>
        <v/>
      </c>
      <c r="K204" s="14" t="str">
        <f t="shared" si="3"/>
        <v/>
      </c>
    </row>
    <row r="205">
      <c r="A205" s="21">
        <f>Scores!A206</f>
        <v>195</v>
      </c>
      <c r="B205" s="14"/>
      <c r="C205" s="14"/>
      <c r="D205" s="14"/>
      <c r="E205" s="14"/>
      <c r="F205" s="14"/>
      <c r="G205" s="14" t="str">
        <f>IFERROR(__xludf.DUMMYFUNCTION("IFERROR(MIN(FILTER(B205:F205, B205:F205&lt;&gt;0)),"""")"),"")</f>
        <v/>
      </c>
      <c r="H205" s="14" t="str">
        <f>IF(OR(G205=Compilation!B203,G205=""),"",G205-Compilation!B203)</f>
        <v/>
      </c>
      <c r="I205" s="38"/>
      <c r="J205" s="14" t="str">
        <f t="shared" si="2"/>
        <v/>
      </c>
      <c r="K205" s="14" t="str">
        <f t="shared" si="3"/>
        <v/>
      </c>
    </row>
    <row r="206">
      <c r="A206" s="21">
        <f>Scores!A207</f>
        <v>196</v>
      </c>
      <c r="B206" s="14"/>
      <c r="C206" s="14"/>
      <c r="D206" s="14"/>
      <c r="E206" s="14"/>
      <c r="F206" s="14"/>
      <c r="G206" s="14" t="str">
        <f>IFERROR(__xludf.DUMMYFUNCTION("IFERROR(MIN(FILTER(B206:F206, B206:F206&lt;&gt;0)),"""")"),"")</f>
        <v/>
      </c>
      <c r="H206" s="14" t="str">
        <f>IF(OR(G206=Compilation!B204,G206=""),"",G206-Compilation!B204)</f>
        <v/>
      </c>
      <c r="I206" s="38"/>
      <c r="J206" s="14" t="str">
        <f t="shared" si="2"/>
        <v/>
      </c>
      <c r="K206" s="14" t="str">
        <f t="shared" si="3"/>
        <v/>
      </c>
    </row>
    <row r="207">
      <c r="A207" s="21">
        <f>Scores!A208</f>
        <v>197</v>
      </c>
      <c r="B207" s="14"/>
      <c r="C207" s="14"/>
      <c r="D207" s="14"/>
      <c r="E207" s="14"/>
      <c r="F207" s="14"/>
      <c r="G207" s="14" t="str">
        <f>IFERROR(__xludf.DUMMYFUNCTION("IFERROR(MIN(FILTER(B207:F207, B207:F207&lt;&gt;0)),"""")"),"")</f>
        <v/>
      </c>
      <c r="H207" s="14" t="str">
        <f>IF(OR(G207=Compilation!B205,G207=""),"",G207-Compilation!B205)</f>
        <v/>
      </c>
      <c r="I207" s="38"/>
      <c r="J207" s="14" t="str">
        <f t="shared" si="2"/>
        <v/>
      </c>
      <c r="K207" s="14" t="str">
        <f t="shared" si="3"/>
        <v/>
      </c>
    </row>
    <row r="208">
      <c r="A208" s="21">
        <f>Scores!A209</f>
        <v>198</v>
      </c>
      <c r="B208" s="14"/>
      <c r="C208" s="14"/>
      <c r="D208" s="14"/>
      <c r="E208" s="14"/>
      <c r="F208" s="14"/>
      <c r="G208" s="14" t="str">
        <f>IFERROR(__xludf.DUMMYFUNCTION("IFERROR(MIN(FILTER(B208:F208, B208:F208&lt;&gt;0)),"""")"),"")</f>
        <v/>
      </c>
      <c r="H208" s="14" t="str">
        <f>IF(OR(G208=Compilation!B206,G208=""),"",G208-Compilation!B206)</f>
        <v/>
      </c>
      <c r="I208" s="38"/>
      <c r="J208" s="14" t="str">
        <f t="shared" si="2"/>
        <v/>
      </c>
      <c r="K208" s="14" t="str">
        <f t="shared" si="3"/>
        <v/>
      </c>
    </row>
    <row r="209">
      <c r="A209" s="21">
        <f>Scores!A210</f>
        <v>199</v>
      </c>
      <c r="B209" s="14"/>
      <c r="C209" s="14"/>
      <c r="D209" s="14"/>
      <c r="E209" s="14"/>
      <c r="F209" s="14"/>
      <c r="G209" s="14" t="str">
        <f>IFERROR(__xludf.DUMMYFUNCTION("IFERROR(MIN(FILTER(B209:F209, B209:F209&lt;&gt;0)),"""")"),"")</f>
        <v/>
      </c>
      <c r="H209" s="14" t="str">
        <f>IF(OR(G209=Compilation!B207,G209=""),"",G209-Compilation!B207)</f>
        <v/>
      </c>
      <c r="I209" s="38"/>
      <c r="J209" s="14" t="str">
        <f t="shared" si="2"/>
        <v/>
      </c>
      <c r="K209" s="14" t="str">
        <f t="shared" si="3"/>
        <v/>
      </c>
    </row>
    <row r="210">
      <c r="A210" s="21">
        <f>Scores!A211</f>
        <v>200</v>
      </c>
      <c r="B210" s="14"/>
      <c r="C210" s="14"/>
      <c r="D210" s="14"/>
      <c r="E210" s="14"/>
      <c r="F210" s="14"/>
      <c r="G210" s="14" t="str">
        <f>IFERROR(__xludf.DUMMYFUNCTION("IFERROR(MIN(FILTER(B210:F210, B210:F210&lt;&gt;0)),"""")"),"")</f>
        <v/>
      </c>
      <c r="H210" s="14" t="str">
        <f>IF(OR(G210=Compilation!B208,G210=""),"",G210-Compilation!B208)</f>
        <v/>
      </c>
      <c r="I210" s="38"/>
      <c r="J210" s="14" t="str">
        <f t="shared" si="2"/>
        <v/>
      </c>
      <c r="K210" s="14" t="str">
        <f t="shared" si="3"/>
        <v/>
      </c>
    </row>
    <row r="211">
      <c r="A211" s="21">
        <f>Scores!A212</f>
        <v>201</v>
      </c>
      <c r="B211" s="14"/>
      <c r="C211" s="14"/>
      <c r="D211" s="14"/>
      <c r="E211" s="14"/>
      <c r="F211" s="14"/>
      <c r="G211" s="14" t="str">
        <f>IFERROR(__xludf.DUMMYFUNCTION("IFERROR(MIN(FILTER(B211:F211, B211:F211&lt;&gt;0)),"""")"),"")</f>
        <v/>
      </c>
      <c r="H211" s="14" t="str">
        <f>IF(OR(G211=Compilation!B209,G211=""),"",G211-Compilation!B209)</f>
        <v/>
      </c>
      <c r="I211" s="38"/>
      <c r="J211" s="14" t="str">
        <f t="shared" si="2"/>
        <v/>
      </c>
      <c r="K211" s="14" t="str">
        <f t="shared" si="3"/>
        <v/>
      </c>
    </row>
    <row r="212">
      <c r="A212" s="21">
        <f>Scores!A213</f>
        <v>202</v>
      </c>
      <c r="B212" s="14"/>
      <c r="C212" s="14"/>
      <c r="D212" s="14"/>
      <c r="E212" s="14"/>
      <c r="F212" s="14"/>
      <c r="G212" s="14" t="str">
        <f>IFERROR(__xludf.DUMMYFUNCTION("IFERROR(MIN(FILTER(B212:F212, B212:F212&lt;&gt;0)),"""")"),"")</f>
        <v/>
      </c>
      <c r="H212" s="14" t="str">
        <f>IF(OR(G212=Compilation!B210,G212=""),"",G212-Compilation!B210)</f>
        <v/>
      </c>
      <c r="I212" s="38"/>
      <c r="J212" s="14" t="str">
        <f t="shared" si="2"/>
        <v/>
      </c>
      <c r="K212" s="14" t="str">
        <f t="shared" si="3"/>
        <v/>
      </c>
    </row>
    <row r="213">
      <c r="A213" s="21">
        <f>Scores!A214</f>
        <v>203</v>
      </c>
      <c r="B213" s="14"/>
      <c r="C213" s="14"/>
      <c r="D213" s="14"/>
      <c r="E213" s="14"/>
      <c r="F213" s="14"/>
      <c r="G213" s="14" t="str">
        <f>IFERROR(__xludf.DUMMYFUNCTION("IFERROR(MIN(FILTER(B213:F213, B213:F213&lt;&gt;0)),"""")"),"")</f>
        <v/>
      </c>
      <c r="H213" s="14" t="str">
        <f>IF(OR(G213=Compilation!B211,G213=""),"",G213-Compilation!B211)</f>
        <v/>
      </c>
      <c r="I213" s="38"/>
      <c r="J213" s="14" t="str">
        <f t="shared" si="2"/>
        <v/>
      </c>
      <c r="K213" s="14" t="str">
        <f t="shared" si="3"/>
        <v/>
      </c>
    </row>
    <row r="214">
      <c r="A214" s="21">
        <f>Scores!A215</f>
        <v>204</v>
      </c>
      <c r="B214" s="14"/>
      <c r="C214" s="14"/>
      <c r="D214" s="14"/>
      <c r="E214" s="14"/>
      <c r="F214" s="14"/>
      <c r="G214" s="14" t="str">
        <f>IFERROR(__xludf.DUMMYFUNCTION("IFERROR(MIN(FILTER(B214:F214, B214:F214&lt;&gt;0)),"""")"),"")</f>
        <v/>
      </c>
      <c r="H214" s="14" t="str">
        <f>IF(OR(G214=Compilation!B212,G214=""),"",G214-Compilation!B212)</f>
        <v/>
      </c>
      <c r="I214" s="38"/>
      <c r="J214" s="14" t="str">
        <f t="shared" si="2"/>
        <v/>
      </c>
      <c r="K214" s="14" t="str">
        <f t="shared" si="3"/>
        <v/>
      </c>
    </row>
    <row r="215">
      <c r="A215" s="21">
        <f>Scores!A216</f>
        <v>205</v>
      </c>
      <c r="B215" s="14"/>
      <c r="C215" s="14"/>
      <c r="D215" s="14"/>
      <c r="E215" s="14"/>
      <c r="F215" s="14"/>
      <c r="G215" s="14" t="str">
        <f>IFERROR(__xludf.DUMMYFUNCTION("IFERROR(MIN(FILTER(B215:F215, B215:F215&lt;&gt;0)),"""")"),"")</f>
        <v/>
      </c>
      <c r="H215" s="14" t="str">
        <f>IF(OR(G215=Compilation!B213,G215=""),"",G215-Compilation!B213)</f>
        <v/>
      </c>
      <c r="I215" s="38"/>
      <c r="J215" s="14" t="str">
        <f t="shared" si="2"/>
        <v/>
      </c>
      <c r="K215" s="14" t="str">
        <f t="shared" si="3"/>
        <v/>
      </c>
    </row>
    <row r="216">
      <c r="A216" s="21">
        <f>Scores!A217</f>
        <v>206</v>
      </c>
      <c r="B216" s="14"/>
      <c r="C216" s="14"/>
      <c r="D216" s="14"/>
      <c r="E216" s="14"/>
      <c r="F216" s="14"/>
      <c r="G216" s="14" t="str">
        <f>IFERROR(__xludf.DUMMYFUNCTION("IFERROR(MIN(FILTER(B216:F216, B216:F216&lt;&gt;0)),"""")"),"")</f>
        <v/>
      </c>
      <c r="H216" s="14" t="str">
        <f>IF(OR(G216=Compilation!B214,G216=""),"",G216-Compilation!B214)</f>
        <v/>
      </c>
      <c r="I216" s="38"/>
      <c r="J216" s="14" t="str">
        <f t="shared" si="2"/>
        <v/>
      </c>
      <c r="K216" s="14" t="str">
        <f t="shared" si="3"/>
        <v/>
      </c>
    </row>
    <row r="217">
      <c r="A217" s="21">
        <f>Scores!A218</f>
        <v>207</v>
      </c>
      <c r="B217" s="14"/>
      <c r="C217" s="14"/>
      <c r="D217" s="14"/>
      <c r="E217" s="14"/>
      <c r="F217" s="14"/>
      <c r="G217" s="14" t="str">
        <f>IFERROR(__xludf.DUMMYFUNCTION("IFERROR(MIN(FILTER(B217:F217, B217:F217&lt;&gt;0)),"""")"),"")</f>
        <v/>
      </c>
      <c r="H217" s="14" t="str">
        <f>IF(OR(G217=Compilation!B215,G217=""),"",G217-Compilation!B215)</f>
        <v/>
      </c>
      <c r="I217" s="38"/>
      <c r="J217" s="14" t="str">
        <f t="shared" si="2"/>
        <v/>
      </c>
      <c r="K217" s="14" t="str">
        <f t="shared" si="3"/>
        <v/>
      </c>
    </row>
    <row r="218">
      <c r="A218" s="21">
        <f>Scores!A219</f>
        <v>208</v>
      </c>
      <c r="B218" s="14"/>
      <c r="C218" s="14"/>
      <c r="D218" s="14"/>
      <c r="E218" s="14"/>
      <c r="F218" s="14"/>
      <c r="G218" s="14" t="str">
        <f>IFERROR(__xludf.DUMMYFUNCTION("IFERROR(MIN(FILTER(B218:F218, B218:F218&lt;&gt;0)),"""")"),"")</f>
        <v/>
      </c>
      <c r="H218" s="14" t="str">
        <f>IF(OR(G218=Compilation!B216,G218=""),"",G218-Compilation!B216)</f>
        <v/>
      </c>
      <c r="I218" s="38"/>
      <c r="J218" s="14" t="str">
        <f t="shared" si="2"/>
        <v/>
      </c>
      <c r="K218" s="14" t="str">
        <f t="shared" si="3"/>
        <v/>
      </c>
    </row>
    <row r="219">
      <c r="A219" s="21">
        <f>Scores!A220</f>
        <v>209</v>
      </c>
      <c r="B219" s="14"/>
      <c r="C219" s="14"/>
      <c r="D219" s="14"/>
      <c r="E219" s="14"/>
      <c r="F219" s="14"/>
      <c r="G219" s="14" t="str">
        <f>IFERROR(__xludf.DUMMYFUNCTION("IFERROR(MIN(FILTER(B219:F219, B219:F219&lt;&gt;0)),"""")"),"")</f>
        <v/>
      </c>
      <c r="H219" s="14" t="str">
        <f>IF(OR(G219=Compilation!B217,G219=""),"",G219-Compilation!B217)</f>
        <v/>
      </c>
      <c r="I219" s="38"/>
      <c r="J219" s="14" t="str">
        <f t="shared" si="2"/>
        <v/>
      </c>
      <c r="K219" s="14" t="str">
        <f t="shared" si="3"/>
        <v/>
      </c>
    </row>
    <row r="220">
      <c r="A220" s="21">
        <f>Scores!A221</f>
        <v>210</v>
      </c>
      <c r="B220" s="14"/>
      <c r="C220" s="14"/>
      <c r="D220" s="14"/>
      <c r="E220" s="14"/>
      <c r="F220" s="14"/>
      <c r="G220" s="14" t="str">
        <f>IFERROR(__xludf.DUMMYFUNCTION("IFERROR(MIN(FILTER(B220:F220, B220:F220&lt;&gt;0)),"""")"),"")</f>
        <v/>
      </c>
      <c r="H220" s="14" t="str">
        <f>IF(OR(G220=Compilation!B218,G220=""),"",G220-Compilation!B218)</f>
        <v/>
      </c>
      <c r="I220" s="38"/>
      <c r="J220" s="14" t="str">
        <f t="shared" si="2"/>
        <v/>
      </c>
      <c r="K220" s="14" t="str">
        <f t="shared" si="3"/>
        <v/>
      </c>
    </row>
    <row r="221">
      <c r="A221" s="21">
        <f>Scores!A222</f>
        <v>211</v>
      </c>
      <c r="B221" s="14"/>
      <c r="C221" s="14"/>
      <c r="D221" s="14"/>
      <c r="E221" s="14"/>
      <c r="F221" s="14"/>
      <c r="G221" s="14" t="str">
        <f>IFERROR(__xludf.DUMMYFUNCTION("IFERROR(MIN(FILTER(B221:F221, B221:F221&lt;&gt;0)),"""")"),"")</f>
        <v/>
      </c>
      <c r="H221" s="14" t="str">
        <f>IF(OR(G221=Compilation!B219,G221=""),"",G221-Compilation!B219)</f>
        <v/>
      </c>
      <c r="I221" s="38"/>
      <c r="J221" s="14" t="str">
        <f t="shared" si="2"/>
        <v/>
      </c>
      <c r="K221" s="14" t="str">
        <f t="shared" si="3"/>
        <v/>
      </c>
    </row>
    <row r="222">
      <c r="A222" s="21">
        <f>Scores!A223</f>
        <v>212</v>
      </c>
      <c r="B222" s="14"/>
      <c r="C222" s="14"/>
      <c r="D222" s="14"/>
      <c r="E222" s="14"/>
      <c r="F222" s="14"/>
      <c r="G222" s="14" t="str">
        <f>IFERROR(__xludf.DUMMYFUNCTION("IFERROR(MIN(FILTER(B222:F222, B222:F222&lt;&gt;0)),"""")"),"")</f>
        <v/>
      </c>
      <c r="H222" s="14" t="str">
        <f>IF(OR(G222=Compilation!B220,G222=""),"",G222-Compilation!B220)</f>
        <v/>
      </c>
      <c r="I222" s="38"/>
      <c r="J222" s="14" t="str">
        <f t="shared" si="2"/>
        <v/>
      </c>
      <c r="K222" s="14" t="str">
        <f t="shared" si="3"/>
        <v/>
      </c>
    </row>
    <row r="223">
      <c r="A223" s="21">
        <f>Scores!A224</f>
        <v>213</v>
      </c>
      <c r="B223" s="14"/>
      <c r="C223" s="14"/>
      <c r="D223" s="14"/>
      <c r="E223" s="14"/>
      <c r="F223" s="14"/>
      <c r="G223" s="14" t="str">
        <f>IFERROR(__xludf.DUMMYFUNCTION("IFERROR(MIN(FILTER(B223:F223, B223:F223&lt;&gt;0)),"""")"),"")</f>
        <v/>
      </c>
      <c r="H223" s="14" t="str">
        <f>IF(OR(G223=Compilation!B221,G223=""),"",G223-Compilation!B221)</f>
        <v/>
      </c>
      <c r="I223" s="38"/>
      <c r="J223" s="14" t="str">
        <f t="shared" si="2"/>
        <v/>
      </c>
      <c r="K223" s="14" t="str">
        <f t="shared" si="3"/>
        <v/>
      </c>
    </row>
    <row r="224">
      <c r="A224" s="21">
        <f>Scores!A225</f>
        <v>214</v>
      </c>
      <c r="B224" s="14"/>
      <c r="C224" s="14"/>
      <c r="D224" s="14"/>
      <c r="E224" s="14"/>
      <c r="F224" s="14"/>
      <c r="G224" s="14" t="str">
        <f>IFERROR(__xludf.DUMMYFUNCTION("IFERROR(MIN(FILTER(B224:F224, B224:F224&lt;&gt;0)),"""")"),"")</f>
        <v/>
      </c>
      <c r="H224" s="14" t="str">
        <f>IF(OR(G224=Compilation!B222,G224=""),"",G224-Compilation!B222)</f>
        <v/>
      </c>
      <c r="I224" s="38"/>
      <c r="J224" s="14" t="str">
        <f t="shared" si="2"/>
        <v/>
      </c>
      <c r="K224" s="14" t="str">
        <f t="shared" si="3"/>
        <v/>
      </c>
    </row>
    <row r="225">
      <c r="A225" s="21">
        <f>Scores!A226</f>
        <v>215</v>
      </c>
      <c r="B225" s="14"/>
      <c r="C225" s="14"/>
      <c r="D225" s="14"/>
      <c r="E225" s="14"/>
      <c r="F225" s="14"/>
      <c r="G225" s="14" t="str">
        <f>IFERROR(__xludf.DUMMYFUNCTION("IFERROR(MIN(FILTER(B225:F225, B225:F225&lt;&gt;0)),"""")"),"")</f>
        <v/>
      </c>
      <c r="H225" s="14" t="str">
        <f>IF(OR(G225=Compilation!B223,G225=""),"",G225-Compilation!B223)</f>
        <v/>
      </c>
      <c r="I225" s="38"/>
      <c r="J225" s="14" t="str">
        <f t="shared" si="2"/>
        <v/>
      </c>
      <c r="K225" s="14" t="str">
        <f t="shared" si="3"/>
        <v/>
      </c>
    </row>
    <row r="226">
      <c r="A226" s="21">
        <f>Scores!A227</f>
        <v>216</v>
      </c>
      <c r="B226" s="14"/>
      <c r="C226" s="14"/>
      <c r="D226" s="14"/>
      <c r="E226" s="14"/>
      <c r="F226" s="14"/>
      <c r="G226" s="14" t="str">
        <f>IFERROR(__xludf.DUMMYFUNCTION("IFERROR(MIN(FILTER(B226:F226, B226:F226&lt;&gt;0)),"""")"),"")</f>
        <v/>
      </c>
      <c r="H226" s="14" t="str">
        <f>IF(OR(G226=Compilation!B224,G226=""),"",G226-Compilation!B224)</f>
        <v/>
      </c>
      <c r="I226" s="38"/>
      <c r="J226" s="14" t="str">
        <f t="shared" si="2"/>
        <v/>
      </c>
      <c r="K226" s="14" t="str">
        <f t="shared" si="3"/>
        <v/>
      </c>
    </row>
    <row r="227">
      <c r="A227" s="21">
        <f>Scores!A228</f>
        <v>217</v>
      </c>
      <c r="B227" s="14"/>
      <c r="C227" s="14"/>
      <c r="D227" s="14"/>
      <c r="E227" s="14"/>
      <c r="F227" s="14"/>
      <c r="G227" s="14" t="str">
        <f>IFERROR(__xludf.DUMMYFUNCTION("IFERROR(MIN(FILTER(B227:F227, B227:F227&lt;&gt;0)),"""")"),"")</f>
        <v/>
      </c>
      <c r="H227" s="14" t="str">
        <f>IF(OR(G227=Compilation!B225,G227=""),"",G227-Compilation!B225)</f>
        <v/>
      </c>
      <c r="I227" s="38"/>
      <c r="J227" s="14" t="str">
        <f t="shared" si="2"/>
        <v/>
      </c>
      <c r="K227" s="14" t="str">
        <f t="shared" si="3"/>
        <v/>
      </c>
    </row>
    <row r="228">
      <c r="A228" s="21">
        <f>Scores!A229</f>
        <v>218</v>
      </c>
      <c r="B228" s="14"/>
      <c r="C228" s="14"/>
      <c r="D228" s="14"/>
      <c r="E228" s="14"/>
      <c r="F228" s="14"/>
      <c r="G228" s="14" t="str">
        <f>IFERROR(__xludf.DUMMYFUNCTION("IFERROR(MIN(FILTER(B228:F228, B228:F228&lt;&gt;0)),"""")"),"")</f>
        <v/>
      </c>
      <c r="H228" s="14" t="str">
        <f>IF(OR(G228=Compilation!B226,G228=""),"",G228-Compilation!B226)</f>
        <v/>
      </c>
      <c r="I228" s="38"/>
      <c r="J228" s="14" t="str">
        <f t="shared" si="2"/>
        <v/>
      </c>
      <c r="K228" s="14" t="str">
        <f t="shared" si="3"/>
        <v/>
      </c>
    </row>
    <row r="229">
      <c r="A229" s="21">
        <f>Scores!A230</f>
        <v>219</v>
      </c>
      <c r="B229" s="14"/>
      <c r="C229" s="14"/>
      <c r="D229" s="14"/>
      <c r="E229" s="14"/>
      <c r="F229" s="14"/>
      <c r="G229" s="14" t="str">
        <f>IFERROR(__xludf.DUMMYFUNCTION("IFERROR(MIN(FILTER(B229:F229, B229:F229&lt;&gt;0)),"""")"),"")</f>
        <v/>
      </c>
      <c r="H229" s="14" t="str">
        <f>IF(OR(G229=Compilation!B227,G229=""),"",G229-Compilation!B227)</f>
        <v/>
      </c>
      <c r="I229" s="38"/>
      <c r="J229" s="14" t="str">
        <f t="shared" si="2"/>
        <v/>
      </c>
      <c r="K229" s="14" t="str">
        <f t="shared" si="3"/>
        <v/>
      </c>
    </row>
    <row r="230">
      <c r="A230" s="21">
        <f>Scores!A231</f>
        <v>220</v>
      </c>
      <c r="B230" s="14"/>
      <c r="C230" s="14"/>
      <c r="D230" s="14"/>
      <c r="E230" s="14"/>
      <c r="F230" s="14"/>
      <c r="G230" s="14" t="str">
        <f>IFERROR(__xludf.DUMMYFUNCTION("IFERROR(MIN(FILTER(B230:F230, B230:F230&lt;&gt;0)),"""")"),"")</f>
        <v/>
      </c>
      <c r="H230" s="14" t="str">
        <f>IF(OR(G230=Compilation!B228,G230=""),"",G230-Compilation!B228)</f>
        <v/>
      </c>
      <c r="I230" s="38"/>
      <c r="J230" s="14" t="str">
        <f t="shared" si="2"/>
        <v/>
      </c>
      <c r="K230" s="14" t="str">
        <f t="shared" si="3"/>
        <v/>
      </c>
    </row>
    <row r="231">
      <c r="A231" s="21">
        <f>Scores!A232</f>
        <v>221</v>
      </c>
      <c r="B231" s="14"/>
      <c r="C231" s="14"/>
      <c r="D231" s="14"/>
      <c r="E231" s="14"/>
      <c r="F231" s="14"/>
      <c r="G231" s="14" t="str">
        <f>IFERROR(__xludf.DUMMYFUNCTION("IFERROR(MIN(FILTER(B231:F231, B231:F231&lt;&gt;0)),"""")"),"")</f>
        <v/>
      </c>
      <c r="H231" s="14" t="str">
        <f>IF(OR(G231=Compilation!B229,G231=""),"",G231-Compilation!B229)</f>
        <v/>
      </c>
      <c r="I231" s="38"/>
      <c r="J231" s="14" t="str">
        <f t="shared" si="2"/>
        <v/>
      </c>
      <c r="K231" s="14" t="str">
        <f t="shared" si="3"/>
        <v/>
      </c>
    </row>
    <row r="232">
      <c r="A232" s="21">
        <f>Scores!A233</f>
        <v>222</v>
      </c>
      <c r="B232" s="14"/>
      <c r="C232" s="14"/>
      <c r="D232" s="14"/>
      <c r="E232" s="14"/>
      <c r="F232" s="14"/>
      <c r="G232" s="14" t="str">
        <f>IFERROR(__xludf.DUMMYFUNCTION("IFERROR(MIN(FILTER(B232:F232, B232:F232&lt;&gt;0)),"""")"),"")</f>
        <v/>
      </c>
      <c r="H232" s="14" t="str">
        <f>IF(OR(G232=Compilation!B230,G232=""),"",G232-Compilation!B230)</f>
        <v/>
      </c>
      <c r="I232" s="38"/>
      <c r="J232" s="14" t="str">
        <f t="shared" si="2"/>
        <v/>
      </c>
      <c r="K232" s="14" t="str">
        <f t="shared" si="3"/>
        <v/>
      </c>
    </row>
    <row r="233">
      <c r="A233" s="21">
        <f>Scores!A234</f>
        <v>223</v>
      </c>
      <c r="B233" s="14"/>
      <c r="C233" s="14"/>
      <c r="D233" s="14"/>
      <c r="E233" s="14"/>
      <c r="F233" s="14"/>
      <c r="G233" s="14" t="str">
        <f>IFERROR(__xludf.DUMMYFUNCTION("IFERROR(MIN(FILTER(B233:F233, B233:F233&lt;&gt;0)),"""")"),"")</f>
        <v/>
      </c>
      <c r="H233" s="14" t="str">
        <f>IF(OR(G233=Compilation!B231,G233=""),"",G233-Compilation!B231)</f>
        <v/>
      </c>
      <c r="I233" s="38"/>
      <c r="J233" s="14" t="str">
        <f t="shared" si="2"/>
        <v/>
      </c>
      <c r="K233" s="14" t="str">
        <f t="shared" si="3"/>
        <v/>
      </c>
    </row>
    <row r="234">
      <c r="A234" s="21">
        <f>Scores!A235</f>
        <v>224</v>
      </c>
      <c r="B234" s="14"/>
      <c r="C234" s="14"/>
      <c r="D234" s="14"/>
      <c r="E234" s="14"/>
      <c r="F234" s="14"/>
      <c r="G234" s="14" t="str">
        <f>IFERROR(__xludf.DUMMYFUNCTION("IFERROR(MIN(FILTER(B234:F234, B234:F234&lt;&gt;0)),"""")"),"")</f>
        <v/>
      </c>
      <c r="H234" s="14" t="str">
        <f>IF(OR(G234=Compilation!B232,G234=""),"",G234-Compilation!B232)</f>
        <v/>
      </c>
      <c r="I234" s="38"/>
      <c r="J234" s="14" t="str">
        <f t="shared" si="2"/>
        <v/>
      </c>
      <c r="K234" s="14" t="str">
        <f t="shared" si="3"/>
        <v/>
      </c>
    </row>
    <row r="235">
      <c r="A235" s="21">
        <f>Scores!A236</f>
        <v>225</v>
      </c>
      <c r="B235" s="14"/>
      <c r="C235" s="14"/>
      <c r="D235" s="14"/>
      <c r="E235" s="14"/>
      <c r="F235" s="14"/>
      <c r="G235" s="14" t="str">
        <f>IFERROR(__xludf.DUMMYFUNCTION("IFERROR(MIN(FILTER(B235:F235, B235:F235&lt;&gt;0)),"""")"),"")</f>
        <v/>
      </c>
      <c r="H235" s="14" t="str">
        <f>IF(OR(G235=Compilation!B233,G235=""),"",G235-Compilation!B233)</f>
        <v/>
      </c>
      <c r="I235" s="38"/>
      <c r="J235" s="14" t="str">
        <f t="shared" si="2"/>
        <v/>
      </c>
      <c r="K235" s="14" t="str">
        <f t="shared" si="3"/>
        <v/>
      </c>
    </row>
    <row r="236">
      <c r="A236" s="21">
        <f>Scores!A237</f>
        <v>226</v>
      </c>
      <c r="B236" s="14"/>
      <c r="C236" s="14"/>
      <c r="D236" s="14"/>
      <c r="E236" s="14"/>
      <c r="F236" s="14"/>
      <c r="G236" s="14" t="str">
        <f>IFERROR(__xludf.DUMMYFUNCTION("IFERROR(MIN(FILTER(B236:F236, B236:F236&lt;&gt;0)),"""")"),"")</f>
        <v/>
      </c>
      <c r="H236" s="14" t="str">
        <f>IF(OR(G236=Compilation!B234,G236=""),"",G236-Compilation!B234)</f>
        <v/>
      </c>
      <c r="I236" s="38"/>
      <c r="J236" s="14" t="str">
        <f t="shared" si="2"/>
        <v/>
      </c>
      <c r="K236" s="14" t="str">
        <f t="shared" si="3"/>
        <v/>
      </c>
    </row>
    <row r="237">
      <c r="A237" s="21">
        <f>Scores!A238</f>
        <v>227</v>
      </c>
      <c r="B237" s="14"/>
      <c r="C237" s="14"/>
      <c r="D237" s="14"/>
      <c r="E237" s="14"/>
      <c r="F237" s="14"/>
      <c r="G237" s="14" t="str">
        <f>IFERROR(__xludf.DUMMYFUNCTION("IFERROR(MIN(FILTER(B237:F237, B237:F237&lt;&gt;0)),"""")"),"")</f>
        <v/>
      </c>
      <c r="H237" s="14" t="str">
        <f>IF(OR(G237=Compilation!B235,G237=""),"",G237-Compilation!B235)</f>
        <v/>
      </c>
      <c r="I237" s="38"/>
      <c r="J237" s="14" t="str">
        <f t="shared" si="2"/>
        <v/>
      </c>
      <c r="K237" s="14" t="str">
        <f t="shared" si="3"/>
        <v/>
      </c>
    </row>
    <row r="238">
      <c r="A238" s="21">
        <f>Scores!A239</f>
        <v>228</v>
      </c>
      <c r="B238" s="14"/>
      <c r="C238" s="14"/>
      <c r="D238" s="14"/>
      <c r="E238" s="14"/>
      <c r="F238" s="14"/>
      <c r="G238" s="14" t="str">
        <f>IFERROR(__xludf.DUMMYFUNCTION("IFERROR(MIN(FILTER(B238:F238, B238:F238&lt;&gt;0)),"""")"),"")</f>
        <v/>
      </c>
      <c r="H238" s="14" t="str">
        <f>IF(OR(G238=Compilation!B236,G238=""),"",G238-Compilation!B236)</f>
        <v/>
      </c>
      <c r="I238" s="38"/>
      <c r="J238" s="14" t="str">
        <f t="shared" si="2"/>
        <v/>
      </c>
      <c r="K238" s="14" t="str">
        <f t="shared" si="3"/>
        <v/>
      </c>
    </row>
    <row r="239">
      <c r="A239" s="21">
        <f>Scores!A240</f>
        <v>229</v>
      </c>
      <c r="B239" s="14"/>
      <c r="C239" s="14"/>
      <c r="D239" s="14"/>
      <c r="E239" s="14"/>
      <c r="F239" s="14"/>
      <c r="G239" s="14" t="str">
        <f>IFERROR(__xludf.DUMMYFUNCTION("IFERROR(MIN(FILTER(B239:F239, B239:F239&lt;&gt;0)),"""")"),"")</f>
        <v/>
      </c>
      <c r="H239" s="14" t="str">
        <f>IF(OR(G239=Compilation!B237,G239=""),"",G239-Compilation!B237)</f>
        <v/>
      </c>
      <c r="I239" s="38"/>
      <c r="J239" s="14" t="str">
        <f t="shared" si="2"/>
        <v/>
      </c>
      <c r="K239" s="14" t="str">
        <f t="shared" si="3"/>
        <v/>
      </c>
    </row>
    <row r="240">
      <c r="A240" s="21">
        <f>Scores!A241</f>
        <v>230</v>
      </c>
      <c r="B240" s="14"/>
      <c r="C240" s="14"/>
      <c r="D240" s="14"/>
      <c r="E240" s="14"/>
      <c r="F240" s="14"/>
      <c r="G240" s="14" t="str">
        <f>IFERROR(__xludf.DUMMYFUNCTION("IFERROR(MIN(FILTER(B240:F240, B240:F240&lt;&gt;0)),"""")"),"")</f>
        <v/>
      </c>
      <c r="H240" s="14" t="str">
        <f>IF(OR(G240=Compilation!B238,G240=""),"",G240-Compilation!B238)</f>
        <v/>
      </c>
      <c r="I240" s="38"/>
      <c r="J240" s="14" t="str">
        <f t="shared" si="2"/>
        <v/>
      </c>
      <c r="K240" s="14" t="str">
        <f t="shared" si="3"/>
        <v/>
      </c>
    </row>
    <row r="241">
      <c r="A241" s="21">
        <f>Scores!A242</f>
        <v>231</v>
      </c>
      <c r="B241" s="14"/>
      <c r="C241" s="14"/>
      <c r="D241" s="14"/>
      <c r="E241" s="14"/>
      <c r="F241" s="14"/>
      <c r="G241" s="14" t="str">
        <f>IFERROR(__xludf.DUMMYFUNCTION("IFERROR(MIN(FILTER(B241:F241, B241:F241&lt;&gt;0)),"""")"),"")</f>
        <v/>
      </c>
      <c r="H241" s="14" t="str">
        <f>IF(OR(G241=Compilation!B239,G241=""),"",G241-Compilation!B239)</f>
        <v/>
      </c>
      <c r="I241" s="38"/>
      <c r="J241" s="14" t="str">
        <f t="shared" si="2"/>
        <v/>
      </c>
      <c r="K241" s="14" t="str">
        <f t="shared" si="3"/>
        <v/>
      </c>
    </row>
    <row r="242">
      <c r="A242" s="21">
        <f>Scores!A243</f>
        <v>232</v>
      </c>
      <c r="B242" s="14"/>
      <c r="C242" s="14"/>
      <c r="D242" s="14"/>
      <c r="E242" s="14"/>
      <c r="F242" s="14"/>
      <c r="G242" s="14" t="str">
        <f>IFERROR(__xludf.DUMMYFUNCTION("IFERROR(MIN(FILTER(B242:F242, B242:F242&lt;&gt;0)),"""")"),"")</f>
        <v/>
      </c>
      <c r="H242" s="14" t="str">
        <f>IF(OR(G242=Compilation!B240,G242=""),"",G242-Compilation!B240)</f>
        <v/>
      </c>
      <c r="I242" s="38"/>
      <c r="J242" s="14" t="str">
        <f t="shared" si="2"/>
        <v/>
      </c>
      <c r="K242" s="14" t="str">
        <f t="shared" si="3"/>
        <v/>
      </c>
    </row>
    <row r="243">
      <c r="A243" s="21">
        <f>Scores!A244</f>
        <v>233</v>
      </c>
      <c r="B243" s="14"/>
      <c r="C243" s="14"/>
      <c r="D243" s="14"/>
      <c r="E243" s="14"/>
      <c r="F243" s="14"/>
      <c r="G243" s="14" t="str">
        <f>IFERROR(__xludf.DUMMYFUNCTION("IFERROR(MIN(FILTER(B243:F243, B243:F243&lt;&gt;0)),"""")"),"")</f>
        <v/>
      </c>
      <c r="H243" s="14" t="str">
        <f>IF(OR(G243=Compilation!B241,G243=""),"",G243-Compilation!B241)</f>
        <v/>
      </c>
      <c r="I243" s="38"/>
      <c r="J243" s="14" t="str">
        <f t="shared" si="2"/>
        <v/>
      </c>
      <c r="K243" s="14" t="str">
        <f t="shared" si="3"/>
        <v/>
      </c>
    </row>
    <row r="244">
      <c r="A244" s="21">
        <f>Scores!A245</f>
        <v>234</v>
      </c>
      <c r="B244" s="14"/>
      <c r="C244" s="14"/>
      <c r="D244" s="14"/>
      <c r="E244" s="14"/>
      <c r="F244" s="14"/>
      <c r="G244" s="14" t="str">
        <f>IFERROR(__xludf.DUMMYFUNCTION("IFERROR(MIN(FILTER(B244:F244, B244:F244&lt;&gt;0)),"""")"),"")</f>
        <v/>
      </c>
      <c r="H244" s="14" t="str">
        <f>IF(OR(G244=Compilation!B242,G244=""),"",G244-Compilation!B242)</f>
        <v/>
      </c>
      <c r="I244" s="38"/>
      <c r="J244" s="14" t="str">
        <f t="shared" si="2"/>
        <v/>
      </c>
      <c r="K244" s="14" t="str">
        <f t="shared" si="3"/>
        <v/>
      </c>
    </row>
    <row r="245">
      <c r="A245" s="21">
        <f>Scores!A246</f>
        <v>235</v>
      </c>
      <c r="B245" s="14"/>
      <c r="C245" s="14"/>
      <c r="D245" s="14"/>
      <c r="E245" s="14"/>
      <c r="F245" s="14"/>
      <c r="G245" s="14" t="str">
        <f>IFERROR(__xludf.DUMMYFUNCTION("IFERROR(MIN(FILTER(B245:F245, B245:F245&lt;&gt;0)),"""")"),"")</f>
        <v/>
      </c>
      <c r="H245" s="14" t="str">
        <f>IF(OR(G245=Compilation!B243,G245=""),"",G245-Compilation!B243)</f>
        <v/>
      </c>
      <c r="I245" s="38"/>
      <c r="J245" s="14" t="str">
        <f t="shared" si="2"/>
        <v/>
      </c>
      <c r="K245" s="14" t="str">
        <f t="shared" si="3"/>
        <v/>
      </c>
    </row>
    <row r="246">
      <c r="A246" s="21">
        <f>Scores!A247</f>
        <v>236</v>
      </c>
      <c r="B246" s="14"/>
      <c r="C246" s="14"/>
      <c r="D246" s="14"/>
      <c r="E246" s="14"/>
      <c r="F246" s="14"/>
      <c r="G246" s="14" t="str">
        <f>IFERROR(__xludf.DUMMYFUNCTION("IFERROR(MIN(FILTER(B246:F246, B246:F246&lt;&gt;0)),"""")"),"")</f>
        <v/>
      </c>
      <c r="H246" s="14" t="str">
        <f>IF(OR(G246=Compilation!B244,G246=""),"",G246-Compilation!B244)</f>
        <v/>
      </c>
      <c r="I246" s="38"/>
      <c r="J246" s="14" t="str">
        <f t="shared" si="2"/>
        <v/>
      </c>
      <c r="K246" s="14" t="str">
        <f t="shared" si="3"/>
        <v/>
      </c>
    </row>
    <row r="247">
      <c r="A247" s="21">
        <f>Scores!A248</f>
        <v>237</v>
      </c>
      <c r="B247" s="14"/>
      <c r="C247" s="14"/>
      <c r="D247" s="14"/>
      <c r="E247" s="14"/>
      <c r="F247" s="14"/>
      <c r="G247" s="14" t="str">
        <f>IFERROR(__xludf.DUMMYFUNCTION("IFERROR(MIN(FILTER(B247:F247, B247:F247&lt;&gt;0)),"""")"),"")</f>
        <v/>
      </c>
      <c r="H247" s="14" t="str">
        <f>IF(OR(G247=Compilation!B245,G247=""),"",G247-Compilation!B245)</f>
        <v/>
      </c>
      <c r="I247" s="38"/>
      <c r="J247" s="14" t="str">
        <f t="shared" si="2"/>
        <v/>
      </c>
      <c r="K247" s="14" t="str">
        <f t="shared" si="3"/>
        <v/>
      </c>
    </row>
    <row r="248">
      <c r="A248" s="21">
        <f>Scores!A249</f>
        <v>238</v>
      </c>
      <c r="B248" s="14"/>
      <c r="C248" s="14"/>
      <c r="D248" s="14"/>
      <c r="E248" s="14"/>
      <c r="F248" s="14"/>
      <c r="G248" s="14" t="str">
        <f>IFERROR(__xludf.DUMMYFUNCTION("IFERROR(MIN(FILTER(B248:F248, B248:F248&lt;&gt;0)),"""")"),"")</f>
        <v/>
      </c>
      <c r="H248" s="14" t="str">
        <f>IF(OR(G248=Compilation!B246,G248=""),"",G248-Compilation!B246)</f>
        <v/>
      </c>
      <c r="I248" s="38"/>
      <c r="J248" s="14" t="str">
        <f t="shared" si="2"/>
        <v/>
      </c>
      <c r="K248" s="14" t="str">
        <f t="shared" si="3"/>
        <v/>
      </c>
    </row>
    <row r="249">
      <c r="A249" s="21">
        <f>Scores!A250</f>
        <v>239</v>
      </c>
      <c r="B249" s="14"/>
      <c r="C249" s="14"/>
      <c r="D249" s="14"/>
      <c r="E249" s="14"/>
      <c r="F249" s="14"/>
      <c r="G249" s="14" t="str">
        <f>IFERROR(__xludf.DUMMYFUNCTION("IFERROR(MIN(FILTER(B249:F249, B249:F249&lt;&gt;0)),"""")"),"")</f>
        <v/>
      </c>
      <c r="H249" s="14" t="str">
        <f>IF(OR(G249=Compilation!B247,G249=""),"",G249-Compilation!B247)</f>
        <v/>
      </c>
      <c r="I249" s="38"/>
      <c r="J249" s="14" t="str">
        <f t="shared" si="2"/>
        <v/>
      </c>
      <c r="K249" s="14" t="str">
        <f t="shared" si="3"/>
        <v/>
      </c>
    </row>
    <row r="250">
      <c r="A250" s="21">
        <f>Scores!A251</f>
        <v>240</v>
      </c>
      <c r="B250" s="14"/>
      <c r="C250" s="14"/>
      <c r="D250" s="14"/>
      <c r="E250" s="14"/>
      <c r="F250" s="14"/>
      <c r="G250" s="14" t="str">
        <f>IFERROR(__xludf.DUMMYFUNCTION("IFERROR(MIN(FILTER(B250:F250, B250:F250&lt;&gt;0)),"""")"),"")</f>
        <v/>
      </c>
      <c r="H250" s="14" t="str">
        <f>IF(OR(G250=Compilation!B248,G250=""),"",G250-Compilation!B248)</f>
        <v/>
      </c>
      <c r="I250" s="38"/>
      <c r="J250" s="14" t="str">
        <f t="shared" si="2"/>
        <v/>
      </c>
      <c r="K250" s="14" t="str">
        <f t="shared" si="3"/>
        <v/>
      </c>
    </row>
    <row r="251">
      <c r="A251" s="21">
        <f>Scores!A252</f>
        <v>241</v>
      </c>
      <c r="B251" s="14"/>
      <c r="C251" s="14"/>
      <c r="D251" s="14"/>
      <c r="E251" s="14"/>
      <c r="F251" s="14"/>
      <c r="G251" s="14" t="str">
        <f>IFERROR(__xludf.DUMMYFUNCTION("IFERROR(MIN(FILTER(B251:F251, B251:F251&lt;&gt;0)),"""")"),"")</f>
        <v/>
      </c>
      <c r="H251" s="14" t="str">
        <f>IF(OR(G251=Compilation!B249,G251=""),"",G251-Compilation!B249)</f>
        <v/>
      </c>
      <c r="I251" s="38"/>
      <c r="J251" s="14" t="str">
        <f t="shared" si="2"/>
        <v/>
      </c>
      <c r="K251" s="14" t="str">
        <f t="shared" si="3"/>
        <v/>
      </c>
    </row>
    <row r="252">
      <c r="A252" s="21">
        <f>Scores!A253</f>
        <v>242</v>
      </c>
      <c r="B252" s="14"/>
      <c r="C252" s="14"/>
      <c r="D252" s="14"/>
      <c r="E252" s="14"/>
      <c r="F252" s="14"/>
      <c r="G252" s="14" t="str">
        <f>IFERROR(__xludf.DUMMYFUNCTION("IFERROR(MIN(FILTER(B252:F252, B252:F252&lt;&gt;0)),"""")"),"")</f>
        <v/>
      </c>
      <c r="H252" s="14" t="str">
        <f>IF(OR(G252=Compilation!B250,G252=""),"",G252-Compilation!B250)</f>
        <v/>
      </c>
      <c r="I252" s="38"/>
      <c r="J252" s="14" t="str">
        <f t="shared" si="2"/>
        <v/>
      </c>
      <c r="K252" s="14" t="str">
        <f t="shared" si="3"/>
        <v/>
      </c>
    </row>
    <row r="253">
      <c r="A253" s="21">
        <f>Scores!A254</f>
        <v>243</v>
      </c>
      <c r="B253" s="14"/>
      <c r="C253" s="14"/>
      <c r="D253" s="14"/>
      <c r="E253" s="14"/>
      <c r="F253" s="14"/>
      <c r="G253" s="14" t="str">
        <f>IFERROR(__xludf.DUMMYFUNCTION("IFERROR(MIN(FILTER(B253:F253, B253:F253&lt;&gt;0)),"""")"),"")</f>
        <v/>
      </c>
      <c r="H253" s="14" t="str">
        <f>IF(OR(G253=Compilation!B251,G253=""),"",G253-Compilation!B251)</f>
        <v/>
      </c>
      <c r="I253" s="38"/>
      <c r="J253" s="14" t="str">
        <f t="shared" si="2"/>
        <v/>
      </c>
      <c r="K253" s="14" t="str">
        <f t="shared" si="3"/>
        <v/>
      </c>
    </row>
    <row r="254">
      <c r="A254" s="21">
        <f>Scores!A255</f>
        <v>244</v>
      </c>
      <c r="B254" s="14"/>
      <c r="C254" s="14"/>
      <c r="D254" s="14"/>
      <c r="E254" s="14"/>
      <c r="F254" s="14"/>
      <c r="G254" s="14" t="str">
        <f>IFERROR(__xludf.DUMMYFUNCTION("IFERROR(MIN(FILTER(B254:F254, B254:F254&lt;&gt;0)),"""")"),"")</f>
        <v/>
      </c>
      <c r="H254" s="14" t="str">
        <f>IF(OR(G254=Compilation!B252,G254=""),"",G254-Compilation!B252)</f>
        <v/>
      </c>
      <c r="I254" s="38"/>
      <c r="J254" s="14" t="str">
        <f t="shared" si="2"/>
        <v/>
      </c>
      <c r="K254" s="14" t="str">
        <f t="shared" si="3"/>
        <v/>
      </c>
    </row>
    <row r="255">
      <c r="A255" s="21">
        <f>Scores!A256</f>
        <v>245</v>
      </c>
      <c r="B255" s="14"/>
      <c r="C255" s="14"/>
      <c r="D255" s="14"/>
      <c r="E255" s="14"/>
      <c r="F255" s="14"/>
      <c r="G255" s="14" t="str">
        <f>IFERROR(__xludf.DUMMYFUNCTION("IFERROR(MIN(FILTER(B255:F255, B255:F255&lt;&gt;0)),"""")"),"")</f>
        <v/>
      </c>
      <c r="H255" s="14" t="str">
        <f>IF(OR(G255=Compilation!B253,G255=""),"",G255-Compilation!B253)</f>
        <v/>
      </c>
      <c r="I255" s="38"/>
      <c r="J255" s="14" t="str">
        <f t="shared" si="2"/>
        <v/>
      </c>
      <c r="K255" s="14" t="str">
        <f t="shared" si="3"/>
        <v/>
      </c>
    </row>
    <row r="256">
      <c r="A256" s="21">
        <f>Scores!A257</f>
        <v>246</v>
      </c>
      <c r="B256" s="14"/>
      <c r="C256" s="14"/>
      <c r="D256" s="14"/>
      <c r="E256" s="14"/>
      <c r="F256" s="14"/>
      <c r="G256" s="14" t="str">
        <f>IFERROR(__xludf.DUMMYFUNCTION("IFERROR(MIN(FILTER(B256:F256, B256:F256&lt;&gt;0)),"""")"),"")</f>
        <v/>
      </c>
      <c r="H256" s="14" t="str">
        <f>IF(OR(G256=Compilation!B254,G256=""),"",G256-Compilation!B254)</f>
        <v/>
      </c>
      <c r="I256" s="38"/>
      <c r="J256" s="14" t="str">
        <f t="shared" si="2"/>
        <v/>
      </c>
      <c r="K256" s="14" t="str">
        <f t="shared" si="3"/>
        <v/>
      </c>
    </row>
    <row r="257">
      <c r="A257" s="21">
        <f>Scores!A258</f>
        <v>247</v>
      </c>
      <c r="B257" s="14"/>
      <c r="C257" s="14"/>
      <c r="D257" s="14"/>
      <c r="E257" s="14"/>
      <c r="F257" s="14"/>
      <c r="G257" s="14" t="str">
        <f>IFERROR(__xludf.DUMMYFUNCTION("IFERROR(MIN(FILTER(B257:F257, B257:F257&lt;&gt;0)),"""")"),"")</f>
        <v/>
      </c>
      <c r="H257" s="14" t="str">
        <f>IF(OR(G257=Compilation!B255,G257=""),"",G257-Compilation!B255)</f>
        <v/>
      </c>
      <c r="I257" s="38"/>
      <c r="J257" s="14" t="str">
        <f t="shared" si="2"/>
        <v/>
      </c>
      <c r="K257" s="14" t="str">
        <f t="shared" si="3"/>
        <v/>
      </c>
    </row>
    <row r="258">
      <c r="A258" s="21">
        <f>Scores!A259</f>
        <v>248</v>
      </c>
      <c r="B258" s="14"/>
      <c r="C258" s="14"/>
      <c r="D258" s="14"/>
      <c r="E258" s="14"/>
      <c r="F258" s="14"/>
      <c r="G258" s="14" t="str">
        <f>IFERROR(__xludf.DUMMYFUNCTION("IFERROR(MIN(FILTER(B258:F258, B258:F258&lt;&gt;0)),"""")"),"")</f>
        <v/>
      </c>
      <c r="H258" s="14" t="str">
        <f>IF(OR(G258=Compilation!B256,G258=""),"",G258-Compilation!B256)</f>
        <v/>
      </c>
      <c r="I258" s="38"/>
      <c r="J258" s="14" t="str">
        <f t="shared" si="2"/>
        <v/>
      </c>
      <c r="K258" s="14" t="str">
        <f t="shared" si="3"/>
        <v/>
      </c>
    </row>
    <row r="259">
      <c r="A259" s="21">
        <f>Scores!A260</f>
        <v>249</v>
      </c>
      <c r="B259" s="14"/>
      <c r="C259" s="14"/>
      <c r="D259" s="14"/>
      <c r="E259" s="14"/>
      <c r="F259" s="14"/>
      <c r="G259" s="14" t="str">
        <f>IFERROR(__xludf.DUMMYFUNCTION("IFERROR(MIN(FILTER(B259:F259, B259:F259&lt;&gt;0)),"""")"),"")</f>
        <v/>
      </c>
      <c r="H259" s="14" t="str">
        <f>IF(OR(G259=Compilation!B257,G259=""),"",G259-Compilation!B257)</f>
        <v/>
      </c>
      <c r="I259" s="38"/>
      <c r="J259" s="14" t="str">
        <f t="shared" si="2"/>
        <v/>
      </c>
      <c r="K259" s="14" t="str">
        <f t="shared" si="3"/>
        <v/>
      </c>
    </row>
    <row r="260">
      <c r="A260" s="21">
        <f>Scores!A261</f>
        <v>250</v>
      </c>
      <c r="B260" s="14"/>
      <c r="C260" s="14"/>
      <c r="D260" s="14"/>
      <c r="E260" s="14"/>
      <c r="F260" s="14"/>
      <c r="G260" s="14" t="str">
        <f>IFERROR(__xludf.DUMMYFUNCTION("IFERROR(MIN(FILTER(B260:F260, B260:F260&lt;&gt;0)),"""")"),"")</f>
        <v/>
      </c>
      <c r="H260" s="14" t="str">
        <f>IF(OR(G260=Compilation!B258,G260=""),"",G260-Compilation!B258)</f>
        <v/>
      </c>
      <c r="I260" s="38"/>
      <c r="J260" s="14" t="str">
        <f t="shared" si="2"/>
        <v/>
      </c>
      <c r="K260" s="14" t="str">
        <f t="shared" si="3"/>
        <v/>
      </c>
    </row>
    <row r="261">
      <c r="A261" s="21">
        <f>Scores!A262</f>
        <v>251</v>
      </c>
      <c r="B261" s="14"/>
      <c r="C261" s="14"/>
      <c r="D261" s="14"/>
      <c r="E261" s="14"/>
      <c r="F261" s="14"/>
      <c r="G261" s="14" t="str">
        <f>IFERROR(__xludf.DUMMYFUNCTION("IFERROR(MIN(FILTER(B261:F261, B261:F261&lt;&gt;0)),"""")"),"")</f>
        <v/>
      </c>
      <c r="H261" s="14" t="str">
        <f>IF(OR(G261=Compilation!B259,G261=""),"",G261-Compilation!B259)</f>
        <v/>
      </c>
      <c r="I261" s="38"/>
      <c r="J261" s="14" t="str">
        <f t="shared" si="2"/>
        <v/>
      </c>
      <c r="K261" s="14" t="str">
        <f t="shared" si="3"/>
        <v/>
      </c>
    </row>
    <row r="262">
      <c r="A262" s="21">
        <f>Scores!A263</f>
        <v>252</v>
      </c>
      <c r="B262" s="14"/>
      <c r="C262" s="14"/>
      <c r="D262" s="14"/>
      <c r="E262" s="14"/>
      <c r="F262" s="14"/>
      <c r="G262" s="14" t="str">
        <f>IFERROR(__xludf.DUMMYFUNCTION("IFERROR(MIN(FILTER(B262:F262, B262:F262&lt;&gt;0)),"""")"),"")</f>
        <v/>
      </c>
      <c r="H262" s="14" t="str">
        <f>IF(OR(G262=Compilation!B260,G262=""),"",G262-Compilation!B260)</f>
        <v/>
      </c>
      <c r="I262" s="38"/>
      <c r="J262" s="14" t="str">
        <f t="shared" si="2"/>
        <v/>
      </c>
      <c r="K262" s="14" t="str">
        <f t="shared" si="3"/>
        <v/>
      </c>
    </row>
    <row r="263">
      <c r="A263" s="21">
        <f>Scores!A264</f>
        <v>253</v>
      </c>
      <c r="B263" s="14"/>
      <c r="C263" s="14"/>
      <c r="D263" s="14"/>
      <c r="E263" s="14"/>
      <c r="F263" s="14"/>
      <c r="G263" s="14" t="str">
        <f>IFERROR(__xludf.DUMMYFUNCTION("IFERROR(MIN(FILTER(B263:F263, B263:F263&lt;&gt;0)),"""")"),"")</f>
        <v/>
      </c>
      <c r="H263" s="14" t="str">
        <f>IF(OR(G263=Compilation!B261,G263=""),"",G263-Compilation!B261)</f>
        <v/>
      </c>
      <c r="I263" s="38"/>
      <c r="J263" s="14" t="str">
        <f t="shared" si="2"/>
        <v/>
      </c>
      <c r="K263" s="14" t="str">
        <f t="shared" si="3"/>
        <v/>
      </c>
    </row>
    <row r="264">
      <c r="A264" s="21">
        <f>Scores!A265</f>
        <v>254</v>
      </c>
      <c r="B264" s="14"/>
      <c r="C264" s="14"/>
      <c r="D264" s="14"/>
      <c r="E264" s="14"/>
      <c r="F264" s="14"/>
      <c r="G264" s="14" t="str">
        <f>IFERROR(__xludf.DUMMYFUNCTION("IFERROR(MIN(FILTER(B264:F264, B264:F264&lt;&gt;0)),"""")"),"")</f>
        <v/>
      </c>
      <c r="H264" s="14" t="str">
        <f>IF(OR(G264=Compilation!B262,G264=""),"",G264-Compilation!B262)</f>
        <v/>
      </c>
      <c r="I264" s="38"/>
      <c r="J264" s="14" t="str">
        <f t="shared" si="2"/>
        <v/>
      </c>
      <c r="K264" s="14" t="str">
        <f t="shared" si="3"/>
        <v/>
      </c>
    </row>
    <row r="265">
      <c r="A265" s="21">
        <f>Scores!A266</f>
        <v>255</v>
      </c>
      <c r="B265" s="14"/>
      <c r="C265" s="14"/>
      <c r="D265" s="14"/>
      <c r="E265" s="14"/>
      <c r="F265" s="14"/>
      <c r="G265" s="14" t="str">
        <f>IFERROR(__xludf.DUMMYFUNCTION("IFERROR(MIN(FILTER(B265:F265, B265:F265&lt;&gt;0)),"""")"),"")</f>
        <v/>
      </c>
      <c r="H265" s="14" t="str">
        <f>IF(OR(G265=Compilation!B263,G265=""),"",G265-Compilation!B263)</f>
        <v/>
      </c>
      <c r="I265" s="38"/>
      <c r="J265" s="14" t="str">
        <f t="shared" si="2"/>
        <v/>
      </c>
      <c r="K265" s="14" t="str">
        <f t="shared" si="3"/>
        <v/>
      </c>
    </row>
    <row r="266">
      <c r="A266" s="21">
        <f>Scores!A267</f>
        <v>256</v>
      </c>
      <c r="B266" s="14"/>
      <c r="C266" s="14"/>
      <c r="D266" s="14"/>
      <c r="E266" s="14"/>
      <c r="F266" s="14"/>
      <c r="G266" s="14" t="str">
        <f>IFERROR(__xludf.DUMMYFUNCTION("IFERROR(MIN(FILTER(B266:F266, B266:F266&lt;&gt;0)),"""")"),"")</f>
        <v/>
      </c>
      <c r="H266" s="14" t="str">
        <f>IF(OR(G266=Compilation!B264,G266=""),"",G266-Compilation!B264)</f>
        <v/>
      </c>
      <c r="I266" s="38"/>
      <c r="J266" s="14" t="str">
        <f t="shared" si="2"/>
        <v/>
      </c>
      <c r="K266" s="14" t="str">
        <f t="shared" si="3"/>
        <v/>
      </c>
    </row>
    <row r="267">
      <c r="A267" s="21">
        <f>Scores!A268</f>
        <v>257</v>
      </c>
      <c r="B267" s="14"/>
      <c r="C267" s="14"/>
      <c r="D267" s="14"/>
      <c r="E267" s="14"/>
      <c r="F267" s="14"/>
      <c r="G267" s="14" t="str">
        <f>IFERROR(__xludf.DUMMYFUNCTION("IFERROR(MIN(FILTER(B267:F267, B267:F267&lt;&gt;0)),"""")"),"")</f>
        <v/>
      </c>
      <c r="H267" s="14" t="str">
        <f>IF(OR(G267=Compilation!B265,G267=""),"",G267-Compilation!B265)</f>
        <v/>
      </c>
      <c r="I267" s="38"/>
      <c r="J267" s="14" t="str">
        <f t="shared" si="2"/>
        <v/>
      </c>
      <c r="K267" s="14" t="str">
        <f t="shared" si="3"/>
        <v/>
      </c>
    </row>
    <row r="268">
      <c r="A268" s="21">
        <f>Scores!A269</f>
        <v>258</v>
      </c>
      <c r="B268" s="14"/>
      <c r="C268" s="14"/>
      <c r="D268" s="14"/>
      <c r="E268" s="14"/>
      <c r="F268" s="14"/>
      <c r="G268" s="14" t="str">
        <f>IFERROR(__xludf.DUMMYFUNCTION("IFERROR(MIN(FILTER(B268:F268, B268:F268&lt;&gt;0)),"""")"),"")</f>
        <v/>
      </c>
      <c r="H268" s="14" t="str">
        <f>IF(OR(G268=Compilation!B266,G268=""),"",G268-Compilation!B266)</f>
        <v/>
      </c>
      <c r="I268" s="38"/>
      <c r="J268" s="14" t="str">
        <f t="shared" si="2"/>
        <v/>
      </c>
      <c r="K268" s="14" t="str">
        <f t="shared" si="3"/>
        <v/>
      </c>
    </row>
    <row r="269">
      <c r="A269" s="21">
        <f>Scores!A270</f>
        <v>259</v>
      </c>
      <c r="B269" s="14"/>
      <c r="C269" s="14"/>
      <c r="D269" s="14"/>
      <c r="E269" s="14"/>
      <c r="F269" s="14"/>
      <c r="G269" s="14" t="str">
        <f>IFERROR(__xludf.DUMMYFUNCTION("IFERROR(MIN(FILTER(B269:F269, B269:F269&lt;&gt;0)),"""")"),"")</f>
        <v/>
      </c>
      <c r="H269" s="14" t="str">
        <f>IF(OR(G269=Compilation!B267,G269=""),"",G269-Compilation!B267)</f>
        <v/>
      </c>
      <c r="I269" s="38"/>
      <c r="J269" s="14" t="str">
        <f t="shared" si="2"/>
        <v/>
      </c>
      <c r="K269" s="14" t="str">
        <f t="shared" si="3"/>
        <v/>
      </c>
    </row>
    <row r="270">
      <c r="A270" s="21">
        <f>Scores!A271</f>
        <v>260</v>
      </c>
      <c r="B270" s="14"/>
      <c r="C270" s="14"/>
      <c r="D270" s="14"/>
      <c r="E270" s="14"/>
      <c r="F270" s="14"/>
      <c r="G270" s="14" t="str">
        <f>IFERROR(__xludf.DUMMYFUNCTION("IFERROR(MIN(FILTER(B270:F270, B270:F270&lt;&gt;0)),"""")"),"")</f>
        <v/>
      </c>
      <c r="H270" s="14" t="str">
        <f>IF(OR(G270=Compilation!B268,G270=""),"",G270-Compilation!B268)</f>
        <v/>
      </c>
      <c r="I270" s="38"/>
      <c r="J270" s="14" t="str">
        <f t="shared" si="2"/>
        <v/>
      </c>
      <c r="K270" s="14" t="str">
        <f t="shared" si="3"/>
        <v/>
      </c>
    </row>
    <row r="271">
      <c r="A271" s="21">
        <f>Scores!A272</f>
        <v>261</v>
      </c>
      <c r="B271" s="14"/>
      <c r="C271" s="14"/>
      <c r="D271" s="14"/>
      <c r="E271" s="14"/>
      <c r="F271" s="14"/>
      <c r="G271" s="14" t="str">
        <f>IFERROR(__xludf.DUMMYFUNCTION("IFERROR(MIN(FILTER(B271:F271, B271:F271&lt;&gt;0)),"""")"),"")</f>
        <v/>
      </c>
      <c r="H271" s="14" t="str">
        <f>IF(OR(G271=Compilation!B269,G271=""),"",G271-Compilation!B269)</f>
        <v/>
      </c>
      <c r="I271" s="38"/>
      <c r="J271" s="14" t="str">
        <f t="shared" si="2"/>
        <v/>
      </c>
      <c r="K271" s="14" t="str">
        <f t="shared" si="3"/>
        <v/>
      </c>
    </row>
    <row r="272">
      <c r="A272" s="21">
        <f>Scores!A273</f>
        <v>262</v>
      </c>
      <c r="B272" s="14"/>
      <c r="C272" s="14"/>
      <c r="D272" s="14"/>
      <c r="E272" s="14"/>
      <c r="F272" s="14"/>
      <c r="G272" s="14" t="str">
        <f>IFERROR(__xludf.DUMMYFUNCTION("IFERROR(MIN(FILTER(B272:F272, B272:F272&lt;&gt;0)),"""")"),"")</f>
        <v/>
      </c>
      <c r="H272" s="14" t="str">
        <f>IF(OR(G272=Compilation!B270,G272=""),"",G272-Compilation!B270)</f>
        <v/>
      </c>
      <c r="I272" s="38"/>
      <c r="J272" s="14" t="str">
        <f t="shared" si="2"/>
        <v/>
      </c>
      <c r="K272" s="14" t="str">
        <f t="shared" si="3"/>
        <v/>
      </c>
    </row>
    <row r="273">
      <c r="A273" s="21">
        <f>Scores!A274</f>
        <v>263</v>
      </c>
      <c r="B273" s="14"/>
      <c r="C273" s="14"/>
      <c r="D273" s="14"/>
      <c r="E273" s="14"/>
      <c r="F273" s="14"/>
      <c r="G273" s="14" t="str">
        <f>IFERROR(__xludf.DUMMYFUNCTION("IFERROR(MIN(FILTER(B273:F273, B273:F273&lt;&gt;0)),"""")"),"")</f>
        <v/>
      </c>
      <c r="H273" s="14" t="str">
        <f>IF(OR(G273=Compilation!B271,G273=""),"",G273-Compilation!B271)</f>
        <v/>
      </c>
      <c r="I273" s="38"/>
      <c r="J273" s="14" t="str">
        <f t="shared" si="2"/>
        <v/>
      </c>
      <c r="K273" s="14" t="str">
        <f t="shared" si="3"/>
        <v/>
      </c>
    </row>
    <row r="274">
      <c r="A274" s="21">
        <f>Scores!A275</f>
        <v>264</v>
      </c>
      <c r="B274" s="14"/>
      <c r="C274" s="14"/>
      <c r="D274" s="14"/>
      <c r="E274" s="14"/>
      <c r="F274" s="14"/>
      <c r="G274" s="14" t="str">
        <f>IFERROR(__xludf.DUMMYFUNCTION("IFERROR(MIN(FILTER(B274:F274, B274:F274&lt;&gt;0)),"""")"),"")</f>
        <v/>
      </c>
      <c r="H274" s="14" t="str">
        <f>IF(OR(G274=Compilation!B272,G274=""),"",G274-Compilation!B272)</f>
        <v/>
      </c>
      <c r="I274" s="38"/>
      <c r="J274" s="14" t="str">
        <f t="shared" si="2"/>
        <v/>
      </c>
      <c r="K274" s="14" t="str">
        <f t="shared" si="3"/>
        <v/>
      </c>
    </row>
    <row r="275">
      <c r="A275" s="21">
        <f>Scores!A276</f>
        <v>265</v>
      </c>
      <c r="B275" s="14"/>
      <c r="C275" s="14"/>
      <c r="D275" s="14"/>
      <c r="E275" s="14"/>
      <c r="F275" s="14"/>
      <c r="G275" s="14" t="str">
        <f>IFERROR(__xludf.DUMMYFUNCTION("IFERROR(MIN(FILTER(B275:F275, B275:F275&lt;&gt;0)),"""")"),"")</f>
        <v/>
      </c>
      <c r="H275" s="14" t="str">
        <f>IF(OR(G275=Compilation!B273,G275=""),"",G275-Compilation!B273)</f>
        <v/>
      </c>
      <c r="I275" s="38"/>
      <c r="J275" s="14" t="str">
        <f t="shared" si="2"/>
        <v/>
      </c>
      <c r="K275" s="14" t="str">
        <f t="shared" si="3"/>
        <v/>
      </c>
    </row>
    <row r="276">
      <c r="A276" s="21">
        <f>Scores!A277</f>
        <v>266</v>
      </c>
      <c r="B276" s="14"/>
      <c r="C276" s="14"/>
      <c r="D276" s="14"/>
      <c r="E276" s="14"/>
      <c r="F276" s="14"/>
      <c r="G276" s="14" t="str">
        <f>IFERROR(__xludf.DUMMYFUNCTION("IFERROR(MIN(FILTER(B276:F276, B276:F276&lt;&gt;0)),"""")"),"")</f>
        <v/>
      </c>
      <c r="H276" s="14" t="str">
        <f>IF(OR(G276=Compilation!B274,G276=""),"",G276-Compilation!B274)</f>
        <v/>
      </c>
      <c r="I276" s="38"/>
      <c r="J276" s="14" t="str">
        <f t="shared" si="2"/>
        <v/>
      </c>
      <c r="K276" s="14" t="str">
        <f t="shared" si="3"/>
        <v/>
      </c>
    </row>
    <row r="277">
      <c r="A277" s="21">
        <f>Scores!A278</f>
        <v>267</v>
      </c>
      <c r="B277" s="14"/>
      <c r="C277" s="14"/>
      <c r="D277" s="14"/>
      <c r="E277" s="14"/>
      <c r="F277" s="14"/>
      <c r="G277" s="14" t="str">
        <f>IFERROR(__xludf.DUMMYFUNCTION("IFERROR(MIN(FILTER(B277:F277, B277:F277&lt;&gt;0)),"""")"),"")</f>
        <v/>
      </c>
      <c r="H277" s="14" t="str">
        <f>IF(OR(G277=Compilation!B275,G277=""),"",G277-Compilation!B275)</f>
        <v/>
      </c>
      <c r="I277" s="38"/>
      <c r="J277" s="14" t="str">
        <f t="shared" si="2"/>
        <v/>
      </c>
      <c r="K277" s="14" t="str">
        <f t="shared" si="3"/>
        <v/>
      </c>
    </row>
    <row r="278">
      <c r="A278" s="21">
        <f>Scores!A279</f>
        <v>268</v>
      </c>
      <c r="B278" s="14"/>
      <c r="C278" s="14"/>
      <c r="D278" s="14"/>
      <c r="E278" s="14"/>
      <c r="F278" s="14"/>
      <c r="G278" s="14" t="str">
        <f>IFERROR(__xludf.DUMMYFUNCTION("IFERROR(MIN(FILTER(B278:F278, B278:F278&lt;&gt;0)),"""")"),"")</f>
        <v/>
      </c>
      <c r="H278" s="14" t="str">
        <f>IF(OR(G278=Compilation!B276,G278=""),"",G278-Compilation!B276)</f>
        <v/>
      </c>
      <c r="I278" s="38"/>
      <c r="J278" s="14" t="str">
        <f t="shared" si="2"/>
        <v/>
      </c>
      <c r="K278" s="14" t="str">
        <f t="shared" si="3"/>
        <v/>
      </c>
    </row>
    <row r="279">
      <c r="A279" s="21">
        <f>Scores!A280</f>
        <v>269</v>
      </c>
      <c r="B279" s="14"/>
      <c r="C279" s="14"/>
      <c r="D279" s="14"/>
      <c r="E279" s="14"/>
      <c r="F279" s="14"/>
      <c r="G279" s="14" t="str">
        <f>IFERROR(__xludf.DUMMYFUNCTION("IFERROR(MIN(FILTER(B279:F279, B279:F279&lt;&gt;0)),"""")"),"")</f>
        <v/>
      </c>
      <c r="H279" s="14" t="str">
        <f>IF(OR(G279=Compilation!B277,G279=""),"",G279-Compilation!B277)</f>
        <v/>
      </c>
      <c r="I279" s="38"/>
      <c r="J279" s="14" t="str">
        <f t="shared" si="2"/>
        <v/>
      </c>
      <c r="K279" s="14" t="str">
        <f t="shared" si="3"/>
        <v/>
      </c>
    </row>
    <row r="280">
      <c r="A280" s="21">
        <f>Scores!A281</f>
        <v>270</v>
      </c>
      <c r="B280" s="14"/>
      <c r="C280" s="14"/>
      <c r="D280" s="14"/>
      <c r="E280" s="14"/>
      <c r="F280" s="14"/>
      <c r="G280" s="14" t="str">
        <f>IFERROR(__xludf.DUMMYFUNCTION("IFERROR(MIN(FILTER(B280:F280, B280:F280&lt;&gt;0)),"""")"),"")</f>
        <v/>
      </c>
      <c r="H280" s="14" t="str">
        <f>IF(OR(G280=Compilation!B278,G280=""),"",G280-Compilation!B278)</f>
        <v/>
      </c>
      <c r="I280" s="38"/>
      <c r="J280" s="14" t="str">
        <f t="shared" si="2"/>
        <v/>
      </c>
      <c r="K280" s="14" t="str">
        <f t="shared" si="3"/>
        <v/>
      </c>
    </row>
    <row r="281">
      <c r="A281" s="21">
        <f>Scores!A282</f>
        <v>271</v>
      </c>
      <c r="B281" s="14"/>
      <c r="C281" s="14"/>
      <c r="D281" s="14"/>
      <c r="E281" s="14"/>
      <c r="F281" s="14"/>
      <c r="G281" s="14" t="str">
        <f>IFERROR(__xludf.DUMMYFUNCTION("IFERROR(MIN(FILTER(B281:F281, B281:F281&lt;&gt;0)),"""")"),"")</f>
        <v/>
      </c>
      <c r="H281" s="14" t="str">
        <f>IF(OR(G281=Compilation!B279,G281=""),"",G281-Compilation!B279)</f>
        <v/>
      </c>
      <c r="I281" s="38"/>
      <c r="J281" s="14" t="str">
        <f t="shared" si="2"/>
        <v/>
      </c>
      <c r="K281" s="14" t="str">
        <f t="shared" si="3"/>
        <v/>
      </c>
    </row>
    <row r="282">
      <c r="A282" s="21">
        <f>Scores!A283</f>
        <v>272</v>
      </c>
      <c r="B282" s="14"/>
      <c r="C282" s="14"/>
      <c r="D282" s="14"/>
      <c r="E282" s="14"/>
      <c r="F282" s="14"/>
      <c r="G282" s="14" t="str">
        <f>IFERROR(__xludf.DUMMYFUNCTION("IFERROR(MIN(FILTER(B282:F282, B282:F282&lt;&gt;0)),"""")"),"")</f>
        <v/>
      </c>
      <c r="H282" s="14" t="str">
        <f>IF(OR(G282=Compilation!B280,G282=""),"",G282-Compilation!B280)</f>
        <v/>
      </c>
      <c r="I282" s="38"/>
      <c r="J282" s="14" t="str">
        <f t="shared" si="2"/>
        <v/>
      </c>
      <c r="K282" s="14" t="str">
        <f t="shared" si="3"/>
        <v/>
      </c>
    </row>
    <row r="283">
      <c r="A283" s="21">
        <f>Scores!A284</f>
        <v>273</v>
      </c>
      <c r="B283" s="14"/>
      <c r="C283" s="14"/>
      <c r="D283" s="14"/>
      <c r="E283" s="14"/>
      <c r="F283" s="14"/>
      <c r="G283" s="14" t="str">
        <f>IFERROR(__xludf.DUMMYFUNCTION("IFERROR(MIN(FILTER(B283:F283, B283:F283&lt;&gt;0)),"""")"),"")</f>
        <v/>
      </c>
      <c r="H283" s="14" t="str">
        <f>IF(OR(G283=Compilation!B281,G283=""),"",G283-Compilation!B281)</f>
        <v/>
      </c>
      <c r="I283" s="38"/>
      <c r="J283" s="14" t="str">
        <f t="shared" si="2"/>
        <v/>
      </c>
      <c r="K283" s="14" t="str">
        <f t="shared" si="3"/>
        <v/>
      </c>
    </row>
    <row r="284">
      <c r="A284" s="21">
        <f>Scores!A285</f>
        <v>274</v>
      </c>
      <c r="B284" s="14"/>
      <c r="C284" s="14"/>
      <c r="D284" s="14"/>
      <c r="E284" s="14"/>
      <c r="F284" s="14"/>
      <c r="G284" s="14" t="str">
        <f>IFERROR(__xludf.DUMMYFUNCTION("IFERROR(MIN(FILTER(B284:F284, B284:F284&lt;&gt;0)),"""")"),"")</f>
        <v/>
      </c>
      <c r="H284" s="14" t="str">
        <f>IF(OR(G284=Compilation!B282,G284=""),"",G284-Compilation!B282)</f>
        <v/>
      </c>
      <c r="I284" s="38"/>
      <c r="J284" s="14" t="str">
        <f t="shared" si="2"/>
        <v/>
      </c>
      <c r="K284" s="14" t="str">
        <f t="shared" si="3"/>
        <v/>
      </c>
    </row>
    <row r="285">
      <c r="A285" s="21">
        <f>Scores!A286</f>
        <v>275</v>
      </c>
      <c r="B285" s="14"/>
      <c r="C285" s="14"/>
      <c r="D285" s="14"/>
      <c r="E285" s="14"/>
      <c r="F285" s="14"/>
      <c r="G285" s="14" t="str">
        <f>IFERROR(__xludf.DUMMYFUNCTION("IFERROR(MIN(FILTER(B285:F285, B285:F285&lt;&gt;0)),"""")"),"")</f>
        <v/>
      </c>
      <c r="H285" s="14" t="str">
        <f>IF(OR(G285=Compilation!B283,G285=""),"",G285-Compilation!B283)</f>
        <v/>
      </c>
      <c r="I285" s="38"/>
      <c r="J285" s="14" t="str">
        <f t="shared" si="2"/>
        <v/>
      </c>
      <c r="K285" s="14" t="str">
        <f t="shared" si="3"/>
        <v/>
      </c>
    </row>
    <row r="286">
      <c r="A286" s="21">
        <f>Scores!A287</f>
        <v>276</v>
      </c>
      <c r="B286" s="14"/>
      <c r="C286" s="14"/>
      <c r="D286" s="14"/>
      <c r="E286" s="14"/>
      <c r="F286" s="14"/>
      <c r="G286" s="14" t="str">
        <f>IFERROR(__xludf.DUMMYFUNCTION("IFERROR(MIN(FILTER(B286:F286, B286:F286&lt;&gt;0)),"""")"),"")</f>
        <v/>
      </c>
      <c r="H286" s="14" t="str">
        <f>IF(OR(G286=Compilation!B284,G286=""),"",G286-Compilation!B284)</f>
        <v/>
      </c>
      <c r="I286" s="38"/>
      <c r="J286" s="14" t="str">
        <f t="shared" si="2"/>
        <v/>
      </c>
      <c r="K286" s="14" t="str">
        <f t="shared" si="3"/>
        <v/>
      </c>
    </row>
    <row r="287">
      <c r="A287" s="21">
        <f>Scores!A288</f>
        <v>277</v>
      </c>
      <c r="B287" s="14"/>
      <c r="C287" s="14"/>
      <c r="D287" s="14"/>
      <c r="E287" s="14"/>
      <c r="F287" s="14"/>
      <c r="G287" s="14" t="str">
        <f>IFERROR(__xludf.DUMMYFUNCTION("IFERROR(MIN(FILTER(B287:F287, B287:F287&lt;&gt;0)),"""")"),"")</f>
        <v/>
      </c>
      <c r="H287" s="14" t="str">
        <f>IF(OR(G287=Compilation!B285,G287=""),"",G287-Compilation!B285)</f>
        <v/>
      </c>
      <c r="I287" s="38"/>
      <c r="J287" s="14" t="str">
        <f t="shared" si="2"/>
        <v/>
      </c>
      <c r="K287" s="14" t="str">
        <f t="shared" si="3"/>
        <v/>
      </c>
    </row>
    <row r="288">
      <c r="A288" s="21">
        <f>Scores!A289</f>
        <v>278</v>
      </c>
      <c r="B288" s="14"/>
      <c r="C288" s="14"/>
      <c r="D288" s="14"/>
      <c r="E288" s="14"/>
      <c r="F288" s="14"/>
      <c r="G288" s="14" t="str">
        <f>IFERROR(__xludf.DUMMYFUNCTION("IFERROR(MIN(FILTER(B288:F288, B288:F288&lt;&gt;0)),"""")"),"")</f>
        <v/>
      </c>
      <c r="H288" s="14" t="str">
        <f>IF(OR(G288=Compilation!B286,G288=""),"",G288-Compilation!B286)</f>
        <v/>
      </c>
      <c r="I288" s="38"/>
      <c r="J288" s="14" t="str">
        <f t="shared" si="2"/>
        <v/>
      </c>
      <c r="K288" s="14" t="str">
        <f t="shared" si="3"/>
        <v/>
      </c>
    </row>
    <row r="289">
      <c r="A289" s="21">
        <f>Scores!A290</f>
        <v>279</v>
      </c>
      <c r="B289" s="14"/>
      <c r="C289" s="14"/>
      <c r="D289" s="14"/>
      <c r="E289" s="14"/>
      <c r="F289" s="14"/>
      <c r="G289" s="14" t="str">
        <f>IFERROR(__xludf.DUMMYFUNCTION("IFERROR(MIN(FILTER(B289:F289, B289:F289&lt;&gt;0)),"""")"),"")</f>
        <v/>
      </c>
      <c r="H289" s="14" t="str">
        <f>IF(OR(G289=Compilation!B287,G289=""),"",G289-Compilation!B287)</f>
        <v/>
      </c>
      <c r="I289" s="38"/>
      <c r="J289" s="14" t="str">
        <f t="shared" si="2"/>
        <v/>
      </c>
      <c r="K289" s="14" t="str">
        <f t="shared" si="3"/>
        <v/>
      </c>
    </row>
    <row r="290">
      <c r="A290" s="21">
        <f>Scores!A291</f>
        <v>280</v>
      </c>
      <c r="B290" s="14"/>
      <c r="C290" s="14"/>
      <c r="D290" s="14"/>
      <c r="E290" s="14"/>
      <c r="F290" s="14"/>
      <c r="G290" s="14" t="str">
        <f>IFERROR(__xludf.DUMMYFUNCTION("IFERROR(MIN(FILTER(B290:F290, B290:F290&lt;&gt;0)),"""")"),"")</f>
        <v/>
      </c>
      <c r="H290" s="14" t="str">
        <f>IF(OR(G290=Compilation!B288,G290=""),"",G290-Compilation!B288)</f>
        <v/>
      </c>
      <c r="I290" s="38"/>
      <c r="J290" s="14" t="str">
        <f t="shared" si="2"/>
        <v/>
      </c>
      <c r="K290" s="14" t="str">
        <f t="shared" si="3"/>
        <v/>
      </c>
    </row>
    <row r="291">
      <c r="A291" s="21">
        <f>Scores!A292</f>
        <v>281</v>
      </c>
      <c r="B291" s="14"/>
      <c r="C291" s="14"/>
      <c r="D291" s="14"/>
      <c r="E291" s="14"/>
      <c r="F291" s="14"/>
      <c r="G291" s="14" t="str">
        <f>IFERROR(__xludf.DUMMYFUNCTION("IFERROR(MIN(FILTER(B291:F291, B291:F291&lt;&gt;0)),"""")"),"")</f>
        <v/>
      </c>
      <c r="H291" s="14" t="str">
        <f>IF(OR(G291=Compilation!B289,G291=""),"",G291-Compilation!B289)</f>
        <v/>
      </c>
      <c r="I291" s="38"/>
      <c r="J291" s="14" t="str">
        <f t="shared" si="2"/>
        <v/>
      </c>
      <c r="K291" s="14" t="str">
        <f t="shared" si="3"/>
        <v/>
      </c>
    </row>
    <row r="292">
      <c r="A292" s="21">
        <f>Scores!A293</f>
        <v>282</v>
      </c>
      <c r="B292" s="14"/>
      <c r="C292" s="14"/>
      <c r="D292" s="14"/>
      <c r="E292" s="14"/>
      <c r="F292" s="14"/>
      <c r="G292" s="14" t="str">
        <f>IFERROR(__xludf.DUMMYFUNCTION("IFERROR(MIN(FILTER(B292:F292, B292:F292&lt;&gt;0)),"""")"),"")</f>
        <v/>
      </c>
      <c r="H292" s="14" t="str">
        <f>IF(OR(G292=Compilation!B290,G292=""),"",G292-Compilation!B290)</f>
        <v/>
      </c>
      <c r="I292" s="38"/>
      <c r="J292" s="14" t="str">
        <f t="shared" si="2"/>
        <v/>
      </c>
      <c r="K292" s="14" t="str">
        <f t="shared" si="3"/>
        <v/>
      </c>
    </row>
    <row r="293">
      <c r="A293" s="21">
        <f>Scores!A294</f>
        <v>283</v>
      </c>
      <c r="B293" s="14"/>
      <c r="C293" s="14"/>
      <c r="D293" s="14"/>
      <c r="E293" s="14"/>
      <c r="F293" s="14"/>
      <c r="G293" s="14" t="str">
        <f>IFERROR(__xludf.DUMMYFUNCTION("IFERROR(MIN(FILTER(B293:F293, B293:F293&lt;&gt;0)),"""")"),"")</f>
        <v/>
      </c>
      <c r="H293" s="14" t="str">
        <f>IF(OR(G293=Compilation!B291,G293=""),"",G293-Compilation!B291)</f>
        <v/>
      </c>
      <c r="I293" s="38"/>
      <c r="J293" s="14" t="str">
        <f t="shared" si="2"/>
        <v/>
      </c>
      <c r="K293" s="14" t="str">
        <f t="shared" si="3"/>
        <v/>
      </c>
    </row>
    <row r="294">
      <c r="A294" s="21">
        <f>Scores!A295</f>
        <v>284</v>
      </c>
      <c r="B294" s="14"/>
      <c r="C294" s="14"/>
      <c r="D294" s="14"/>
      <c r="E294" s="14"/>
      <c r="F294" s="14"/>
      <c r="G294" s="14" t="str">
        <f>IFERROR(__xludf.DUMMYFUNCTION("IFERROR(MIN(FILTER(B294:F294, B294:F294&lt;&gt;0)),"""")"),"")</f>
        <v/>
      </c>
      <c r="H294" s="14" t="str">
        <f>IF(OR(G294=Compilation!B292,G294=""),"",G294-Compilation!B292)</f>
        <v/>
      </c>
      <c r="I294" s="38"/>
      <c r="J294" s="14" t="str">
        <f t="shared" si="2"/>
        <v/>
      </c>
      <c r="K294" s="14" t="str">
        <f t="shared" si="3"/>
        <v/>
      </c>
    </row>
    <row r="295">
      <c r="A295" s="21">
        <f>Scores!A296</f>
        <v>285</v>
      </c>
      <c r="B295" s="14"/>
      <c r="C295" s="14"/>
      <c r="D295" s="14"/>
      <c r="E295" s="14"/>
      <c r="F295" s="14"/>
      <c r="G295" s="14" t="str">
        <f>IFERROR(__xludf.DUMMYFUNCTION("IFERROR(MIN(FILTER(B295:F295, B295:F295&lt;&gt;0)),"""")"),"")</f>
        <v/>
      </c>
      <c r="H295" s="14" t="str">
        <f>IF(OR(G295=Compilation!B293,G295=""),"",G295-Compilation!B293)</f>
        <v/>
      </c>
      <c r="I295" s="38"/>
      <c r="J295" s="14" t="str">
        <f t="shared" si="2"/>
        <v/>
      </c>
      <c r="K295" s="14" t="str">
        <f t="shared" si="3"/>
        <v/>
      </c>
    </row>
    <row r="296">
      <c r="A296" s="21">
        <f>Scores!A297</f>
        <v>286</v>
      </c>
      <c r="B296" s="14"/>
      <c r="C296" s="14"/>
      <c r="D296" s="14"/>
      <c r="E296" s="14"/>
      <c r="F296" s="14"/>
      <c r="G296" s="14" t="str">
        <f>IFERROR(__xludf.DUMMYFUNCTION("IFERROR(MIN(FILTER(B296:F296, B296:F296&lt;&gt;0)),"""")"),"")</f>
        <v/>
      </c>
      <c r="H296" s="14" t="str">
        <f>IF(OR(G296=Compilation!B294,G296=""),"",G296-Compilation!B294)</f>
        <v/>
      </c>
      <c r="I296" s="38"/>
      <c r="J296" s="14" t="str">
        <f t="shared" si="2"/>
        <v/>
      </c>
      <c r="K296" s="14" t="str">
        <f t="shared" si="3"/>
        <v/>
      </c>
    </row>
    <row r="297">
      <c r="A297" s="21">
        <f>Scores!A298</f>
        <v>287</v>
      </c>
      <c r="B297" s="14"/>
      <c r="C297" s="14"/>
      <c r="D297" s="14"/>
      <c r="E297" s="14"/>
      <c r="F297" s="14"/>
      <c r="G297" s="14" t="str">
        <f>IFERROR(__xludf.DUMMYFUNCTION("IFERROR(MIN(FILTER(B297:F297, B297:F297&lt;&gt;0)),"""")"),"")</f>
        <v/>
      </c>
      <c r="H297" s="14" t="str">
        <f>IF(OR(G297=Compilation!B295,G297=""),"",G297-Compilation!B295)</f>
        <v/>
      </c>
      <c r="I297" s="38"/>
      <c r="J297" s="14" t="str">
        <f t="shared" si="2"/>
        <v/>
      </c>
      <c r="K297" s="14" t="str">
        <f t="shared" si="3"/>
        <v/>
      </c>
    </row>
    <row r="298">
      <c r="A298" s="21">
        <f>Scores!A299</f>
        <v>288</v>
      </c>
      <c r="B298" s="14"/>
      <c r="C298" s="14"/>
      <c r="D298" s="14"/>
      <c r="E298" s="14"/>
      <c r="F298" s="14"/>
      <c r="G298" s="14" t="str">
        <f>IFERROR(__xludf.DUMMYFUNCTION("IFERROR(MIN(FILTER(B298:F298, B298:F298&lt;&gt;0)),"""")"),"")</f>
        <v/>
      </c>
      <c r="H298" s="14" t="str">
        <f>IF(OR(G298=Compilation!B296,G298=""),"",G298-Compilation!B296)</f>
        <v/>
      </c>
      <c r="I298" s="38"/>
      <c r="J298" s="14" t="str">
        <f t="shared" si="2"/>
        <v/>
      </c>
      <c r="K298" s="14" t="str">
        <f t="shared" si="3"/>
        <v/>
      </c>
    </row>
    <row r="299">
      <c r="A299" s="21">
        <f>Scores!A300</f>
        <v>289</v>
      </c>
      <c r="B299" s="14"/>
      <c r="C299" s="14"/>
      <c r="D299" s="14"/>
      <c r="E299" s="14"/>
      <c r="F299" s="14"/>
      <c r="G299" s="14" t="str">
        <f>IFERROR(__xludf.DUMMYFUNCTION("IFERROR(MIN(FILTER(B299:F299, B299:F299&lt;&gt;0)),"""")"),"")</f>
        <v/>
      </c>
      <c r="H299" s="14" t="str">
        <f>IF(OR(G299=Compilation!B297,G299=""),"",G299-Compilation!B297)</f>
        <v/>
      </c>
      <c r="I299" s="38"/>
      <c r="J299" s="14" t="str">
        <f t="shared" si="2"/>
        <v/>
      </c>
      <c r="K299" s="14" t="str">
        <f t="shared" si="3"/>
        <v/>
      </c>
    </row>
    <row r="300">
      <c r="A300" s="21">
        <f>Scores!A301</f>
        <v>290</v>
      </c>
      <c r="B300" s="14"/>
      <c r="C300" s="14"/>
      <c r="D300" s="14"/>
      <c r="E300" s="14"/>
      <c r="F300" s="14"/>
      <c r="G300" s="14" t="str">
        <f>IFERROR(__xludf.DUMMYFUNCTION("IFERROR(MIN(FILTER(B300:F300, B300:F300&lt;&gt;0)),"""")"),"")</f>
        <v/>
      </c>
      <c r="H300" s="14" t="str">
        <f>IF(OR(G300=Compilation!B298,G300=""),"",G300-Compilation!B298)</f>
        <v/>
      </c>
      <c r="I300" s="38"/>
      <c r="J300" s="14" t="str">
        <f t="shared" si="2"/>
        <v/>
      </c>
      <c r="K300" s="14" t="str">
        <f t="shared" si="3"/>
        <v/>
      </c>
    </row>
    <row r="301">
      <c r="A301" s="21">
        <f>Scores!A302</f>
        <v>291</v>
      </c>
      <c r="B301" s="14"/>
      <c r="C301" s="14"/>
      <c r="D301" s="14"/>
      <c r="E301" s="14"/>
      <c r="F301" s="14"/>
      <c r="G301" s="14" t="str">
        <f>IFERROR(__xludf.DUMMYFUNCTION("IFERROR(MIN(FILTER(B301:F301, B301:F301&lt;&gt;0)),"""")"),"")</f>
        <v/>
      </c>
      <c r="H301" s="14" t="str">
        <f>IF(OR(G301=Compilation!B299,G301=""),"",G301-Compilation!B299)</f>
        <v/>
      </c>
      <c r="I301" s="38"/>
      <c r="J301" s="14" t="str">
        <f t="shared" si="2"/>
        <v/>
      </c>
      <c r="K301" s="14" t="str">
        <f t="shared" si="3"/>
        <v/>
      </c>
    </row>
    <row r="302">
      <c r="A302" s="21">
        <f>Scores!A303</f>
        <v>292</v>
      </c>
      <c r="B302" s="14"/>
      <c r="C302" s="14"/>
      <c r="D302" s="14"/>
      <c r="E302" s="14"/>
      <c r="F302" s="14"/>
      <c r="G302" s="14" t="str">
        <f>IFERROR(__xludf.DUMMYFUNCTION("IFERROR(MIN(FILTER(B302:F302, B302:F302&lt;&gt;0)),"""")"),"")</f>
        <v/>
      </c>
      <c r="H302" s="14" t="str">
        <f>IF(OR(G302=Compilation!B300,G302=""),"",G302-Compilation!B300)</f>
        <v/>
      </c>
      <c r="I302" s="38"/>
      <c r="J302" s="14" t="str">
        <f t="shared" si="2"/>
        <v/>
      </c>
      <c r="K302" s="14" t="str">
        <f t="shared" si="3"/>
        <v/>
      </c>
    </row>
    <row r="303">
      <c r="A303" s="21">
        <f>Scores!A304</f>
        <v>293</v>
      </c>
      <c r="B303" s="14"/>
      <c r="C303" s="14"/>
      <c r="D303" s="14"/>
      <c r="E303" s="14"/>
      <c r="F303" s="14"/>
      <c r="G303" s="14" t="str">
        <f>IFERROR(__xludf.DUMMYFUNCTION("IFERROR(MIN(FILTER(B303:F303, B303:F303&lt;&gt;0)),"""")"),"")</f>
        <v/>
      </c>
      <c r="H303" s="14" t="str">
        <f>IF(OR(G303=Compilation!B301,G303=""),"",G303-Compilation!B301)</f>
        <v/>
      </c>
      <c r="I303" s="38"/>
      <c r="J303" s="14" t="str">
        <f t="shared" si="2"/>
        <v/>
      </c>
      <c r="K303" s="14" t="str">
        <f t="shared" si="3"/>
        <v/>
      </c>
    </row>
    <row r="304">
      <c r="A304" s="21">
        <f>Scores!A305</f>
        <v>294</v>
      </c>
      <c r="B304" s="14"/>
      <c r="C304" s="14"/>
      <c r="D304" s="14"/>
      <c r="E304" s="14"/>
      <c r="F304" s="14"/>
      <c r="G304" s="14" t="str">
        <f>IFERROR(__xludf.DUMMYFUNCTION("IFERROR(MIN(FILTER(B304:F304, B304:F304&lt;&gt;0)),"""")"),"")</f>
        <v/>
      </c>
      <c r="H304" s="14" t="str">
        <f>IF(OR(G304=Compilation!B302,G304=""),"",G304-Compilation!B302)</f>
        <v/>
      </c>
      <c r="I304" s="38"/>
      <c r="J304" s="14" t="str">
        <f t="shared" si="2"/>
        <v/>
      </c>
      <c r="K304" s="14" t="str">
        <f t="shared" si="3"/>
        <v/>
      </c>
    </row>
    <row r="305">
      <c r="A305" s="21">
        <f>Scores!A306</f>
        <v>295</v>
      </c>
      <c r="B305" s="14"/>
      <c r="C305" s="14"/>
      <c r="D305" s="14"/>
      <c r="E305" s="14"/>
      <c r="F305" s="14"/>
      <c r="G305" s="14" t="str">
        <f>IFERROR(__xludf.DUMMYFUNCTION("IFERROR(MIN(FILTER(B305:F305, B305:F305&lt;&gt;0)),"""")"),"")</f>
        <v/>
      </c>
      <c r="H305" s="14" t="str">
        <f>IF(OR(G305=Compilation!B303,G305=""),"",G305-Compilation!B303)</f>
        <v/>
      </c>
      <c r="I305" s="38"/>
      <c r="J305" s="14" t="str">
        <f t="shared" si="2"/>
        <v/>
      </c>
      <c r="K305" s="14" t="str">
        <f t="shared" si="3"/>
        <v/>
      </c>
    </row>
    <row r="306">
      <c r="A306" s="21">
        <f>Scores!A307</f>
        <v>296</v>
      </c>
      <c r="B306" s="14"/>
      <c r="C306" s="14"/>
      <c r="D306" s="14"/>
      <c r="E306" s="14"/>
      <c r="F306" s="14"/>
      <c r="G306" s="14" t="str">
        <f>IFERROR(__xludf.DUMMYFUNCTION("IFERROR(MIN(FILTER(B306:F306, B306:F306&lt;&gt;0)),"""")"),"")</f>
        <v/>
      </c>
      <c r="H306" s="14" t="str">
        <f>IF(OR(G306=Compilation!B304,G306=""),"",G306-Compilation!B304)</f>
        <v/>
      </c>
      <c r="I306" s="38"/>
      <c r="J306" s="14" t="str">
        <f t="shared" si="2"/>
        <v/>
      </c>
      <c r="K306" s="14" t="str">
        <f t="shared" si="3"/>
        <v/>
      </c>
    </row>
    <row r="307">
      <c r="A307" s="21">
        <f>Scores!A308</f>
        <v>297</v>
      </c>
      <c r="B307" s="14"/>
      <c r="C307" s="14"/>
      <c r="D307" s="14"/>
      <c r="E307" s="14"/>
      <c r="F307" s="14"/>
      <c r="G307" s="14" t="str">
        <f>IFERROR(__xludf.DUMMYFUNCTION("IFERROR(MIN(FILTER(B307:F307, B307:F307&lt;&gt;0)),"""")"),"")</f>
        <v/>
      </c>
      <c r="H307" s="14" t="str">
        <f>IF(OR(G307=Compilation!B305,G307=""),"",G307-Compilation!B305)</f>
        <v/>
      </c>
      <c r="I307" s="38"/>
      <c r="J307" s="14" t="str">
        <f t="shared" si="2"/>
        <v/>
      </c>
      <c r="K307" s="14" t="str">
        <f t="shared" si="3"/>
        <v/>
      </c>
    </row>
    <row r="308">
      <c r="A308" s="21">
        <f>Scores!A309</f>
        <v>298</v>
      </c>
      <c r="B308" s="14"/>
      <c r="C308" s="14"/>
      <c r="D308" s="14"/>
      <c r="E308" s="14"/>
      <c r="F308" s="14"/>
      <c r="G308" s="14" t="str">
        <f>IFERROR(__xludf.DUMMYFUNCTION("IFERROR(MIN(FILTER(B308:F308, B308:F308&lt;&gt;0)),"""")"),"")</f>
        <v/>
      </c>
      <c r="H308" s="14" t="str">
        <f>IF(OR(G308=Compilation!B306,G308=""),"",G308-Compilation!B306)</f>
        <v/>
      </c>
      <c r="I308" s="38"/>
      <c r="J308" s="14" t="str">
        <f t="shared" si="2"/>
        <v/>
      </c>
      <c r="K308" s="14" t="str">
        <f t="shared" si="3"/>
        <v/>
      </c>
    </row>
    <row r="309">
      <c r="A309" s="21">
        <f>Scores!A310</f>
        <v>299</v>
      </c>
      <c r="B309" s="14"/>
      <c r="C309" s="14"/>
      <c r="D309" s="14"/>
      <c r="E309" s="14"/>
      <c r="F309" s="14"/>
      <c r="G309" s="14" t="str">
        <f>IFERROR(__xludf.DUMMYFUNCTION("IFERROR(MIN(FILTER(B309:F309, B309:F309&lt;&gt;0)),"""")"),"")</f>
        <v/>
      </c>
      <c r="H309" s="14" t="str">
        <f>IF(OR(G309=Compilation!B307,G309=""),"",G309-Compilation!B307)</f>
        <v/>
      </c>
      <c r="I309" s="38"/>
      <c r="J309" s="14" t="str">
        <f t="shared" si="2"/>
        <v/>
      </c>
      <c r="K309" s="14" t="str">
        <f t="shared" si="3"/>
        <v/>
      </c>
    </row>
    <row r="310">
      <c r="A310" s="21">
        <f>Scores!A311</f>
        <v>300</v>
      </c>
      <c r="B310" s="14"/>
      <c r="C310" s="14"/>
      <c r="D310" s="14"/>
      <c r="E310" s="14"/>
      <c r="F310" s="14"/>
      <c r="G310" s="14" t="str">
        <f>IFERROR(__xludf.DUMMYFUNCTION("IFERROR(MIN(FILTER(B310:F310, B310:F310&lt;&gt;0)),"""")"),"")</f>
        <v/>
      </c>
      <c r="H310" s="14" t="str">
        <f>IF(OR(G310=Compilation!B308,G310=""),"",G310-Compilation!B308)</f>
        <v/>
      </c>
      <c r="I310" s="38"/>
      <c r="J310" s="14" t="str">
        <f t="shared" si="2"/>
        <v/>
      </c>
      <c r="K310" s="14" t="str">
        <f t="shared" si="3"/>
        <v/>
      </c>
    </row>
    <row r="311">
      <c r="A311" s="21">
        <f>Scores!A312</f>
        <v>301</v>
      </c>
      <c r="B311" s="14"/>
      <c r="C311" s="14"/>
      <c r="D311" s="14"/>
      <c r="E311" s="14"/>
      <c r="F311" s="14"/>
      <c r="G311" s="14" t="str">
        <f>IFERROR(__xludf.DUMMYFUNCTION("IFERROR(MIN(FILTER(B311:F311, B311:F311&lt;&gt;0)),"""")"),"")</f>
        <v/>
      </c>
      <c r="H311" s="14" t="str">
        <f>IF(OR(G311=Compilation!B309,G311=""),"",G311-Compilation!B309)</f>
        <v/>
      </c>
      <c r="I311" s="38"/>
      <c r="J311" s="14" t="str">
        <f t="shared" si="2"/>
        <v/>
      </c>
      <c r="K311" s="14" t="str">
        <f t="shared" si="3"/>
        <v/>
      </c>
    </row>
    <row r="312">
      <c r="A312" s="21">
        <f>Scores!A313</f>
        <v>302</v>
      </c>
      <c r="B312" s="14"/>
      <c r="C312" s="14"/>
      <c r="D312" s="14"/>
      <c r="E312" s="14"/>
      <c r="F312" s="14"/>
      <c r="G312" s="14" t="str">
        <f>IFERROR(__xludf.DUMMYFUNCTION("IFERROR(MIN(FILTER(B312:F312, B312:F312&lt;&gt;0)),"""")"),"")</f>
        <v/>
      </c>
      <c r="H312" s="14" t="str">
        <f>IF(OR(G312=Compilation!B310,G312=""),"",G312-Compilation!B310)</f>
        <v/>
      </c>
      <c r="I312" s="38"/>
      <c r="J312" s="14" t="str">
        <f t="shared" si="2"/>
        <v/>
      </c>
      <c r="K312" s="14" t="str">
        <f t="shared" si="3"/>
        <v/>
      </c>
    </row>
    <row r="313">
      <c r="A313" s="21">
        <f>Scores!A314</f>
        <v>303</v>
      </c>
      <c r="B313" s="14"/>
      <c r="C313" s="14"/>
      <c r="D313" s="14"/>
      <c r="E313" s="14"/>
      <c r="F313" s="14"/>
      <c r="G313" s="14" t="str">
        <f>IFERROR(__xludf.DUMMYFUNCTION("IFERROR(MIN(FILTER(B313:F313, B313:F313&lt;&gt;0)),"""")"),"")</f>
        <v/>
      </c>
      <c r="H313" s="14" t="str">
        <f>IF(OR(G313=Compilation!B311,G313=""),"",G313-Compilation!B311)</f>
        <v/>
      </c>
      <c r="I313" s="38"/>
      <c r="J313" s="14" t="str">
        <f t="shared" si="2"/>
        <v/>
      </c>
      <c r="K313" s="14" t="str">
        <f t="shared" si="3"/>
        <v/>
      </c>
    </row>
    <row r="314">
      <c r="A314" s="21">
        <f>Scores!A315</f>
        <v>304</v>
      </c>
      <c r="B314" s="14"/>
      <c r="C314" s="14"/>
      <c r="D314" s="14"/>
      <c r="E314" s="14"/>
      <c r="F314" s="14"/>
      <c r="G314" s="14" t="str">
        <f>IFERROR(__xludf.DUMMYFUNCTION("IFERROR(MIN(FILTER(B314:F314, B314:F314&lt;&gt;0)),"""")"),"")</f>
        <v/>
      </c>
      <c r="H314" s="14" t="str">
        <f>IF(OR(G314=Compilation!B312,G314=""),"",G314-Compilation!B312)</f>
        <v/>
      </c>
      <c r="I314" s="38"/>
      <c r="J314" s="14" t="str">
        <f t="shared" si="2"/>
        <v/>
      </c>
      <c r="K314" s="14" t="str">
        <f t="shared" si="3"/>
        <v/>
      </c>
    </row>
    <row r="315">
      <c r="A315" s="21">
        <f>Scores!A316</f>
        <v>305</v>
      </c>
      <c r="B315" s="14"/>
      <c r="C315" s="14"/>
      <c r="D315" s="14"/>
      <c r="E315" s="14"/>
      <c r="F315" s="14"/>
      <c r="G315" s="14" t="str">
        <f>IFERROR(__xludf.DUMMYFUNCTION("IFERROR(MIN(FILTER(B315:F315, B315:F315&lt;&gt;0)),"""")"),"")</f>
        <v/>
      </c>
      <c r="H315" s="14" t="str">
        <f>IF(OR(G315=Compilation!B313,G315=""),"",G315-Compilation!B313)</f>
        <v/>
      </c>
      <c r="I315" s="38"/>
      <c r="J315" s="14" t="str">
        <f t="shared" si="2"/>
        <v/>
      </c>
      <c r="K315" s="14" t="str">
        <f t="shared" si="3"/>
        <v/>
      </c>
    </row>
    <row r="316">
      <c r="A316" s="21">
        <f>Scores!A317</f>
        <v>306</v>
      </c>
      <c r="B316" s="14"/>
      <c r="C316" s="14"/>
      <c r="D316" s="14"/>
      <c r="E316" s="14"/>
      <c r="F316" s="14"/>
      <c r="G316" s="14" t="str">
        <f>IFERROR(__xludf.DUMMYFUNCTION("IFERROR(MIN(FILTER(B316:F316, B316:F316&lt;&gt;0)),"""")"),"")</f>
        <v/>
      </c>
      <c r="H316" s="14" t="str">
        <f>IF(OR(G316=Compilation!B314,G316=""),"",G316-Compilation!B314)</f>
        <v/>
      </c>
      <c r="I316" s="38"/>
      <c r="J316" s="14" t="str">
        <f t="shared" si="2"/>
        <v/>
      </c>
      <c r="K316" s="14" t="str">
        <f t="shared" si="3"/>
        <v/>
      </c>
    </row>
    <row r="317">
      <c r="A317" s="21">
        <f>Scores!A318</f>
        <v>307</v>
      </c>
      <c r="B317" s="14"/>
      <c r="C317" s="14"/>
      <c r="D317" s="14"/>
      <c r="E317" s="14"/>
      <c r="F317" s="14"/>
      <c r="G317" s="14" t="str">
        <f>IFERROR(__xludf.DUMMYFUNCTION("IFERROR(MIN(FILTER(B317:F317, B317:F317&lt;&gt;0)),"""")"),"")</f>
        <v/>
      </c>
      <c r="H317" s="14" t="str">
        <f>IF(OR(G317=Compilation!B315,G317=""),"",G317-Compilation!B315)</f>
        <v/>
      </c>
      <c r="I317" s="38"/>
      <c r="J317" s="14" t="str">
        <f t="shared" si="2"/>
        <v/>
      </c>
      <c r="K317" s="14" t="str">
        <f t="shared" si="3"/>
        <v/>
      </c>
    </row>
    <row r="318">
      <c r="A318" s="21">
        <f>Scores!A319</f>
        <v>308</v>
      </c>
      <c r="B318" s="14"/>
      <c r="C318" s="14"/>
      <c r="D318" s="14"/>
      <c r="E318" s="14"/>
      <c r="F318" s="14"/>
      <c r="G318" s="14" t="str">
        <f>IFERROR(__xludf.DUMMYFUNCTION("IFERROR(MIN(FILTER(B318:F318, B318:F318&lt;&gt;0)),"""")"),"")</f>
        <v/>
      </c>
      <c r="H318" s="14" t="str">
        <f>IF(OR(G318=Compilation!B316,G318=""),"",G318-Compilation!B316)</f>
        <v/>
      </c>
      <c r="I318" s="38"/>
      <c r="J318" s="14" t="str">
        <f t="shared" si="2"/>
        <v/>
      </c>
      <c r="K318" s="14" t="str">
        <f t="shared" si="3"/>
        <v/>
      </c>
    </row>
    <row r="319">
      <c r="A319" s="21">
        <f>Scores!A320</f>
        <v>309</v>
      </c>
      <c r="B319" s="14"/>
      <c r="C319" s="14"/>
      <c r="D319" s="14"/>
      <c r="E319" s="14"/>
      <c r="F319" s="14"/>
      <c r="G319" s="14" t="str">
        <f>IFERROR(__xludf.DUMMYFUNCTION("IFERROR(MIN(FILTER(B319:F319, B319:F319&lt;&gt;0)),"""")"),"")</f>
        <v/>
      </c>
      <c r="H319" s="14" t="str">
        <f>IF(OR(G319=Compilation!B317,G319=""),"",G319-Compilation!B317)</f>
        <v/>
      </c>
      <c r="I319" s="38"/>
      <c r="J319" s="14" t="str">
        <f t="shared" si="2"/>
        <v/>
      </c>
      <c r="K319" s="14" t="str">
        <f t="shared" si="3"/>
        <v/>
      </c>
    </row>
    <row r="320">
      <c r="A320" s="21">
        <f>Scores!A321</f>
        <v>310</v>
      </c>
      <c r="B320" s="14"/>
      <c r="C320" s="14"/>
      <c r="D320" s="14"/>
      <c r="E320" s="14"/>
      <c r="F320" s="14"/>
      <c r="G320" s="14" t="str">
        <f>IFERROR(__xludf.DUMMYFUNCTION("IFERROR(MIN(FILTER(B320:F320, B320:F320&lt;&gt;0)),"""")"),"")</f>
        <v/>
      </c>
      <c r="H320" s="14" t="str">
        <f>IF(OR(G320=Compilation!B318,G320=""),"",G320-Compilation!B318)</f>
        <v/>
      </c>
      <c r="I320" s="38"/>
      <c r="J320" s="14" t="str">
        <f t="shared" si="2"/>
        <v/>
      </c>
      <c r="K320" s="14" t="str">
        <f t="shared" si="3"/>
        <v/>
      </c>
    </row>
    <row r="321">
      <c r="A321" s="21">
        <f>Scores!A322</f>
        <v>311</v>
      </c>
      <c r="B321" s="14"/>
      <c r="C321" s="14"/>
      <c r="D321" s="14"/>
      <c r="E321" s="14"/>
      <c r="F321" s="14"/>
      <c r="G321" s="14" t="str">
        <f>IFERROR(__xludf.DUMMYFUNCTION("IFERROR(MIN(FILTER(B321:F321, B321:F321&lt;&gt;0)),"""")"),"")</f>
        <v/>
      </c>
      <c r="H321" s="14" t="str">
        <f>IF(OR(G321=Compilation!B319,G321=""),"",G321-Compilation!B319)</f>
        <v/>
      </c>
      <c r="I321" s="38"/>
      <c r="J321" s="14" t="str">
        <f t="shared" si="2"/>
        <v/>
      </c>
      <c r="K321" s="14" t="str">
        <f t="shared" si="3"/>
        <v/>
      </c>
    </row>
    <row r="322">
      <c r="A322" s="21">
        <f>Scores!A323</f>
        <v>312</v>
      </c>
      <c r="B322" s="14"/>
      <c r="C322" s="14"/>
      <c r="D322" s="14"/>
      <c r="E322" s="14"/>
      <c r="F322" s="14"/>
      <c r="G322" s="14" t="str">
        <f>IFERROR(__xludf.DUMMYFUNCTION("IFERROR(MIN(FILTER(B322:F322, B322:F322&lt;&gt;0)),"""")"),"")</f>
        <v/>
      </c>
      <c r="H322" s="14" t="str">
        <f>IF(OR(G322=Compilation!B320,G322=""),"",G322-Compilation!B320)</f>
        <v/>
      </c>
      <c r="I322" s="38"/>
      <c r="J322" s="14" t="str">
        <f t="shared" si="2"/>
        <v/>
      </c>
      <c r="K322" s="14" t="str">
        <f t="shared" si="3"/>
        <v/>
      </c>
    </row>
    <row r="323">
      <c r="A323" s="21">
        <f>Scores!A324</f>
        <v>313</v>
      </c>
      <c r="B323" s="14"/>
      <c r="C323" s="14"/>
      <c r="D323" s="14"/>
      <c r="E323" s="14"/>
      <c r="F323" s="14"/>
      <c r="G323" s="14" t="str">
        <f>IFERROR(__xludf.DUMMYFUNCTION("IFERROR(MIN(FILTER(B323:F323, B323:F323&lt;&gt;0)),"""")"),"")</f>
        <v/>
      </c>
      <c r="H323" s="14" t="str">
        <f>IF(OR(G323=Compilation!B321,G323=""),"",G323-Compilation!B321)</f>
        <v/>
      </c>
      <c r="I323" s="38"/>
      <c r="J323" s="14" t="str">
        <f t="shared" si="2"/>
        <v/>
      </c>
      <c r="K323" s="14" t="str">
        <f t="shared" si="3"/>
        <v/>
      </c>
    </row>
    <row r="324">
      <c r="A324" s="21">
        <f>Scores!A325</f>
        <v>314</v>
      </c>
      <c r="B324" s="14"/>
      <c r="C324" s="14"/>
      <c r="D324" s="14"/>
      <c r="E324" s="14"/>
      <c r="F324" s="14"/>
      <c r="G324" s="14" t="str">
        <f>IFERROR(__xludf.DUMMYFUNCTION("IFERROR(MIN(FILTER(B324:F324, B324:F324&lt;&gt;0)),"""")"),"")</f>
        <v/>
      </c>
      <c r="H324" s="14" t="str">
        <f>IF(OR(G324=Compilation!B322,G324=""),"",G324-Compilation!B322)</f>
        <v/>
      </c>
      <c r="I324" s="38"/>
      <c r="J324" s="14" t="str">
        <f t="shared" si="2"/>
        <v/>
      </c>
      <c r="K324" s="14" t="str">
        <f t="shared" si="3"/>
        <v/>
      </c>
    </row>
    <row r="325">
      <c r="A325" s="21">
        <f>Scores!A326</f>
        <v>315</v>
      </c>
      <c r="B325" s="14"/>
      <c r="C325" s="14"/>
      <c r="D325" s="14"/>
      <c r="E325" s="14"/>
      <c r="F325" s="14"/>
      <c r="G325" s="14" t="str">
        <f>IFERROR(__xludf.DUMMYFUNCTION("IFERROR(MIN(FILTER(B325:F325, B325:F325&lt;&gt;0)),"""")"),"")</f>
        <v/>
      </c>
      <c r="H325" s="14" t="str">
        <f>IF(OR(G325=Compilation!B323,G325=""),"",G325-Compilation!B323)</f>
        <v/>
      </c>
      <c r="I325" s="38"/>
      <c r="J325" s="14" t="str">
        <f t="shared" si="2"/>
        <v/>
      </c>
      <c r="K325" s="14" t="str">
        <f t="shared" si="3"/>
        <v/>
      </c>
    </row>
    <row r="326">
      <c r="A326" s="21">
        <f>Scores!A327</f>
        <v>316</v>
      </c>
      <c r="B326" s="14"/>
      <c r="C326" s="14"/>
      <c r="D326" s="14"/>
      <c r="E326" s="14"/>
      <c r="F326" s="14"/>
      <c r="G326" s="14" t="str">
        <f>IFERROR(__xludf.DUMMYFUNCTION("IFERROR(MIN(FILTER(B326:F326, B326:F326&lt;&gt;0)),"""")"),"")</f>
        <v/>
      </c>
      <c r="H326" s="14" t="str">
        <f>IF(OR(G326=Compilation!B324,G326=""),"",G326-Compilation!B324)</f>
        <v/>
      </c>
      <c r="I326" s="38"/>
      <c r="J326" s="14" t="str">
        <f t="shared" si="2"/>
        <v/>
      </c>
      <c r="K326" s="14" t="str">
        <f t="shared" si="3"/>
        <v/>
      </c>
    </row>
    <row r="327">
      <c r="A327" s="21">
        <f>Scores!A328</f>
        <v>317</v>
      </c>
      <c r="B327" s="14"/>
      <c r="C327" s="14"/>
      <c r="D327" s="14"/>
      <c r="E327" s="14"/>
      <c r="F327" s="14"/>
      <c r="G327" s="14" t="str">
        <f>IFERROR(__xludf.DUMMYFUNCTION("IFERROR(MIN(FILTER(B327:F327, B327:F327&lt;&gt;0)),"""")"),"")</f>
        <v/>
      </c>
      <c r="H327" s="14" t="str">
        <f>IF(OR(G327=Compilation!B325,G327=""),"",G327-Compilation!B325)</f>
        <v/>
      </c>
      <c r="I327" s="38"/>
      <c r="J327" s="14" t="str">
        <f t="shared" si="2"/>
        <v/>
      </c>
      <c r="K327" s="14" t="str">
        <f t="shared" si="3"/>
        <v/>
      </c>
    </row>
    <row r="328">
      <c r="A328" s="21">
        <f>Scores!A329</f>
        <v>318</v>
      </c>
      <c r="B328" s="14"/>
      <c r="C328" s="14"/>
      <c r="D328" s="14"/>
      <c r="E328" s="14"/>
      <c r="F328" s="14"/>
      <c r="G328" s="14" t="str">
        <f>IFERROR(__xludf.DUMMYFUNCTION("IFERROR(MIN(FILTER(B328:F328, B328:F328&lt;&gt;0)),"""")"),"")</f>
        <v/>
      </c>
      <c r="H328" s="14" t="str">
        <f>IF(OR(G328=Compilation!B326,G328=""),"",G328-Compilation!B326)</f>
        <v/>
      </c>
      <c r="I328" s="38"/>
      <c r="J328" s="14" t="str">
        <f t="shared" si="2"/>
        <v/>
      </c>
      <c r="K328" s="14" t="str">
        <f t="shared" si="3"/>
        <v/>
      </c>
    </row>
    <row r="329">
      <c r="A329" s="21">
        <f>Scores!A330</f>
        <v>319</v>
      </c>
      <c r="B329" s="14"/>
      <c r="C329" s="14"/>
      <c r="D329" s="14"/>
      <c r="E329" s="14"/>
      <c r="F329" s="14"/>
      <c r="G329" s="14" t="str">
        <f>IFERROR(__xludf.DUMMYFUNCTION("IFERROR(MIN(FILTER(B329:F329, B329:F329&lt;&gt;0)),"""")"),"")</f>
        <v/>
      </c>
      <c r="H329" s="14" t="str">
        <f>IF(OR(G329=Compilation!B327,G329=""),"",G329-Compilation!B327)</f>
        <v/>
      </c>
      <c r="I329" s="38"/>
      <c r="J329" s="14" t="str">
        <f t="shared" si="2"/>
        <v/>
      </c>
      <c r="K329" s="14" t="str">
        <f t="shared" si="3"/>
        <v/>
      </c>
    </row>
    <row r="330">
      <c r="A330" s="21">
        <f>Scores!A331</f>
        <v>320</v>
      </c>
      <c r="B330" s="14"/>
      <c r="C330" s="14"/>
      <c r="D330" s="14"/>
      <c r="E330" s="14"/>
      <c r="F330" s="14"/>
      <c r="G330" s="14" t="str">
        <f>IFERROR(__xludf.DUMMYFUNCTION("IFERROR(MIN(FILTER(B330:F330, B330:F330&lt;&gt;0)),"""")"),"")</f>
        <v/>
      </c>
      <c r="H330" s="14" t="str">
        <f>IF(OR(G330=Compilation!B328,G330=""),"",G330-Compilation!B328)</f>
        <v/>
      </c>
      <c r="I330" s="38"/>
      <c r="J330" s="14" t="str">
        <f t="shared" si="2"/>
        <v/>
      </c>
      <c r="K330" s="14" t="str">
        <f t="shared" si="3"/>
        <v/>
      </c>
    </row>
    <row r="331">
      <c r="A331" s="21">
        <f>Scores!A332</f>
        <v>321</v>
      </c>
      <c r="B331" s="14"/>
      <c r="C331" s="14"/>
      <c r="D331" s="14"/>
      <c r="E331" s="14"/>
      <c r="F331" s="14"/>
      <c r="G331" s="14" t="str">
        <f>IFERROR(__xludf.DUMMYFUNCTION("IFERROR(MIN(FILTER(B331:F331, B331:F331&lt;&gt;0)),"""")"),"")</f>
        <v/>
      </c>
      <c r="H331" s="14" t="str">
        <f>IF(OR(G331=Compilation!B329,G331=""),"",G331-Compilation!B329)</f>
        <v/>
      </c>
      <c r="I331" s="38"/>
      <c r="J331" s="14" t="str">
        <f t="shared" si="2"/>
        <v/>
      </c>
      <c r="K331" s="14" t="str">
        <f t="shared" si="3"/>
        <v/>
      </c>
    </row>
    <row r="332">
      <c r="A332" s="21">
        <f>Scores!A333</f>
        <v>322</v>
      </c>
      <c r="B332" s="14"/>
      <c r="C332" s="14"/>
      <c r="D332" s="14"/>
      <c r="E332" s="14"/>
      <c r="F332" s="14"/>
      <c r="G332" s="14" t="str">
        <f>IFERROR(__xludf.DUMMYFUNCTION("IFERROR(MIN(FILTER(B332:F332, B332:F332&lt;&gt;0)),"""")"),"")</f>
        <v/>
      </c>
      <c r="H332" s="14" t="str">
        <f>IF(OR(G332=Compilation!B330,G332=""),"",G332-Compilation!B330)</f>
        <v/>
      </c>
      <c r="I332" s="38"/>
      <c r="J332" s="14" t="str">
        <f t="shared" si="2"/>
        <v/>
      </c>
      <c r="K332" s="14" t="str">
        <f t="shared" si="3"/>
        <v/>
      </c>
    </row>
    <row r="333">
      <c r="A333" s="21">
        <f>Scores!A334</f>
        <v>323</v>
      </c>
      <c r="B333" s="14"/>
      <c r="C333" s="14"/>
      <c r="D333" s="14"/>
      <c r="E333" s="14"/>
      <c r="F333" s="14"/>
      <c r="G333" s="14" t="str">
        <f>IFERROR(__xludf.DUMMYFUNCTION("IFERROR(MIN(FILTER(B333:F333, B333:F333&lt;&gt;0)),"""")"),"")</f>
        <v/>
      </c>
      <c r="H333" s="14" t="str">
        <f>IF(OR(G333=Compilation!B331,G333=""),"",G333-Compilation!B331)</f>
        <v/>
      </c>
      <c r="I333" s="38"/>
      <c r="J333" s="14" t="str">
        <f t="shared" si="2"/>
        <v/>
      </c>
      <c r="K333" s="14" t="str">
        <f t="shared" si="3"/>
        <v/>
      </c>
    </row>
    <row r="334">
      <c r="A334" s="21">
        <f>Scores!A335</f>
        <v>324</v>
      </c>
      <c r="B334" s="14"/>
      <c r="C334" s="14"/>
      <c r="D334" s="14"/>
      <c r="E334" s="14"/>
      <c r="F334" s="14"/>
      <c r="G334" s="14" t="str">
        <f>IFERROR(__xludf.DUMMYFUNCTION("IFERROR(MIN(FILTER(B334:F334, B334:F334&lt;&gt;0)),"""")"),"")</f>
        <v/>
      </c>
      <c r="H334" s="14" t="str">
        <f>IF(OR(G334=Compilation!B332,G334=""),"",G334-Compilation!B332)</f>
        <v/>
      </c>
      <c r="I334" s="38"/>
      <c r="J334" s="14" t="str">
        <f t="shared" si="2"/>
        <v/>
      </c>
      <c r="K334" s="14" t="str">
        <f t="shared" si="3"/>
        <v/>
      </c>
    </row>
    <row r="335">
      <c r="A335" s="21">
        <f>Scores!A336</f>
        <v>325</v>
      </c>
      <c r="B335" s="14"/>
      <c r="C335" s="14"/>
      <c r="D335" s="14"/>
      <c r="E335" s="14"/>
      <c r="F335" s="14"/>
      <c r="G335" s="14" t="str">
        <f>IFERROR(__xludf.DUMMYFUNCTION("IFERROR(MIN(FILTER(B335:F335, B335:F335&lt;&gt;0)),"""")"),"")</f>
        <v/>
      </c>
      <c r="H335" s="14" t="str">
        <f>IF(OR(G335=Compilation!B333,G335=""),"",G335-Compilation!B333)</f>
        <v/>
      </c>
      <c r="I335" s="38"/>
      <c r="J335" s="14" t="str">
        <f t="shared" si="2"/>
        <v/>
      </c>
      <c r="K335" s="14" t="str">
        <f t="shared" si="3"/>
        <v/>
      </c>
    </row>
    <row r="336">
      <c r="A336" s="21">
        <f>Scores!A337</f>
        <v>326</v>
      </c>
      <c r="B336" s="14"/>
      <c r="C336" s="14"/>
      <c r="D336" s="14"/>
      <c r="E336" s="14"/>
      <c r="F336" s="14"/>
      <c r="G336" s="14" t="str">
        <f>IFERROR(__xludf.DUMMYFUNCTION("IFERROR(MIN(FILTER(B336:F336, B336:F336&lt;&gt;0)),"""")"),"")</f>
        <v/>
      </c>
      <c r="H336" s="14" t="str">
        <f>IF(OR(G336=Compilation!B334,G336=""),"",G336-Compilation!B334)</f>
        <v/>
      </c>
      <c r="I336" s="38"/>
      <c r="J336" s="14" t="str">
        <f t="shared" si="2"/>
        <v/>
      </c>
      <c r="K336" s="14" t="str">
        <f t="shared" si="3"/>
        <v/>
      </c>
    </row>
    <row r="337">
      <c r="A337" s="21">
        <f>Scores!A338</f>
        <v>327</v>
      </c>
      <c r="B337" s="14"/>
      <c r="C337" s="14"/>
      <c r="D337" s="14"/>
      <c r="E337" s="14"/>
      <c r="F337" s="14"/>
      <c r="G337" s="14" t="str">
        <f>IFERROR(__xludf.DUMMYFUNCTION("IFERROR(MIN(FILTER(B337:F337, B337:F337&lt;&gt;0)),"""")"),"")</f>
        <v/>
      </c>
      <c r="H337" s="14" t="str">
        <f>IF(OR(G337=Compilation!B335,G337=""),"",G337-Compilation!B335)</f>
        <v/>
      </c>
      <c r="I337" s="38"/>
      <c r="J337" s="14" t="str">
        <f t="shared" si="2"/>
        <v/>
      </c>
      <c r="K337" s="14" t="str">
        <f t="shared" si="3"/>
        <v/>
      </c>
    </row>
    <row r="338">
      <c r="A338" s="21">
        <f>Scores!A339</f>
        <v>328</v>
      </c>
      <c r="B338" s="14"/>
      <c r="C338" s="14"/>
      <c r="D338" s="14"/>
      <c r="E338" s="14"/>
      <c r="F338" s="14"/>
      <c r="G338" s="14" t="str">
        <f>IFERROR(__xludf.DUMMYFUNCTION("IFERROR(MIN(FILTER(B338:F338, B338:F338&lt;&gt;0)),"""")"),"")</f>
        <v/>
      </c>
      <c r="H338" s="14" t="str">
        <f>IF(OR(G338=Compilation!B336,G338=""),"",G338-Compilation!B336)</f>
        <v/>
      </c>
      <c r="I338" s="38"/>
      <c r="J338" s="14" t="str">
        <f t="shared" si="2"/>
        <v/>
      </c>
      <c r="K338" s="14" t="str">
        <f t="shared" si="3"/>
        <v/>
      </c>
    </row>
    <row r="339">
      <c r="A339" s="21">
        <f>Scores!A340</f>
        <v>329</v>
      </c>
      <c r="B339" s="14"/>
      <c r="C339" s="14"/>
      <c r="D339" s="14"/>
      <c r="E339" s="14"/>
      <c r="F339" s="14"/>
      <c r="G339" s="14" t="str">
        <f>IFERROR(__xludf.DUMMYFUNCTION("IFERROR(MIN(FILTER(B339:F339, B339:F339&lt;&gt;0)),"""")"),"")</f>
        <v/>
      </c>
      <c r="H339" s="14" t="str">
        <f>IF(OR(G339=Compilation!B337,G339=""),"",G339-Compilation!B337)</f>
        <v/>
      </c>
      <c r="I339" s="38"/>
      <c r="J339" s="14" t="str">
        <f t="shared" si="2"/>
        <v/>
      </c>
      <c r="K339" s="14" t="str">
        <f t="shared" si="3"/>
        <v/>
      </c>
    </row>
    <row r="340">
      <c r="A340" s="21">
        <f>Scores!A341</f>
        <v>330</v>
      </c>
      <c r="B340" s="14"/>
      <c r="C340" s="14"/>
      <c r="D340" s="14"/>
      <c r="E340" s="14"/>
      <c r="F340" s="14"/>
      <c r="G340" s="14" t="str">
        <f>IFERROR(__xludf.DUMMYFUNCTION("IFERROR(MIN(FILTER(B340:F340, B340:F340&lt;&gt;0)),"""")"),"")</f>
        <v/>
      </c>
      <c r="H340" s="14" t="str">
        <f>IF(OR(G340=Compilation!B338,G340=""),"",G340-Compilation!B338)</f>
        <v/>
      </c>
      <c r="I340" s="38"/>
      <c r="J340" s="14" t="str">
        <f t="shared" si="2"/>
        <v/>
      </c>
      <c r="K340" s="14" t="str">
        <f t="shared" si="3"/>
        <v/>
      </c>
    </row>
    <row r="341">
      <c r="A341" s="21">
        <f>Scores!A342</f>
        <v>331</v>
      </c>
      <c r="B341" s="14"/>
      <c r="C341" s="14"/>
      <c r="D341" s="14"/>
      <c r="E341" s="14"/>
      <c r="F341" s="14"/>
      <c r="G341" s="14" t="str">
        <f>IFERROR(__xludf.DUMMYFUNCTION("IFERROR(MIN(FILTER(B341:F341, B341:F341&lt;&gt;0)),"""")"),"")</f>
        <v/>
      </c>
      <c r="H341" s="14" t="str">
        <f>IF(OR(G341=Compilation!B339,G341=""),"",G341-Compilation!B339)</f>
        <v/>
      </c>
      <c r="I341" s="38"/>
      <c r="J341" s="14" t="str">
        <f t="shared" si="2"/>
        <v/>
      </c>
      <c r="K341" s="14" t="str">
        <f t="shared" si="3"/>
        <v/>
      </c>
    </row>
    <row r="342">
      <c r="A342" s="21">
        <f>Scores!A343</f>
        <v>332</v>
      </c>
      <c r="B342" s="14"/>
      <c r="C342" s="14"/>
      <c r="D342" s="14"/>
      <c r="E342" s="14"/>
      <c r="F342" s="14"/>
      <c r="G342" s="14" t="str">
        <f>IFERROR(__xludf.DUMMYFUNCTION("IFERROR(MIN(FILTER(B342:F342, B342:F342&lt;&gt;0)),"""")"),"")</f>
        <v/>
      </c>
      <c r="H342" s="14" t="str">
        <f>IF(OR(G342=Compilation!B340,G342=""),"",G342-Compilation!B340)</f>
        <v/>
      </c>
      <c r="I342" s="38"/>
      <c r="J342" s="14" t="str">
        <f t="shared" si="2"/>
        <v/>
      </c>
      <c r="K342" s="14" t="str">
        <f t="shared" si="3"/>
        <v/>
      </c>
    </row>
    <row r="343">
      <c r="A343" s="21">
        <f>Scores!A344</f>
        <v>333</v>
      </c>
      <c r="B343" s="14"/>
      <c r="C343" s="14"/>
      <c r="D343" s="14"/>
      <c r="E343" s="14"/>
      <c r="F343" s="14"/>
      <c r="G343" s="14" t="str">
        <f>IFERROR(__xludf.DUMMYFUNCTION("IFERROR(MIN(FILTER(B343:F343, B343:F343&lt;&gt;0)),"""")"),"")</f>
        <v/>
      </c>
      <c r="H343" s="14" t="str">
        <f>IF(OR(G343=Compilation!B341,G343=""),"",G343-Compilation!B341)</f>
        <v/>
      </c>
      <c r="I343" s="38"/>
      <c r="J343" s="14" t="str">
        <f t="shared" si="2"/>
        <v/>
      </c>
      <c r="K343" s="14" t="str">
        <f t="shared" si="3"/>
        <v/>
      </c>
    </row>
    <row r="344">
      <c r="A344" s="21">
        <f>Scores!A345</f>
        <v>334</v>
      </c>
      <c r="B344" s="14"/>
      <c r="C344" s="14"/>
      <c r="D344" s="14"/>
      <c r="E344" s="14"/>
      <c r="F344" s="14"/>
      <c r="G344" s="14" t="str">
        <f>IFERROR(__xludf.DUMMYFUNCTION("IFERROR(MIN(FILTER(B344:F344, B344:F344&lt;&gt;0)),"""")"),"")</f>
        <v/>
      </c>
      <c r="H344" s="14" t="str">
        <f>IF(OR(G344=Compilation!B342,G344=""),"",G344-Compilation!B342)</f>
        <v/>
      </c>
      <c r="I344" s="38"/>
      <c r="J344" s="14" t="str">
        <f t="shared" si="2"/>
        <v/>
      </c>
      <c r="K344" s="14" t="str">
        <f t="shared" si="3"/>
        <v/>
      </c>
    </row>
    <row r="345">
      <c r="A345" s="21">
        <f>Scores!A346</f>
        <v>335</v>
      </c>
      <c r="B345" s="14"/>
      <c r="C345" s="14"/>
      <c r="D345" s="14"/>
      <c r="E345" s="14"/>
      <c r="F345" s="14"/>
      <c r="G345" s="14" t="str">
        <f>IFERROR(__xludf.DUMMYFUNCTION("IFERROR(MIN(FILTER(B345:F345, B345:F345&lt;&gt;0)),"""")"),"")</f>
        <v/>
      </c>
      <c r="H345" s="14" t="str">
        <f>IF(OR(G345=Compilation!B343,G345=""),"",G345-Compilation!B343)</f>
        <v/>
      </c>
      <c r="I345" s="38"/>
      <c r="J345" s="14" t="str">
        <f t="shared" si="2"/>
        <v/>
      </c>
      <c r="K345" s="14" t="str">
        <f t="shared" si="3"/>
        <v/>
      </c>
    </row>
    <row r="346">
      <c r="A346" s="21">
        <f>Scores!A347</f>
        <v>336</v>
      </c>
      <c r="B346" s="14"/>
      <c r="C346" s="14"/>
      <c r="D346" s="14"/>
      <c r="E346" s="14"/>
      <c r="F346" s="14"/>
      <c r="G346" s="14" t="str">
        <f>IFERROR(__xludf.DUMMYFUNCTION("IFERROR(MIN(FILTER(B346:F346, B346:F346&lt;&gt;0)),"""")"),"")</f>
        <v/>
      </c>
      <c r="H346" s="14" t="str">
        <f>IF(OR(G346=Compilation!B344,G346=""),"",G346-Compilation!B344)</f>
        <v/>
      </c>
      <c r="I346" s="38"/>
      <c r="J346" s="14" t="str">
        <f t="shared" si="2"/>
        <v/>
      </c>
      <c r="K346" s="14" t="str">
        <f t="shared" si="3"/>
        <v/>
      </c>
    </row>
    <row r="347">
      <c r="A347" s="21">
        <f>Scores!A348</f>
        <v>337</v>
      </c>
      <c r="B347" s="14"/>
      <c r="C347" s="14"/>
      <c r="D347" s="14"/>
      <c r="E347" s="14"/>
      <c r="F347" s="14"/>
      <c r="G347" s="14" t="str">
        <f>IFERROR(__xludf.DUMMYFUNCTION("IFERROR(MIN(FILTER(B347:F347, B347:F347&lt;&gt;0)),"""")"),"")</f>
        <v/>
      </c>
      <c r="H347" s="14" t="str">
        <f>IF(OR(G347=Compilation!B345,G347=""),"",G347-Compilation!B345)</f>
        <v/>
      </c>
      <c r="I347" s="38"/>
      <c r="J347" s="14" t="str">
        <f t="shared" si="2"/>
        <v/>
      </c>
      <c r="K347" s="14" t="str">
        <f t="shared" si="3"/>
        <v/>
      </c>
    </row>
    <row r="348">
      <c r="A348" s="21">
        <f>Scores!A349</f>
        <v>338</v>
      </c>
      <c r="B348" s="14"/>
      <c r="C348" s="14"/>
      <c r="D348" s="14"/>
      <c r="E348" s="14"/>
      <c r="F348" s="14"/>
      <c r="G348" s="14" t="str">
        <f>IFERROR(__xludf.DUMMYFUNCTION("IFERROR(MIN(FILTER(B348:F348, B348:F348&lt;&gt;0)),"""")"),"")</f>
        <v/>
      </c>
      <c r="H348" s="14" t="str">
        <f>IF(OR(G348=Compilation!B346,G348=""),"",G348-Compilation!B346)</f>
        <v/>
      </c>
      <c r="I348" s="38"/>
      <c r="J348" s="14" t="str">
        <f t="shared" si="2"/>
        <v/>
      </c>
      <c r="K348" s="14" t="str">
        <f t="shared" si="3"/>
        <v/>
      </c>
    </row>
    <row r="349">
      <c r="A349" s="21">
        <f>Scores!A350</f>
        <v>339</v>
      </c>
      <c r="B349" s="14"/>
      <c r="C349" s="14"/>
      <c r="D349" s="14"/>
      <c r="E349" s="14"/>
      <c r="F349" s="14"/>
      <c r="G349" s="14" t="str">
        <f>IFERROR(__xludf.DUMMYFUNCTION("IFERROR(MIN(FILTER(B349:F349, B349:F349&lt;&gt;0)),"""")"),"")</f>
        <v/>
      </c>
      <c r="H349" s="14" t="str">
        <f>IF(OR(G349=Compilation!B347,G349=""),"",G349-Compilation!B347)</f>
        <v/>
      </c>
      <c r="I349" s="38"/>
      <c r="J349" s="14" t="str">
        <f t="shared" si="2"/>
        <v/>
      </c>
      <c r="K349" s="14" t="str">
        <f t="shared" si="3"/>
        <v/>
      </c>
    </row>
    <row r="350">
      <c r="A350" s="21">
        <f>Scores!A351</f>
        <v>340</v>
      </c>
      <c r="B350" s="14"/>
      <c r="C350" s="14"/>
      <c r="D350" s="14"/>
      <c r="E350" s="14"/>
      <c r="F350" s="14"/>
      <c r="G350" s="14" t="str">
        <f>IFERROR(__xludf.DUMMYFUNCTION("IFERROR(MIN(FILTER(B350:F350, B350:F350&lt;&gt;0)),"""")"),"")</f>
        <v/>
      </c>
      <c r="H350" s="14" t="str">
        <f>IF(OR(G350=Compilation!B348,G350=""),"",G350-Compilation!B348)</f>
        <v/>
      </c>
      <c r="I350" s="38"/>
      <c r="J350" s="14" t="str">
        <f t="shared" si="2"/>
        <v/>
      </c>
      <c r="K350" s="14" t="str">
        <f t="shared" si="3"/>
        <v/>
      </c>
    </row>
    <row r="351">
      <c r="A351" s="21">
        <f>Scores!A352</f>
        <v>341</v>
      </c>
      <c r="B351" s="14"/>
      <c r="C351" s="14"/>
      <c r="D351" s="14"/>
      <c r="E351" s="14"/>
      <c r="F351" s="14"/>
      <c r="G351" s="14" t="str">
        <f>IFERROR(__xludf.DUMMYFUNCTION("IFERROR(MIN(FILTER(B351:F351, B351:F351&lt;&gt;0)),"""")"),"")</f>
        <v/>
      </c>
      <c r="H351" s="14" t="str">
        <f>IF(OR(G351=Compilation!B349,G351=""),"",G351-Compilation!B349)</f>
        <v/>
      </c>
      <c r="I351" s="38"/>
      <c r="J351" s="14" t="str">
        <f t="shared" si="2"/>
        <v/>
      </c>
      <c r="K351" s="14" t="str">
        <f t="shared" si="3"/>
        <v/>
      </c>
    </row>
    <row r="352">
      <c r="A352" s="21">
        <f>Scores!A353</f>
        <v>342</v>
      </c>
      <c r="B352" s="14"/>
      <c r="C352" s="14"/>
      <c r="D352" s="14"/>
      <c r="E352" s="14"/>
      <c r="F352" s="14"/>
      <c r="G352" s="14" t="str">
        <f>IFERROR(__xludf.DUMMYFUNCTION("IFERROR(MIN(FILTER(B352:F352, B352:F352&lt;&gt;0)),"""")"),"")</f>
        <v/>
      </c>
      <c r="H352" s="14" t="str">
        <f>IF(OR(G352=Compilation!B350,G352=""),"",G352-Compilation!B350)</f>
        <v/>
      </c>
      <c r="I352" s="38"/>
      <c r="J352" s="14" t="str">
        <f t="shared" si="2"/>
        <v/>
      </c>
      <c r="K352" s="14" t="str">
        <f t="shared" si="3"/>
        <v/>
      </c>
    </row>
    <row r="353">
      <c r="A353" s="21">
        <f>Scores!A354</f>
        <v>343</v>
      </c>
      <c r="B353" s="14"/>
      <c r="C353" s="14"/>
      <c r="D353" s="14"/>
      <c r="E353" s="14"/>
      <c r="F353" s="14"/>
      <c r="G353" s="14" t="str">
        <f>IFERROR(__xludf.DUMMYFUNCTION("IFERROR(MIN(FILTER(B353:F353, B353:F353&lt;&gt;0)),"""")"),"")</f>
        <v/>
      </c>
      <c r="H353" s="14" t="str">
        <f>IF(OR(G353=Compilation!B351,G353=""),"",G353-Compilation!B351)</f>
        <v/>
      </c>
      <c r="I353" s="38"/>
      <c r="J353" s="14" t="str">
        <f t="shared" si="2"/>
        <v/>
      </c>
      <c r="K353" s="14" t="str">
        <f t="shared" si="3"/>
        <v/>
      </c>
    </row>
    <row r="354">
      <c r="A354" s="21">
        <f>Scores!A355</f>
        <v>344</v>
      </c>
      <c r="B354" s="14"/>
      <c r="C354" s="14"/>
      <c r="D354" s="14"/>
      <c r="E354" s="14"/>
      <c r="F354" s="14"/>
      <c r="G354" s="14" t="str">
        <f>IFERROR(__xludf.DUMMYFUNCTION("IFERROR(MIN(FILTER(B354:F354, B354:F354&lt;&gt;0)),"""")"),"")</f>
        <v/>
      </c>
      <c r="H354" s="14" t="str">
        <f>IF(OR(G354=Compilation!B352,G354=""),"",G354-Compilation!B352)</f>
        <v/>
      </c>
      <c r="I354" s="38"/>
      <c r="J354" s="14" t="str">
        <f t="shared" si="2"/>
        <v/>
      </c>
      <c r="K354" s="14" t="str">
        <f t="shared" si="3"/>
        <v/>
      </c>
    </row>
    <row r="355">
      <c r="A355" s="21">
        <f>Scores!A356</f>
        <v>345</v>
      </c>
      <c r="B355" s="14"/>
      <c r="C355" s="14"/>
      <c r="D355" s="14"/>
      <c r="E355" s="14"/>
      <c r="F355" s="14"/>
      <c r="G355" s="14" t="str">
        <f>IFERROR(__xludf.DUMMYFUNCTION("IFERROR(MIN(FILTER(B355:F355, B355:F355&lt;&gt;0)),"""")"),"")</f>
        <v/>
      </c>
      <c r="H355" s="14" t="str">
        <f>IF(OR(G355=Compilation!B353,G355=""),"",G355-Compilation!B353)</f>
        <v/>
      </c>
      <c r="I355" s="38"/>
      <c r="J355" s="14" t="str">
        <f t="shared" si="2"/>
        <v/>
      </c>
      <c r="K355" s="14" t="str">
        <f t="shared" si="3"/>
        <v/>
      </c>
    </row>
    <row r="356">
      <c r="A356" s="21">
        <f>Scores!A357</f>
        <v>346</v>
      </c>
      <c r="B356" s="14"/>
      <c r="C356" s="14"/>
      <c r="D356" s="14"/>
      <c r="E356" s="14"/>
      <c r="F356" s="14"/>
      <c r="G356" s="14" t="str">
        <f>IFERROR(__xludf.DUMMYFUNCTION("IFERROR(MIN(FILTER(B356:F356, B356:F356&lt;&gt;0)),"""")"),"")</f>
        <v/>
      </c>
      <c r="H356" s="14" t="str">
        <f>IF(OR(G356=Compilation!B354,G356=""),"",G356-Compilation!B354)</f>
        <v/>
      </c>
      <c r="I356" s="38"/>
      <c r="J356" s="14" t="str">
        <f t="shared" si="2"/>
        <v/>
      </c>
      <c r="K356" s="14" t="str">
        <f t="shared" si="3"/>
        <v/>
      </c>
    </row>
    <row r="357">
      <c r="A357" s="21">
        <f>Scores!A358</f>
        <v>347</v>
      </c>
      <c r="B357" s="14"/>
      <c r="C357" s="14"/>
      <c r="D357" s="14"/>
      <c r="E357" s="14"/>
      <c r="F357" s="14"/>
      <c r="G357" s="14" t="str">
        <f>IFERROR(__xludf.DUMMYFUNCTION("IFERROR(MIN(FILTER(B357:F357, B357:F357&lt;&gt;0)),"""")"),"")</f>
        <v/>
      </c>
      <c r="H357" s="14" t="str">
        <f>IF(OR(G357=Compilation!B355,G357=""),"",G357-Compilation!B355)</f>
        <v/>
      </c>
      <c r="I357" s="38"/>
      <c r="J357" s="14" t="str">
        <f t="shared" si="2"/>
        <v/>
      </c>
      <c r="K357" s="14" t="str">
        <f t="shared" si="3"/>
        <v/>
      </c>
    </row>
    <row r="358">
      <c r="A358" s="21">
        <f>Scores!A359</f>
        <v>348</v>
      </c>
      <c r="B358" s="14"/>
      <c r="C358" s="14"/>
      <c r="D358" s="14"/>
      <c r="E358" s="14"/>
      <c r="F358" s="14"/>
      <c r="G358" s="14" t="str">
        <f>IFERROR(__xludf.DUMMYFUNCTION("IFERROR(MIN(FILTER(B358:F358, B358:F358&lt;&gt;0)),"""")"),"")</f>
        <v/>
      </c>
      <c r="H358" s="14" t="str">
        <f>IF(OR(G358=Compilation!B356,G358=""),"",G358-Compilation!B356)</f>
        <v/>
      </c>
      <c r="I358" s="38"/>
      <c r="J358" s="14" t="str">
        <f t="shared" si="2"/>
        <v/>
      </c>
      <c r="K358" s="14" t="str">
        <f t="shared" si="3"/>
        <v/>
      </c>
    </row>
    <row r="359">
      <c r="A359" s="21">
        <f>Scores!A360</f>
        <v>349</v>
      </c>
      <c r="B359" s="14"/>
      <c r="C359" s="14"/>
      <c r="D359" s="14"/>
      <c r="E359" s="14"/>
      <c r="F359" s="14"/>
      <c r="G359" s="14" t="str">
        <f>IFERROR(__xludf.DUMMYFUNCTION("IFERROR(MIN(FILTER(B359:F359, B359:F359&lt;&gt;0)),"""")"),"")</f>
        <v/>
      </c>
      <c r="H359" s="14" t="str">
        <f>IF(OR(G359=Compilation!B357,G359=""),"",G359-Compilation!B357)</f>
        <v/>
      </c>
      <c r="I359" s="38"/>
      <c r="J359" s="14" t="str">
        <f t="shared" si="2"/>
        <v/>
      </c>
      <c r="K359" s="14" t="str">
        <f t="shared" si="3"/>
        <v/>
      </c>
    </row>
    <row r="360">
      <c r="A360" s="21">
        <f>Scores!A361</f>
        <v>350</v>
      </c>
      <c r="B360" s="14"/>
      <c r="C360" s="14"/>
      <c r="D360" s="14"/>
      <c r="E360" s="14"/>
      <c r="F360" s="14"/>
      <c r="G360" s="14" t="str">
        <f>IFERROR(__xludf.DUMMYFUNCTION("IFERROR(MIN(FILTER(B360:F360, B360:F360&lt;&gt;0)),"""")"),"")</f>
        <v/>
      </c>
      <c r="H360" s="14" t="str">
        <f>IF(OR(G360=Compilation!B358,G360=""),"",G360-Compilation!B358)</f>
        <v/>
      </c>
      <c r="I360" s="38"/>
      <c r="J360" s="14" t="str">
        <f t="shared" si="2"/>
        <v/>
      </c>
      <c r="K360" s="14" t="str">
        <f t="shared" si="3"/>
        <v/>
      </c>
    </row>
    <row r="361">
      <c r="A361" s="21">
        <f>Scores!A362</f>
        <v>351</v>
      </c>
      <c r="B361" s="14"/>
      <c r="C361" s="14"/>
      <c r="D361" s="14"/>
      <c r="E361" s="14"/>
      <c r="F361" s="14"/>
      <c r="G361" s="14" t="str">
        <f>IFERROR(__xludf.DUMMYFUNCTION("IFERROR(MIN(FILTER(B361:F361, B361:F361&lt;&gt;0)),"""")"),"")</f>
        <v/>
      </c>
      <c r="H361" s="14" t="str">
        <f>IF(OR(G361=Compilation!B359,G361=""),"",G361-Compilation!B359)</f>
        <v/>
      </c>
      <c r="I361" s="38"/>
      <c r="J361" s="14" t="str">
        <f t="shared" si="2"/>
        <v/>
      </c>
      <c r="K361" s="14" t="str">
        <f t="shared" si="3"/>
        <v/>
      </c>
    </row>
    <row r="362">
      <c r="A362" s="21">
        <f>Scores!A363</f>
        <v>352</v>
      </c>
      <c r="B362" s="14"/>
      <c r="C362" s="14"/>
      <c r="D362" s="14"/>
      <c r="E362" s="14"/>
      <c r="F362" s="14"/>
      <c r="G362" s="14" t="str">
        <f>IFERROR(__xludf.DUMMYFUNCTION("IFERROR(MIN(FILTER(B362:F362, B362:F362&lt;&gt;0)),"""")"),"")</f>
        <v/>
      </c>
      <c r="H362" s="14" t="str">
        <f>IF(OR(G362=Compilation!B360,G362=""),"",G362-Compilation!B360)</f>
        <v/>
      </c>
      <c r="I362" s="38"/>
      <c r="J362" s="14" t="str">
        <f t="shared" si="2"/>
        <v/>
      </c>
      <c r="K362" s="14" t="str">
        <f t="shared" si="3"/>
        <v/>
      </c>
    </row>
    <row r="363">
      <c r="A363" s="21">
        <f>Scores!A364</f>
        <v>353</v>
      </c>
      <c r="B363" s="14"/>
      <c r="C363" s="14"/>
      <c r="D363" s="14"/>
      <c r="E363" s="14"/>
      <c r="F363" s="14"/>
      <c r="G363" s="14" t="str">
        <f>IFERROR(__xludf.DUMMYFUNCTION("IFERROR(MIN(FILTER(B363:F363, B363:F363&lt;&gt;0)),"""")"),"")</f>
        <v/>
      </c>
      <c r="H363" s="14" t="str">
        <f>IF(OR(G363=Compilation!B361,G363=""),"",G363-Compilation!B361)</f>
        <v/>
      </c>
      <c r="I363" s="38"/>
      <c r="J363" s="14" t="str">
        <f t="shared" si="2"/>
        <v/>
      </c>
      <c r="K363" s="14" t="str">
        <f t="shared" si="3"/>
        <v/>
      </c>
    </row>
    <row r="364">
      <c r="A364" s="21">
        <f>Scores!A365</f>
        <v>354</v>
      </c>
      <c r="B364" s="14"/>
      <c r="C364" s="14"/>
      <c r="D364" s="14"/>
      <c r="E364" s="14"/>
      <c r="F364" s="14"/>
      <c r="G364" s="14" t="str">
        <f>IFERROR(__xludf.DUMMYFUNCTION("IFERROR(MIN(FILTER(B364:F364, B364:F364&lt;&gt;0)),"""")"),"")</f>
        <v/>
      </c>
      <c r="H364" s="14" t="str">
        <f>IF(OR(G364=Compilation!B362,G364=""),"",G364-Compilation!B362)</f>
        <v/>
      </c>
      <c r="I364" s="38"/>
      <c r="J364" s="14" t="str">
        <f t="shared" si="2"/>
        <v/>
      </c>
      <c r="K364" s="14" t="str">
        <f t="shared" si="3"/>
        <v/>
      </c>
    </row>
    <row r="365">
      <c r="A365" s="21">
        <f>Scores!A366</f>
        <v>355</v>
      </c>
      <c r="B365" s="14"/>
      <c r="C365" s="14"/>
      <c r="D365" s="14"/>
      <c r="E365" s="14"/>
      <c r="F365" s="14"/>
      <c r="G365" s="14" t="str">
        <f>IFERROR(__xludf.DUMMYFUNCTION("IFERROR(MIN(FILTER(B365:F365, B365:F365&lt;&gt;0)),"""")"),"")</f>
        <v/>
      </c>
      <c r="H365" s="14" t="str">
        <f>IF(OR(G365=Compilation!B363,G365=""),"",G365-Compilation!B363)</f>
        <v/>
      </c>
      <c r="I365" s="38"/>
      <c r="J365" s="14" t="str">
        <f t="shared" si="2"/>
        <v/>
      </c>
      <c r="K365" s="14" t="str">
        <f t="shared" si="3"/>
        <v/>
      </c>
    </row>
    <row r="366">
      <c r="A366" s="21">
        <f>Scores!A367</f>
        <v>356</v>
      </c>
      <c r="B366" s="14"/>
      <c r="C366" s="14"/>
      <c r="D366" s="14"/>
      <c r="E366" s="14"/>
      <c r="F366" s="14"/>
      <c r="G366" s="14" t="str">
        <f>IFERROR(__xludf.DUMMYFUNCTION("IFERROR(MIN(FILTER(B366:F366, B366:F366&lt;&gt;0)),"""")"),"")</f>
        <v/>
      </c>
      <c r="H366" s="14" t="str">
        <f>IF(OR(G366=Compilation!B364,G366=""),"",G366-Compilation!B364)</f>
        <v/>
      </c>
      <c r="I366" s="38"/>
      <c r="J366" s="14" t="str">
        <f t="shared" si="2"/>
        <v/>
      </c>
      <c r="K366" s="14" t="str">
        <f t="shared" si="3"/>
        <v/>
      </c>
    </row>
    <row r="367">
      <c r="A367" s="21">
        <f>Scores!A368</f>
        <v>357</v>
      </c>
      <c r="B367" s="14"/>
      <c r="C367" s="14"/>
      <c r="D367" s="14"/>
      <c r="E367" s="14"/>
      <c r="F367" s="14"/>
      <c r="G367" s="14" t="str">
        <f>IFERROR(__xludf.DUMMYFUNCTION("IFERROR(MIN(FILTER(B367:F367, B367:F367&lt;&gt;0)),"""")"),"")</f>
        <v/>
      </c>
      <c r="H367" s="14" t="str">
        <f>IF(OR(G367=Compilation!B365,G367=""),"",G367-Compilation!B365)</f>
        <v/>
      </c>
      <c r="I367" s="38"/>
      <c r="J367" s="14" t="str">
        <f t="shared" si="2"/>
        <v/>
      </c>
      <c r="K367" s="14" t="str">
        <f t="shared" si="3"/>
        <v/>
      </c>
    </row>
    <row r="368">
      <c r="A368" s="21">
        <f>Scores!A369</f>
        <v>358</v>
      </c>
      <c r="B368" s="14"/>
      <c r="C368" s="14"/>
      <c r="D368" s="14"/>
      <c r="E368" s="14"/>
      <c r="F368" s="14"/>
      <c r="G368" s="14" t="str">
        <f>IFERROR(__xludf.DUMMYFUNCTION("IFERROR(MIN(FILTER(B368:F368, B368:F368&lt;&gt;0)),"""")"),"")</f>
        <v/>
      </c>
      <c r="H368" s="14" t="str">
        <f>IF(OR(G368=Compilation!B366,G368=""),"",G368-Compilation!B366)</f>
        <v/>
      </c>
      <c r="I368" s="38"/>
      <c r="J368" s="14" t="str">
        <f t="shared" si="2"/>
        <v/>
      </c>
      <c r="K368" s="14" t="str">
        <f t="shared" si="3"/>
        <v/>
      </c>
    </row>
    <row r="369">
      <c r="A369" s="21">
        <f>Scores!A370</f>
        <v>359</v>
      </c>
      <c r="B369" s="14"/>
      <c r="C369" s="14"/>
      <c r="D369" s="14"/>
      <c r="E369" s="14"/>
      <c r="F369" s="14"/>
      <c r="G369" s="14" t="str">
        <f>IFERROR(__xludf.DUMMYFUNCTION("IFERROR(MIN(FILTER(B369:F369, B369:F369&lt;&gt;0)),"""")"),"")</f>
        <v/>
      </c>
      <c r="H369" s="14" t="str">
        <f>IF(OR(G369=Compilation!B367,G369=""),"",G369-Compilation!B367)</f>
        <v/>
      </c>
      <c r="I369" s="38"/>
      <c r="J369" s="14" t="str">
        <f t="shared" si="2"/>
        <v/>
      </c>
      <c r="K369" s="14" t="str">
        <f t="shared" si="3"/>
        <v/>
      </c>
    </row>
    <row r="370">
      <c r="A370" s="21">
        <f>Scores!A371</f>
        <v>360</v>
      </c>
      <c r="B370" s="14"/>
      <c r="C370" s="14"/>
      <c r="D370" s="14"/>
      <c r="E370" s="14"/>
      <c r="F370" s="14"/>
      <c r="G370" s="14" t="str">
        <f>IFERROR(__xludf.DUMMYFUNCTION("IFERROR(MIN(FILTER(B370:F370, B370:F370&lt;&gt;0)),"""")"),"")</f>
        <v/>
      </c>
      <c r="H370" s="14" t="str">
        <f>IF(OR(G370=Compilation!B368,G370=""),"",G370-Compilation!B368)</f>
        <v/>
      </c>
      <c r="I370" s="38"/>
      <c r="J370" s="14" t="str">
        <f t="shared" si="2"/>
        <v/>
      </c>
      <c r="K370" s="14" t="str">
        <f t="shared" si="3"/>
        <v/>
      </c>
    </row>
    <row r="371">
      <c r="A371" s="21">
        <f>Scores!A372</f>
        <v>361</v>
      </c>
      <c r="B371" s="14"/>
      <c r="C371" s="14"/>
      <c r="D371" s="14"/>
      <c r="E371" s="14"/>
      <c r="F371" s="14"/>
      <c r="G371" s="14" t="str">
        <f>IFERROR(__xludf.DUMMYFUNCTION("IFERROR(MIN(FILTER(B371:F371, B371:F371&lt;&gt;0)),"""")"),"")</f>
        <v/>
      </c>
      <c r="H371" s="14" t="str">
        <f>IF(OR(G371=Compilation!B369,G371=""),"",G371-Compilation!B369)</f>
        <v/>
      </c>
      <c r="I371" s="38"/>
      <c r="J371" s="14" t="str">
        <f t="shared" si="2"/>
        <v/>
      </c>
      <c r="K371" s="14" t="str">
        <f t="shared" si="3"/>
        <v/>
      </c>
    </row>
    <row r="372">
      <c r="A372" s="21">
        <f>Scores!A373</f>
        <v>362</v>
      </c>
      <c r="B372" s="14"/>
      <c r="C372" s="14"/>
      <c r="D372" s="14"/>
      <c r="E372" s="14"/>
      <c r="F372" s="14"/>
      <c r="G372" s="14" t="str">
        <f>IFERROR(__xludf.DUMMYFUNCTION("IFERROR(MIN(FILTER(B372:F372, B372:F372&lt;&gt;0)),"""")"),"")</f>
        <v/>
      </c>
      <c r="H372" s="14" t="str">
        <f>IF(OR(G372=Compilation!B370,G372=""),"",G372-Compilation!B370)</f>
        <v/>
      </c>
      <c r="I372" s="38"/>
      <c r="J372" s="14" t="str">
        <f t="shared" si="2"/>
        <v/>
      </c>
      <c r="K372" s="14" t="str">
        <f t="shared" si="3"/>
        <v/>
      </c>
    </row>
    <row r="373">
      <c r="A373" s="21">
        <f>Scores!A374</f>
        <v>363</v>
      </c>
      <c r="B373" s="14"/>
      <c r="C373" s="14"/>
      <c r="D373" s="14"/>
      <c r="E373" s="14"/>
      <c r="F373" s="14"/>
      <c r="G373" s="14" t="str">
        <f>IFERROR(__xludf.DUMMYFUNCTION("IFERROR(MIN(FILTER(B373:F373, B373:F373&lt;&gt;0)),"""")"),"")</f>
        <v/>
      </c>
      <c r="H373" s="14" t="str">
        <f>IF(OR(G373=Compilation!B371,G373=""),"",G373-Compilation!B371)</f>
        <v/>
      </c>
      <c r="I373" s="38"/>
      <c r="J373" s="14" t="str">
        <f t="shared" si="2"/>
        <v/>
      </c>
      <c r="K373" s="14" t="str">
        <f t="shared" si="3"/>
        <v/>
      </c>
    </row>
    <row r="374">
      <c r="A374" s="21">
        <f>Scores!A375</f>
        <v>364</v>
      </c>
      <c r="B374" s="14"/>
      <c r="C374" s="14"/>
      <c r="D374" s="14"/>
      <c r="E374" s="14"/>
      <c r="F374" s="14"/>
      <c r="G374" s="14" t="str">
        <f>IFERROR(__xludf.DUMMYFUNCTION("IFERROR(MIN(FILTER(B374:F374, B374:F374&lt;&gt;0)),"""")"),"")</f>
        <v/>
      </c>
      <c r="H374" s="14" t="str">
        <f>IF(OR(G374=Compilation!B372,G374=""),"",G374-Compilation!B372)</f>
        <v/>
      </c>
      <c r="I374" s="38"/>
      <c r="J374" s="14" t="str">
        <f t="shared" si="2"/>
        <v/>
      </c>
      <c r="K374" s="14" t="str">
        <f t="shared" si="3"/>
        <v/>
      </c>
    </row>
    <row r="375">
      <c r="A375" s="21">
        <f>Scores!A376</f>
        <v>365</v>
      </c>
      <c r="B375" s="14"/>
      <c r="C375" s="14"/>
      <c r="D375" s="14"/>
      <c r="E375" s="14"/>
      <c r="F375" s="14"/>
      <c r="G375" s="14" t="str">
        <f>IFERROR(__xludf.DUMMYFUNCTION("IFERROR(MIN(FILTER(B375:F375, B375:F375&lt;&gt;0)),"""")"),"")</f>
        <v/>
      </c>
      <c r="H375" s="14" t="str">
        <f>IF(OR(G375=Compilation!B373,G375=""),"",G375-Compilation!B373)</f>
        <v/>
      </c>
      <c r="I375" s="38"/>
      <c r="J375" s="14" t="str">
        <f t="shared" si="2"/>
        <v/>
      </c>
      <c r="K375" s="14" t="str">
        <f t="shared" si="3"/>
        <v/>
      </c>
    </row>
    <row r="376">
      <c r="A376" s="21">
        <f>Scores!A377</f>
        <v>366</v>
      </c>
      <c r="B376" s="14"/>
      <c r="C376" s="14"/>
      <c r="D376" s="14"/>
      <c r="E376" s="14"/>
      <c r="F376" s="14"/>
      <c r="G376" s="14" t="str">
        <f>IFERROR(__xludf.DUMMYFUNCTION("IFERROR(MIN(FILTER(B376:F376, B376:F376&lt;&gt;0)),"""")"),"")</f>
        <v/>
      </c>
      <c r="H376" s="14" t="str">
        <f>IF(OR(G376=Compilation!B374,G376=""),"",G376-Compilation!B374)</f>
        <v/>
      </c>
      <c r="I376" s="38"/>
      <c r="J376" s="14" t="str">
        <f t="shared" si="2"/>
        <v/>
      </c>
      <c r="K376" s="14" t="str">
        <f t="shared" si="3"/>
        <v/>
      </c>
    </row>
    <row r="377">
      <c r="A377" s="21">
        <f>Scores!A378</f>
        <v>367</v>
      </c>
      <c r="B377" s="14"/>
      <c r="C377" s="14"/>
      <c r="D377" s="14"/>
      <c r="E377" s="14"/>
      <c r="F377" s="14"/>
      <c r="G377" s="14" t="str">
        <f>IFERROR(__xludf.DUMMYFUNCTION("IFERROR(MIN(FILTER(B377:F377, B377:F377&lt;&gt;0)),"""")"),"")</f>
        <v/>
      </c>
      <c r="H377" s="14" t="str">
        <f>IF(OR(G377=Compilation!B375,G377=""),"",G377-Compilation!B375)</f>
        <v/>
      </c>
      <c r="I377" s="38"/>
      <c r="J377" s="14" t="str">
        <f t="shared" si="2"/>
        <v/>
      </c>
      <c r="K377" s="14" t="str">
        <f t="shared" si="3"/>
        <v/>
      </c>
    </row>
    <row r="378">
      <c r="A378" s="21">
        <f>Scores!A379</f>
        <v>368</v>
      </c>
      <c r="B378" s="14"/>
      <c r="C378" s="14"/>
      <c r="D378" s="14"/>
      <c r="E378" s="14"/>
      <c r="F378" s="14"/>
      <c r="G378" s="14" t="str">
        <f>IFERROR(__xludf.DUMMYFUNCTION("IFERROR(MIN(FILTER(B378:F378, B378:F378&lt;&gt;0)),"""")"),"")</f>
        <v/>
      </c>
      <c r="H378" s="14" t="str">
        <f>IF(OR(G378=Compilation!B376,G378=""),"",G378-Compilation!B376)</f>
        <v/>
      </c>
      <c r="I378" s="38"/>
      <c r="J378" s="14" t="str">
        <f t="shared" si="2"/>
        <v/>
      </c>
      <c r="K378" s="14" t="str">
        <f t="shared" si="3"/>
        <v/>
      </c>
    </row>
    <row r="379">
      <c r="A379" s="21">
        <f>Scores!A380</f>
        <v>369</v>
      </c>
      <c r="B379" s="14"/>
      <c r="C379" s="14"/>
      <c r="D379" s="14"/>
      <c r="E379" s="14"/>
      <c r="F379" s="14"/>
      <c r="G379" s="14" t="str">
        <f>IFERROR(__xludf.DUMMYFUNCTION("IFERROR(MIN(FILTER(B379:F379, B379:F379&lt;&gt;0)),"""")"),"")</f>
        <v/>
      </c>
      <c r="H379" s="14" t="str">
        <f>IF(OR(G379=Compilation!B377,G379=""),"",G379-Compilation!B377)</f>
        <v/>
      </c>
      <c r="I379" s="38"/>
      <c r="J379" s="14" t="str">
        <f t="shared" si="2"/>
        <v/>
      </c>
      <c r="K379" s="14" t="str">
        <f t="shared" si="3"/>
        <v/>
      </c>
    </row>
    <row r="380">
      <c r="A380" s="21">
        <f>Scores!A381</f>
        <v>370</v>
      </c>
      <c r="B380" s="14"/>
      <c r="C380" s="14"/>
      <c r="D380" s="14"/>
      <c r="E380" s="14"/>
      <c r="F380" s="14"/>
      <c r="G380" s="14" t="str">
        <f>IFERROR(__xludf.DUMMYFUNCTION("IFERROR(MIN(FILTER(B380:F380, B380:F380&lt;&gt;0)),"""")"),"")</f>
        <v/>
      </c>
      <c r="H380" s="14" t="str">
        <f>IF(OR(G380=Compilation!B378,G380=""),"",G380-Compilation!B378)</f>
        <v/>
      </c>
      <c r="I380" s="38"/>
      <c r="J380" s="14" t="str">
        <f t="shared" si="2"/>
        <v/>
      </c>
      <c r="K380" s="14" t="str">
        <f t="shared" si="3"/>
        <v/>
      </c>
    </row>
    <row r="381">
      <c r="A381" s="21">
        <f>Scores!A382</f>
        <v>371</v>
      </c>
      <c r="B381" s="14"/>
      <c r="C381" s="14"/>
      <c r="D381" s="14"/>
      <c r="E381" s="14"/>
      <c r="F381" s="14"/>
      <c r="G381" s="14" t="str">
        <f>IFERROR(__xludf.DUMMYFUNCTION("IFERROR(MIN(FILTER(B381:F381, B381:F381&lt;&gt;0)),"""")"),"")</f>
        <v/>
      </c>
      <c r="H381" s="14" t="str">
        <f>IF(OR(G381=Compilation!B379,G381=""),"",G381-Compilation!B379)</f>
        <v/>
      </c>
      <c r="I381" s="38"/>
      <c r="J381" s="14" t="str">
        <f t="shared" si="2"/>
        <v/>
      </c>
      <c r="K381" s="14" t="str">
        <f t="shared" si="3"/>
        <v/>
      </c>
    </row>
    <row r="382">
      <c r="A382" s="21">
        <f>Scores!A383</f>
        <v>372</v>
      </c>
      <c r="B382" s="14"/>
      <c r="C382" s="14"/>
      <c r="D382" s="14"/>
      <c r="E382" s="14"/>
      <c r="F382" s="14"/>
      <c r="G382" s="14" t="str">
        <f>IFERROR(__xludf.DUMMYFUNCTION("IFERROR(MIN(FILTER(B382:F382, B382:F382&lt;&gt;0)),"""")"),"")</f>
        <v/>
      </c>
      <c r="H382" s="14" t="str">
        <f>IF(OR(G382=Compilation!B380,G382=""),"",G382-Compilation!B380)</f>
        <v/>
      </c>
      <c r="I382" s="38"/>
      <c r="J382" s="14" t="str">
        <f t="shared" si="2"/>
        <v/>
      </c>
      <c r="K382" s="14" t="str">
        <f t="shared" si="3"/>
        <v/>
      </c>
    </row>
    <row r="383">
      <c r="A383" s="21">
        <f>Scores!A384</f>
        <v>373</v>
      </c>
      <c r="B383" s="14"/>
      <c r="C383" s="14"/>
      <c r="D383" s="14"/>
      <c r="E383" s="14"/>
      <c r="F383" s="14"/>
      <c r="G383" s="14" t="str">
        <f>IFERROR(__xludf.DUMMYFUNCTION("IFERROR(MIN(FILTER(B383:F383, B383:F383&lt;&gt;0)),"""")"),"")</f>
        <v/>
      </c>
      <c r="H383" s="14" t="str">
        <f>IF(OR(G383=Compilation!B381,G383=""),"",G383-Compilation!B381)</f>
        <v/>
      </c>
      <c r="I383" s="38"/>
      <c r="J383" s="14" t="str">
        <f t="shared" si="2"/>
        <v/>
      </c>
      <c r="K383" s="14" t="str">
        <f t="shared" si="3"/>
        <v/>
      </c>
    </row>
    <row r="384">
      <c r="A384" s="21">
        <f>Scores!A385</f>
        <v>374</v>
      </c>
      <c r="B384" s="14"/>
      <c r="C384" s="14"/>
      <c r="D384" s="14"/>
      <c r="E384" s="14"/>
      <c r="F384" s="14"/>
      <c r="G384" s="14" t="str">
        <f>IFERROR(__xludf.DUMMYFUNCTION("IFERROR(MIN(FILTER(B384:F384, B384:F384&lt;&gt;0)),"""")"),"")</f>
        <v/>
      </c>
      <c r="H384" s="14" t="str">
        <f>IF(OR(G384=Compilation!B382,G384=""),"",G384-Compilation!B382)</f>
        <v/>
      </c>
      <c r="I384" s="38"/>
      <c r="J384" s="14" t="str">
        <f t="shared" si="2"/>
        <v/>
      </c>
      <c r="K384" s="14" t="str">
        <f t="shared" si="3"/>
        <v/>
      </c>
    </row>
    <row r="385">
      <c r="A385" s="21">
        <f>Scores!A386</f>
        <v>375</v>
      </c>
      <c r="B385" s="14"/>
      <c r="C385" s="14"/>
      <c r="D385" s="14"/>
      <c r="E385" s="14"/>
      <c r="F385" s="14"/>
      <c r="G385" s="14" t="str">
        <f>IFERROR(__xludf.DUMMYFUNCTION("IFERROR(MIN(FILTER(B385:F385, B385:F385&lt;&gt;0)),"""")"),"")</f>
        <v/>
      </c>
      <c r="H385" s="14" t="str">
        <f>IF(OR(G385=Compilation!B383,G385=""),"",G385-Compilation!B383)</f>
        <v/>
      </c>
      <c r="I385" s="38"/>
      <c r="J385" s="14" t="str">
        <f t="shared" si="2"/>
        <v/>
      </c>
      <c r="K385" s="14" t="str">
        <f t="shared" si="3"/>
        <v/>
      </c>
    </row>
    <row r="386">
      <c r="A386" s="21">
        <f>Scores!A387</f>
        <v>376</v>
      </c>
      <c r="B386" s="14"/>
      <c r="C386" s="14"/>
      <c r="D386" s="14"/>
      <c r="E386" s="14"/>
      <c r="F386" s="14"/>
      <c r="G386" s="14" t="str">
        <f>IFERROR(__xludf.DUMMYFUNCTION("IFERROR(MIN(FILTER(B386:F386, B386:F386&lt;&gt;0)),"""")"),"")</f>
        <v/>
      </c>
      <c r="H386" s="14" t="str">
        <f>IF(OR(G386=Compilation!B384,G386=""),"",G386-Compilation!B384)</f>
        <v/>
      </c>
      <c r="I386" s="38"/>
      <c r="J386" s="14" t="str">
        <f t="shared" si="2"/>
        <v/>
      </c>
      <c r="K386" s="14" t="str">
        <f t="shared" si="3"/>
        <v/>
      </c>
    </row>
    <row r="387">
      <c r="A387" s="21">
        <f>Scores!A388</f>
        <v>377</v>
      </c>
      <c r="B387" s="14"/>
      <c r="C387" s="14"/>
      <c r="D387" s="14"/>
      <c r="E387" s="14"/>
      <c r="F387" s="14"/>
      <c r="G387" s="14" t="str">
        <f>IFERROR(__xludf.DUMMYFUNCTION("IFERROR(MIN(FILTER(B387:F387, B387:F387&lt;&gt;0)),"""")"),"")</f>
        <v/>
      </c>
      <c r="H387" s="14" t="str">
        <f>IF(OR(G387=Compilation!B385,G387=""),"",G387-Compilation!B385)</f>
        <v/>
      </c>
      <c r="I387" s="38"/>
      <c r="J387" s="14" t="str">
        <f t="shared" si="2"/>
        <v/>
      </c>
      <c r="K387" s="14" t="str">
        <f t="shared" si="3"/>
        <v/>
      </c>
    </row>
    <row r="388">
      <c r="A388" s="21">
        <f>Scores!A389</f>
        <v>378</v>
      </c>
      <c r="B388" s="14"/>
      <c r="C388" s="14"/>
      <c r="D388" s="14"/>
      <c r="E388" s="14"/>
      <c r="F388" s="14"/>
      <c r="G388" s="14" t="str">
        <f>IFERROR(__xludf.DUMMYFUNCTION("IFERROR(MIN(FILTER(B388:F388, B388:F388&lt;&gt;0)),"""")"),"")</f>
        <v/>
      </c>
      <c r="H388" s="14" t="str">
        <f>IF(OR(G388=Compilation!B386,G388=""),"",G388-Compilation!B386)</f>
        <v/>
      </c>
      <c r="I388" s="38"/>
      <c r="J388" s="14" t="str">
        <f t="shared" si="2"/>
        <v/>
      </c>
      <c r="K388" s="14" t="str">
        <f t="shared" si="3"/>
        <v/>
      </c>
    </row>
    <row r="389">
      <c r="A389" s="21">
        <f>Scores!A390</f>
        <v>379</v>
      </c>
      <c r="B389" s="14"/>
      <c r="C389" s="14"/>
      <c r="D389" s="14"/>
      <c r="E389" s="14"/>
      <c r="F389" s="14"/>
      <c r="G389" s="14" t="str">
        <f>IFERROR(__xludf.DUMMYFUNCTION("IFERROR(MIN(FILTER(B389:F389, B389:F389&lt;&gt;0)),"""")"),"")</f>
        <v/>
      </c>
      <c r="H389" s="14" t="str">
        <f>IF(OR(G389=Compilation!B387,G389=""),"",G389-Compilation!B387)</f>
        <v/>
      </c>
      <c r="I389" s="38"/>
      <c r="J389" s="14" t="str">
        <f t="shared" si="2"/>
        <v/>
      </c>
      <c r="K389" s="14" t="str">
        <f t="shared" si="3"/>
        <v/>
      </c>
    </row>
    <row r="390">
      <c r="A390" s="21">
        <f>Scores!A391</f>
        <v>380</v>
      </c>
      <c r="B390" s="14"/>
      <c r="C390" s="14"/>
      <c r="D390" s="14"/>
      <c r="E390" s="14"/>
      <c r="F390" s="14"/>
      <c r="G390" s="14" t="str">
        <f>IFERROR(__xludf.DUMMYFUNCTION("IFERROR(MIN(FILTER(B390:F390, B390:F390&lt;&gt;0)),"""")"),"")</f>
        <v/>
      </c>
      <c r="H390" s="14" t="str">
        <f>IF(OR(G390=Compilation!B388,G390=""),"",G390-Compilation!B388)</f>
        <v/>
      </c>
      <c r="I390" s="38"/>
      <c r="J390" s="14" t="str">
        <f t="shared" si="2"/>
        <v/>
      </c>
      <c r="K390" s="14" t="str">
        <f t="shared" si="3"/>
        <v/>
      </c>
    </row>
    <row r="391">
      <c r="A391" s="21">
        <f>Scores!A392</f>
        <v>381</v>
      </c>
      <c r="B391" s="14"/>
      <c r="C391" s="14"/>
      <c r="D391" s="14"/>
      <c r="E391" s="14"/>
      <c r="F391" s="14"/>
      <c r="G391" s="14" t="str">
        <f>IFERROR(__xludf.DUMMYFUNCTION("IFERROR(MIN(FILTER(B391:F391, B391:F391&lt;&gt;0)),"""")"),"")</f>
        <v/>
      </c>
      <c r="H391" s="14" t="str">
        <f>IF(OR(G391=Compilation!B389,G391=""),"",G391-Compilation!B389)</f>
        <v/>
      </c>
      <c r="I391" s="38"/>
      <c r="J391" s="14" t="str">
        <f t="shared" si="2"/>
        <v/>
      </c>
      <c r="K391" s="14" t="str">
        <f t="shared" si="3"/>
        <v/>
      </c>
    </row>
    <row r="392">
      <c r="A392" s="21">
        <f>Scores!A393</f>
        <v>382</v>
      </c>
      <c r="B392" s="14"/>
      <c r="C392" s="14"/>
      <c r="D392" s="14"/>
      <c r="E392" s="14"/>
      <c r="F392" s="14"/>
      <c r="G392" s="14" t="str">
        <f>IFERROR(__xludf.DUMMYFUNCTION("IFERROR(MIN(FILTER(B392:F392, B392:F392&lt;&gt;0)),"""")"),"")</f>
        <v/>
      </c>
      <c r="H392" s="14" t="str">
        <f>IF(OR(G392=Compilation!B390,G392=""),"",G392-Compilation!B390)</f>
        <v/>
      </c>
      <c r="I392" s="38"/>
      <c r="J392" s="14" t="str">
        <f t="shared" si="2"/>
        <v/>
      </c>
      <c r="K392" s="14" t="str">
        <f t="shared" si="3"/>
        <v/>
      </c>
    </row>
    <row r="393">
      <c r="A393" s="21">
        <f>Scores!A394</f>
        <v>383</v>
      </c>
      <c r="B393" s="14"/>
      <c r="C393" s="14"/>
      <c r="D393" s="14"/>
      <c r="E393" s="14"/>
      <c r="F393" s="14"/>
      <c r="G393" s="14" t="str">
        <f>IFERROR(__xludf.DUMMYFUNCTION("IFERROR(MIN(FILTER(B393:F393, B393:F393&lt;&gt;0)),"""")"),"")</f>
        <v/>
      </c>
      <c r="H393" s="14" t="str">
        <f>IF(OR(G393=Compilation!B391,G393=""),"",G393-Compilation!B391)</f>
        <v/>
      </c>
      <c r="I393" s="38"/>
      <c r="J393" s="14" t="str">
        <f t="shared" si="2"/>
        <v/>
      </c>
      <c r="K393" s="14" t="str">
        <f t="shared" si="3"/>
        <v/>
      </c>
    </row>
    <row r="394">
      <c r="A394" s="21">
        <f>Scores!A395</f>
        <v>384</v>
      </c>
      <c r="B394" s="14"/>
      <c r="C394" s="14"/>
      <c r="D394" s="14"/>
      <c r="E394" s="14"/>
      <c r="F394" s="14"/>
      <c r="G394" s="14" t="str">
        <f>IFERROR(__xludf.DUMMYFUNCTION("IFERROR(MIN(FILTER(B394:F394, B394:F394&lt;&gt;0)),"""")"),"")</f>
        <v/>
      </c>
      <c r="H394" s="14" t="str">
        <f>IF(OR(G394=Compilation!B392,G394=""),"",G394-Compilation!B392)</f>
        <v/>
      </c>
      <c r="I394" s="38"/>
      <c r="J394" s="14" t="str">
        <f t="shared" si="2"/>
        <v/>
      </c>
      <c r="K394" s="14" t="str">
        <f t="shared" si="3"/>
        <v/>
      </c>
    </row>
    <row r="395">
      <c r="A395" s="21">
        <f>Scores!A396</f>
        <v>385</v>
      </c>
      <c r="B395" s="14"/>
      <c r="C395" s="14"/>
      <c r="D395" s="14"/>
      <c r="E395" s="14"/>
      <c r="F395" s="14"/>
      <c r="G395" s="14" t="str">
        <f>IFERROR(__xludf.DUMMYFUNCTION("IFERROR(MIN(FILTER(B395:F395, B395:F395&lt;&gt;0)),"""")"),"")</f>
        <v/>
      </c>
      <c r="H395" s="14" t="str">
        <f>IF(OR(G395=Compilation!B393,G395=""),"",G395-Compilation!B393)</f>
        <v/>
      </c>
      <c r="I395" s="38"/>
      <c r="J395" s="14" t="str">
        <f t="shared" si="2"/>
        <v/>
      </c>
      <c r="K395" s="14" t="str">
        <f t="shared" si="3"/>
        <v/>
      </c>
    </row>
    <row r="396">
      <c r="A396" s="21">
        <f>Scores!A397</f>
        <v>386</v>
      </c>
      <c r="B396" s="14"/>
      <c r="C396" s="14"/>
      <c r="D396" s="14"/>
      <c r="E396" s="14"/>
      <c r="F396" s="14"/>
      <c r="G396" s="14" t="str">
        <f>IFERROR(__xludf.DUMMYFUNCTION("IFERROR(MIN(FILTER(B396:F396, B396:F396&lt;&gt;0)),"""")"),"")</f>
        <v/>
      </c>
      <c r="H396" s="14" t="str">
        <f>IF(OR(G396=Compilation!B394,G396=""),"",G396-Compilation!B394)</f>
        <v/>
      </c>
      <c r="I396" s="38"/>
      <c r="J396" s="14" t="str">
        <f t="shared" si="2"/>
        <v/>
      </c>
      <c r="K396" s="14" t="str">
        <f t="shared" si="3"/>
        <v/>
      </c>
    </row>
    <row r="397">
      <c r="A397" s="21">
        <f>Scores!A398</f>
        <v>387</v>
      </c>
      <c r="B397" s="14"/>
      <c r="C397" s="14"/>
      <c r="D397" s="14"/>
      <c r="E397" s="14"/>
      <c r="F397" s="14"/>
      <c r="G397" s="14" t="str">
        <f>IFERROR(__xludf.DUMMYFUNCTION("IFERROR(MIN(FILTER(B397:F397, B397:F397&lt;&gt;0)),"""")"),"")</f>
        <v/>
      </c>
      <c r="H397" s="14" t="str">
        <f>IF(OR(G397=Compilation!B395,G397=""),"",G397-Compilation!B395)</f>
        <v/>
      </c>
      <c r="I397" s="38"/>
      <c r="J397" s="14" t="str">
        <f t="shared" si="2"/>
        <v/>
      </c>
      <c r="K397" s="14" t="str">
        <f t="shared" si="3"/>
        <v/>
      </c>
    </row>
    <row r="398">
      <c r="A398" s="21">
        <f>Scores!A399</f>
        <v>388</v>
      </c>
      <c r="B398" s="14"/>
      <c r="C398" s="14"/>
      <c r="D398" s="14"/>
      <c r="E398" s="14"/>
      <c r="F398" s="14"/>
      <c r="G398" s="14" t="str">
        <f>IFERROR(__xludf.DUMMYFUNCTION("IFERROR(MIN(FILTER(B398:F398, B398:F398&lt;&gt;0)),"""")"),"")</f>
        <v/>
      </c>
      <c r="H398" s="14" t="str">
        <f>IF(OR(G398=Compilation!B396,G398=""),"",G398-Compilation!B396)</f>
        <v/>
      </c>
      <c r="I398" s="38"/>
      <c r="J398" s="14" t="str">
        <f t="shared" si="2"/>
        <v/>
      </c>
      <c r="K398" s="14" t="str">
        <f t="shared" si="3"/>
        <v/>
      </c>
    </row>
    <row r="399">
      <c r="A399" s="21">
        <f>Scores!A400</f>
        <v>389</v>
      </c>
      <c r="B399" s="14"/>
      <c r="C399" s="14"/>
      <c r="D399" s="14"/>
      <c r="E399" s="14"/>
      <c r="F399" s="14"/>
      <c r="G399" s="14" t="str">
        <f>IFERROR(__xludf.DUMMYFUNCTION("IFERROR(MIN(FILTER(B399:F399, B399:F399&lt;&gt;0)),"""")"),"")</f>
        <v/>
      </c>
      <c r="H399" s="14" t="str">
        <f>IF(OR(G399=Compilation!B397,G399=""),"",G399-Compilation!B397)</f>
        <v/>
      </c>
      <c r="I399" s="38"/>
      <c r="J399" s="14" t="str">
        <f t="shared" si="2"/>
        <v/>
      </c>
      <c r="K399" s="14" t="str">
        <f t="shared" si="3"/>
        <v/>
      </c>
    </row>
    <row r="400">
      <c r="A400" s="21">
        <f>Scores!A401</f>
        <v>390</v>
      </c>
      <c r="B400" s="14"/>
      <c r="C400" s="14"/>
      <c r="D400" s="14"/>
      <c r="E400" s="14"/>
      <c r="F400" s="14"/>
      <c r="G400" s="14" t="str">
        <f>IFERROR(__xludf.DUMMYFUNCTION("IFERROR(MIN(FILTER(B400:F400, B400:F400&lt;&gt;0)),"""")"),"")</f>
        <v/>
      </c>
      <c r="H400" s="14" t="str">
        <f>IF(OR(G400=Compilation!B398,G400=""),"",G400-Compilation!B398)</f>
        <v/>
      </c>
      <c r="I400" s="38"/>
      <c r="J400" s="14" t="str">
        <f t="shared" si="2"/>
        <v/>
      </c>
      <c r="K400" s="14" t="str">
        <f t="shared" si="3"/>
        <v/>
      </c>
    </row>
    <row r="401">
      <c r="A401" s="21">
        <f>Scores!A402</f>
        <v>391</v>
      </c>
      <c r="B401" s="14"/>
      <c r="C401" s="14"/>
      <c r="D401" s="14"/>
      <c r="E401" s="14"/>
      <c r="F401" s="14"/>
      <c r="G401" s="14" t="str">
        <f>IFERROR(__xludf.DUMMYFUNCTION("IFERROR(MIN(FILTER(B401:F401, B401:F401&lt;&gt;0)),"""")"),"")</f>
        <v/>
      </c>
      <c r="H401" s="14" t="str">
        <f>IF(OR(G401=Compilation!B399,G401=""),"",G401-Compilation!B399)</f>
        <v/>
      </c>
      <c r="I401" s="38"/>
      <c r="J401" s="14" t="str">
        <f t="shared" si="2"/>
        <v/>
      </c>
      <c r="K401" s="14" t="str">
        <f t="shared" si="3"/>
        <v/>
      </c>
    </row>
    <row r="402">
      <c r="A402" s="21">
        <f>Scores!A403</f>
        <v>392</v>
      </c>
      <c r="B402" s="14"/>
      <c r="C402" s="14"/>
      <c r="D402" s="14"/>
      <c r="E402" s="14"/>
      <c r="F402" s="14"/>
      <c r="G402" s="14" t="str">
        <f>IFERROR(__xludf.DUMMYFUNCTION("IFERROR(MIN(FILTER(B402:F402, B402:F402&lt;&gt;0)),"""")"),"")</f>
        <v/>
      </c>
      <c r="H402" s="14" t="str">
        <f>IF(OR(G402=Compilation!B400,G402=""),"",G402-Compilation!B400)</f>
        <v/>
      </c>
      <c r="I402" s="38"/>
      <c r="J402" s="14" t="str">
        <f t="shared" si="2"/>
        <v/>
      </c>
      <c r="K402" s="14" t="str">
        <f t="shared" si="3"/>
        <v/>
      </c>
    </row>
    <row r="403">
      <c r="A403" s="21">
        <f>Scores!A404</f>
        <v>393</v>
      </c>
      <c r="B403" s="14"/>
      <c r="C403" s="14"/>
      <c r="D403" s="14"/>
      <c r="E403" s="14"/>
      <c r="F403" s="14"/>
      <c r="G403" s="14" t="str">
        <f>IFERROR(__xludf.DUMMYFUNCTION("IFERROR(MIN(FILTER(B403:F403, B403:F403&lt;&gt;0)),"""")"),"")</f>
        <v/>
      </c>
      <c r="H403" s="14" t="str">
        <f>IF(OR(G403=Compilation!B401,G403=""),"",G403-Compilation!B401)</f>
        <v/>
      </c>
      <c r="I403" s="38"/>
      <c r="J403" s="14" t="str">
        <f t="shared" si="2"/>
        <v/>
      </c>
      <c r="K403" s="14" t="str">
        <f t="shared" si="3"/>
        <v/>
      </c>
    </row>
    <row r="404">
      <c r="A404" s="21">
        <f>Scores!A405</f>
        <v>394</v>
      </c>
      <c r="B404" s="14"/>
      <c r="C404" s="14"/>
      <c r="D404" s="14"/>
      <c r="E404" s="14"/>
      <c r="F404" s="14"/>
      <c r="G404" s="14" t="str">
        <f>IFERROR(__xludf.DUMMYFUNCTION("IFERROR(MIN(FILTER(B404:F404, B404:F404&lt;&gt;0)),"""")"),"")</f>
        <v/>
      </c>
      <c r="H404" s="14" t="str">
        <f>IF(OR(G404=Compilation!B402,G404=""),"",G404-Compilation!B402)</f>
        <v/>
      </c>
      <c r="I404" s="38"/>
      <c r="J404" s="14" t="str">
        <f t="shared" si="2"/>
        <v/>
      </c>
      <c r="K404" s="14" t="str">
        <f t="shared" si="3"/>
        <v/>
      </c>
    </row>
    <row r="405">
      <c r="A405" s="21">
        <f>Scores!A406</f>
        <v>395</v>
      </c>
      <c r="B405" s="14"/>
      <c r="C405" s="14"/>
      <c r="D405" s="14"/>
      <c r="E405" s="14"/>
      <c r="F405" s="14"/>
      <c r="G405" s="14" t="str">
        <f>IFERROR(__xludf.DUMMYFUNCTION("IFERROR(MIN(FILTER(B405:F405, B405:F405&lt;&gt;0)),"""")"),"")</f>
        <v/>
      </c>
      <c r="H405" s="14" t="str">
        <f>IF(OR(G405=Compilation!B403,G405=""),"",G405-Compilation!B403)</f>
        <v/>
      </c>
      <c r="I405" s="38"/>
      <c r="J405" s="14" t="str">
        <f t="shared" si="2"/>
        <v/>
      </c>
      <c r="K405" s="14" t="str">
        <f t="shared" si="3"/>
        <v/>
      </c>
    </row>
    <row r="406">
      <c r="A406" s="21">
        <f>Scores!A407</f>
        <v>396</v>
      </c>
      <c r="B406" s="14"/>
      <c r="C406" s="14"/>
      <c r="D406" s="14"/>
      <c r="E406" s="14"/>
      <c r="F406" s="14"/>
      <c r="G406" s="14" t="str">
        <f>IFERROR(__xludf.DUMMYFUNCTION("IFERROR(MIN(FILTER(B406:F406, B406:F406&lt;&gt;0)),"""")"),"")</f>
        <v/>
      </c>
      <c r="H406" s="14" t="str">
        <f>IF(OR(G406=Compilation!B404,G406=""),"",G406-Compilation!B404)</f>
        <v/>
      </c>
      <c r="I406" s="38"/>
      <c r="J406" s="14" t="str">
        <f t="shared" si="2"/>
        <v/>
      </c>
      <c r="K406" s="14" t="str">
        <f t="shared" si="3"/>
        <v/>
      </c>
    </row>
    <row r="407">
      <c r="A407" s="21">
        <f>Scores!A408</f>
        <v>397</v>
      </c>
      <c r="B407" s="14"/>
      <c r="C407" s="14"/>
      <c r="D407" s="14"/>
      <c r="E407" s="14"/>
      <c r="F407" s="14"/>
      <c r="G407" s="14" t="str">
        <f>IFERROR(__xludf.DUMMYFUNCTION("IFERROR(MIN(FILTER(B407:F407, B407:F407&lt;&gt;0)),"""")"),"")</f>
        <v/>
      </c>
      <c r="H407" s="14" t="str">
        <f>IF(OR(G407=Compilation!B405,G407=""),"",G407-Compilation!B405)</f>
        <v/>
      </c>
      <c r="I407" s="38"/>
      <c r="J407" s="14" t="str">
        <f t="shared" si="2"/>
        <v/>
      </c>
      <c r="K407" s="14" t="str">
        <f t="shared" si="3"/>
        <v/>
      </c>
    </row>
    <row r="408">
      <c r="A408" s="21">
        <f>Scores!A409</f>
        <v>398</v>
      </c>
      <c r="B408" s="14"/>
      <c r="C408" s="14"/>
      <c r="D408" s="14"/>
      <c r="E408" s="14"/>
      <c r="F408" s="14"/>
      <c r="G408" s="14" t="str">
        <f>IFERROR(__xludf.DUMMYFUNCTION("IFERROR(MIN(FILTER(B408:F408, B408:F408&lt;&gt;0)),"""")"),"")</f>
        <v/>
      </c>
      <c r="H408" s="14" t="str">
        <f>IF(OR(G408=Compilation!B406,G408=""),"",G408-Compilation!B406)</f>
        <v/>
      </c>
      <c r="I408" s="38"/>
      <c r="J408" s="14" t="str">
        <f t="shared" si="2"/>
        <v/>
      </c>
      <c r="K408" s="14" t="str">
        <f t="shared" si="3"/>
        <v/>
      </c>
    </row>
    <row r="409">
      <c r="A409" s="21">
        <f>Scores!A410</f>
        <v>399</v>
      </c>
      <c r="B409" s="14"/>
      <c r="C409" s="14"/>
      <c r="D409" s="14"/>
      <c r="E409" s="14"/>
      <c r="F409" s="14"/>
      <c r="G409" s="14" t="str">
        <f>IFERROR(__xludf.DUMMYFUNCTION("IFERROR(MIN(FILTER(B409:F409, B409:F409&lt;&gt;0)),"""")"),"")</f>
        <v/>
      </c>
      <c r="H409" s="14" t="str">
        <f>IF(OR(G409=Compilation!B407,G409=""),"",G409-Compilation!B407)</f>
        <v/>
      </c>
      <c r="I409" s="38"/>
      <c r="J409" s="14" t="str">
        <f t="shared" si="2"/>
        <v/>
      </c>
      <c r="K409" s="14" t="str">
        <f t="shared" si="3"/>
        <v/>
      </c>
    </row>
    <row r="410">
      <c r="A410" s="21">
        <f>Scores!A411</f>
        <v>400</v>
      </c>
      <c r="B410" s="14"/>
      <c r="C410" s="14"/>
      <c r="D410" s="14"/>
      <c r="E410" s="14"/>
      <c r="F410" s="14"/>
      <c r="G410" s="14" t="str">
        <f>IFERROR(__xludf.DUMMYFUNCTION("IFERROR(MIN(FILTER(B410:F410, B410:F410&lt;&gt;0)),"""")"),"")</f>
        <v/>
      </c>
      <c r="H410" s="14" t="str">
        <f>IF(OR(G410=Compilation!B408,G410=""),"",G410-Compilation!B408)</f>
        <v/>
      </c>
      <c r="I410" s="38"/>
      <c r="J410" s="14" t="str">
        <f t="shared" si="2"/>
        <v/>
      </c>
      <c r="K410" s="14" t="str">
        <f t="shared" si="3"/>
        <v/>
      </c>
    </row>
  </sheetData>
  <conditionalFormatting sqref="B10:F410 G11:H410 J11:K410">
    <cfRule type="expression" dxfId="0" priority="1">
      <formula>B10=INDIRECT("Compilation!$E"&amp;ROW()-2)</formula>
    </cfRule>
  </conditionalFormatting>
  <conditionalFormatting sqref="B10:F410 G11:H410 J11:K410">
    <cfRule type="expression" dxfId="1" priority="2">
      <formula>B10=INDIRECT("Compilation!$F"&amp;ROW()-2)</formula>
    </cfRule>
  </conditionalFormatting>
  <conditionalFormatting sqref="B10:F410 G11:H410 J11:K410">
    <cfRule type="expression" dxfId="2" priority="3">
      <formula>B10=INDIRECT("Compilation!$G"&amp;ROW()-2)</formula>
    </cfRule>
  </conditionalFormatting>
  <conditionalFormatting sqref="B10:F410 G11:H410 J11:K410">
    <cfRule type="expression" dxfId="3" priority="4">
      <formula>B10=INDIRECT("Compilation!$H"&amp;ROW()-2)</formula>
    </cfRule>
  </conditionalFormatting>
  <dataValidations>
    <dataValidation type="list" allowBlank="1" showErrorMessage="1" sqref="B10:F10">
      <formula1>Scores!$B$1:AA$1</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00">
      <c r="C100" s="17"/>
      <c r="D100" s="77"/>
    </row>
    <row r="101">
      <c r="C101" s="17"/>
      <c r="D101" s="77"/>
    </row>
    <row r="102">
      <c r="C102" s="17"/>
      <c r="D102" s="77"/>
    </row>
    <row r="103">
      <c r="C103" s="17"/>
      <c r="D103" s="77"/>
    </row>
    <row r="104">
      <c r="C104" s="17"/>
      <c r="D104" s="77"/>
    </row>
    <row r="105">
      <c r="C105" s="17"/>
      <c r="D105" s="77"/>
    </row>
    <row r="106">
      <c r="C106" s="17"/>
      <c r="D106" s="77"/>
    </row>
    <row r="107">
      <c r="C107" s="17"/>
      <c r="D107" s="77"/>
    </row>
    <row r="108">
      <c r="C108" s="17"/>
      <c r="D108" s="77"/>
    </row>
    <row r="109">
      <c r="C109" s="17"/>
      <c r="D109" s="77"/>
    </row>
    <row r="110">
      <c r="C110" s="17"/>
      <c r="D110" s="77"/>
    </row>
    <row r="111">
      <c r="C111" s="17"/>
      <c r="D111" s="77"/>
    </row>
    <row r="112">
      <c r="C112" s="17"/>
      <c r="D112" s="77"/>
    </row>
    <row r="113">
      <c r="C113" s="17"/>
      <c r="D113" s="77"/>
    </row>
    <row r="114">
      <c r="C114" s="17"/>
      <c r="D114" s="77"/>
    </row>
    <row r="115">
      <c r="C115" s="17"/>
      <c r="D115" s="77"/>
    </row>
    <row r="116">
      <c r="C116" s="17"/>
      <c r="D116" s="77"/>
    </row>
    <row r="117">
      <c r="C117" s="17"/>
      <c r="D117" s="77"/>
    </row>
    <row r="118">
      <c r="C118" s="17"/>
      <c r="D118" s="77"/>
    </row>
    <row r="119">
      <c r="C119" s="17"/>
      <c r="D119" s="77"/>
    </row>
    <row r="120">
      <c r="C120" s="17"/>
      <c r="D120" s="77"/>
    </row>
    <row r="121">
      <c r="C121" s="17"/>
      <c r="D121" s="77"/>
    </row>
    <row r="122">
      <c r="C122" s="17"/>
      <c r="D122" s="77"/>
    </row>
    <row r="123">
      <c r="C123" s="17"/>
      <c r="D123" s="77"/>
    </row>
    <row r="124">
      <c r="C124" s="17"/>
      <c r="D124" s="77"/>
    </row>
    <row r="125">
      <c r="C125" s="17"/>
      <c r="D125" s="77"/>
    </row>
    <row r="126">
      <c r="C126" s="17"/>
      <c r="D126" s="77"/>
    </row>
    <row r="127">
      <c r="C127" s="17"/>
      <c r="D127" s="77"/>
    </row>
    <row r="128">
      <c r="C128" s="17"/>
      <c r="D128" s="77"/>
    </row>
    <row r="129">
      <c r="C129" s="17"/>
      <c r="D129" s="77"/>
    </row>
    <row r="130">
      <c r="C130" s="17"/>
      <c r="D130" s="77"/>
    </row>
    <row r="131">
      <c r="C131" s="17"/>
      <c r="D131" s="77"/>
    </row>
    <row r="132">
      <c r="C132" s="17"/>
      <c r="D132" s="77"/>
    </row>
    <row r="133">
      <c r="C133" s="17"/>
      <c r="D133" s="77"/>
    </row>
    <row r="134">
      <c r="C134" s="17"/>
      <c r="D134" s="77"/>
    </row>
    <row r="135">
      <c r="C135" s="17"/>
      <c r="D135" s="77"/>
    </row>
    <row r="136">
      <c r="C136" s="17"/>
      <c r="D136" s="77"/>
    </row>
    <row r="137">
      <c r="C137" s="17"/>
      <c r="D137" s="77"/>
    </row>
    <row r="138">
      <c r="C138" s="17"/>
      <c r="D138" s="77"/>
    </row>
    <row r="139">
      <c r="C139" s="17"/>
      <c r="D139" s="77"/>
    </row>
    <row r="140">
      <c r="C140" s="17"/>
      <c r="D140" s="77"/>
    </row>
    <row r="141">
      <c r="C141" s="17"/>
      <c r="D141" s="77"/>
    </row>
    <row r="142">
      <c r="C142" s="17"/>
      <c r="D142" s="77"/>
    </row>
    <row r="143">
      <c r="C143" s="17"/>
      <c r="D143" s="77"/>
    </row>
    <row r="144">
      <c r="C144" s="17"/>
      <c r="D144" s="77"/>
    </row>
    <row r="145">
      <c r="C145" s="17"/>
      <c r="D145" s="77"/>
    </row>
    <row r="146">
      <c r="C146" s="17"/>
      <c r="D146" s="77"/>
    </row>
    <row r="147">
      <c r="C147" s="17"/>
      <c r="D147" s="77"/>
    </row>
    <row r="148">
      <c r="C148" s="17"/>
      <c r="D148" s="77"/>
    </row>
    <row r="149">
      <c r="C149" s="17"/>
      <c r="D149" s="77"/>
    </row>
    <row r="150">
      <c r="C150" s="17"/>
      <c r="D150" s="77"/>
    </row>
    <row r="151">
      <c r="C151" s="17"/>
      <c r="D151" s="77"/>
    </row>
    <row r="152">
      <c r="C152" s="17"/>
      <c r="D152" s="77"/>
    </row>
    <row r="153">
      <c r="C153" s="17"/>
      <c r="D153" s="77"/>
    </row>
    <row r="154">
      <c r="C154" s="17"/>
      <c r="D154" s="77"/>
    </row>
    <row r="155">
      <c r="C155" s="17"/>
      <c r="D155" s="77"/>
    </row>
    <row r="156">
      <c r="C156" s="17"/>
      <c r="D156" s="77"/>
    </row>
    <row r="157">
      <c r="C157" s="17"/>
      <c r="D157" s="77"/>
    </row>
    <row r="158">
      <c r="C158" s="17"/>
      <c r="D158" s="77"/>
    </row>
    <row r="159">
      <c r="C159" s="17"/>
      <c r="D159" s="77"/>
    </row>
    <row r="160">
      <c r="C160" s="17"/>
      <c r="D160" s="77"/>
    </row>
    <row r="161">
      <c r="C161" s="17"/>
      <c r="D161" s="77"/>
    </row>
    <row r="162">
      <c r="C162" s="17"/>
      <c r="D162" s="77"/>
    </row>
    <row r="163">
      <c r="C163" s="17"/>
      <c r="D163" s="77"/>
    </row>
    <row r="164">
      <c r="C164" s="17"/>
      <c r="D164" s="77"/>
    </row>
    <row r="165">
      <c r="C165" s="17"/>
      <c r="D165" s="77"/>
    </row>
    <row r="166">
      <c r="C166" s="17"/>
      <c r="D166" s="77"/>
    </row>
    <row r="167">
      <c r="C167" s="17"/>
      <c r="D167" s="77"/>
    </row>
    <row r="168">
      <c r="C168" s="17"/>
      <c r="D168" s="77"/>
    </row>
    <row r="169">
      <c r="C169" s="17"/>
      <c r="D169" s="77"/>
    </row>
    <row r="170">
      <c r="C170" s="17"/>
      <c r="D170" s="77"/>
    </row>
    <row r="171">
      <c r="C171" s="17"/>
      <c r="D171" s="77"/>
    </row>
    <row r="172">
      <c r="C172" s="17"/>
      <c r="D172" s="77"/>
    </row>
    <row r="173">
      <c r="C173" s="17"/>
      <c r="D173" s="77"/>
    </row>
    <row r="174">
      <c r="C174" s="17"/>
      <c r="D174" s="77"/>
    </row>
    <row r="175">
      <c r="C175" s="17"/>
      <c r="D175" s="77"/>
    </row>
    <row r="176">
      <c r="C176" s="17"/>
      <c r="D176" s="77"/>
    </row>
    <row r="177">
      <c r="C177" s="17"/>
      <c r="D177" s="77"/>
    </row>
    <row r="178">
      <c r="C178" s="17"/>
      <c r="D178" s="77"/>
    </row>
    <row r="179">
      <c r="C179" s="17"/>
      <c r="D179" s="77"/>
    </row>
    <row r="180">
      <c r="C180" s="17"/>
      <c r="D180" s="77"/>
    </row>
    <row r="181">
      <c r="C181" s="17"/>
      <c r="D181" s="77"/>
    </row>
    <row r="182">
      <c r="C182" s="17"/>
      <c r="D182" s="77"/>
    </row>
    <row r="183">
      <c r="C183" s="17"/>
      <c r="D183" s="77"/>
    </row>
    <row r="184">
      <c r="C184" s="17"/>
      <c r="D184" s="77"/>
    </row>
    <row r="185">
      <c r="C185" s="17"/>
      <c r="D185" s="77"/>
    </row>
    <row r="186">
      <c r="C186" s="17"/>
      <c r="D186" s="77"/>
    </row>
    <row r="187">
      <c r="C187" s="17"/>
      <c r="D187" s="77"/>
    </row>
    <row r="188">
      <c r="C188" s="17"/>
      <c r="D188" s="77"/>
    </row>
    <row r="189">
      <c r="C189" s="17"/>
      <c r="D189" s="77"/>
    </row>
    <row r="190">
      <c r="C190" s="17"/>
      <c r="D190" s="77"/>
    </row>
    <row r="191">
      <c r="C191" s="17"/>
      <c r="D191" s="77"/>
    </row>
    <row r="192">
      <c r="C192" s="17"/>
      <c r="D192" s="77"/>
    </row>
    <row r="193">
      <c r="C193" s="17"/>
      <c r="D193" s="77"/>
    </row>
    <row r="194">
      <c r="C194" s="17"/>
      <c r="D194" s="77"/>
    </row>
    <row r="195">
      <c r="C195" s="17"/>
      <c r="D195" s="77"/>
    </row>
    <row r="196">
      <c r="C196" s="17"/>
      <c r="D196" s="77"/>
    </row>
    <row r="197">
      <c r="C197" s="17"/>
      <c r="D197" s="77"/>
    </row>
    <row r="198">
      <c r="C198" s="17"/>
      <c r="D198" s="77"/>
    </row>
    <row r="199">
      <c r="C199" s="17"/>
      <c r="D199" s="77"/>
    </row>
    <row r="200">
      <c r="C200" s="17"/>
      <c r="D200" s="77"/>
    </row>
    <row r="201">
      <c r="C201" s="17"/>
      <c r="D201" s="77"/>
    </row>
    <row r="202">
      <c r="C202" s="17"/>
      <c r="D202" s="77"/>
    </row>
    <row r="203">
      <c r="C203" s="17"/>
      <c r="D203" s="77"/>
    </row>
    <row r="204">
      <c r="C204" s="17"/>
      <c r="D204" s="77"/>
    </row>
    <row r="205">
      <c r="C205" s="17"/>
      <c r="D205" s="77"/>
    </row>
    <row r="206">
      <c r="C206" s="17"/>
      <c r="D206" s="77"/>
    </row>
    <row r="207">
      <c r="C207" s="17"/>
      <c r="D207" s="77"/>
    </row>
    <row r="208">
      <c r="C208" s="17"/>
      <c r="D208" s="77"/>
    </row>
    <row r="209">
      <c r="C209" s="17"/>
      <c r="D209" s="77"/>
    </row>
    <row r="210">
      <c r="C210" s="17"/>
      <c r="D210" s="77"/>
    </row>
    <row r="211">
      <c r="C211" s="17"/>
      <c r="D211" s="77"/>
    </row>
    <row r="212">
      <c r="C212" s="17"/>
      <c r="D212" s="77"/>
    </row>
    <row r="213">
      <c r="C213" s="17"/>
      <c r="D213" s="77"/>
    </row>
    <row r="214">
      <c r="C214" s="17"/>
      <c r="D214" s="77"/>
    </row>
    <row r="215">
      <c r="C215" s="17"/>
      <c r="D215" s="77"/>
    </row>
    <row r="216">
      <c r="C216" s="17"/>
      <c r="D216" s="77"/>
    </row>
    <row r="217">
      <c r="C217" s="17"/>
      <c r="D217" s="77"/>
    </row>
    <row r="218">
      <c r="C218" s="17"/>
      <c r="D218" s="77"/>
    </row>
    <row r="219">
      <c r="C219" s="17"/>
      <c r="D219" s="77"/>
    </row>
    <row r="220">
      <c r="C220" s="17"/>
      <c r="D220" s="77"/>
    </row>
    <row r="221">
      <c r="C221" s="17"/>
      <c r="D221" s="77"/>
    </row>
    <row r="222">
      <c r="C222" s="17"/>
      <c r="D222" s="77"/>
    </row>
    <row r="223">
      <c r="C223" s="17"/>
      <c r="D223" s="77"/>
    </row>
    <row r="224">
      <c r="C224" s="17"/>
      <c r="D224" s="77"/>
    </row>
    <row r="225">
      <c r="C225" s="17"/>
      <c r="D225" s="77"/>
    </row>
    <row r="226">
      <c r="C226" s="17"/>
      <c r="D226" s="77"/>
    </row>
    <row r="227">
      <c r="C227" s="17"/>
      <c r="D227" s="77"/>
    </row>
    <row r="228">
      <c r="C228" s="17"/>
      <c r="D228" s="77"/>
    </row>
    <row r="229">
      <c r="C229" s="17"/>
      <c r="D229" s="77"/>
    </row>
    <row r="230">
      <c r="C230" s="17"/>
      <c r="D230" s="77"/>
    </row>
    <row r="231">
      <c r="C231" s="17"/>
      <c r="D231" s="77"/>
    </row>
    <row r="232">
      <c r="C232" s="17"/>
      <c r="D232" s="77"/>
    </row>
    <row r="233">
      <c r="C233" s="17"/>
      <c r="D233" s="77"/>
    </row>
    <row r="234">
      <c r="C234" s="17"/>
      <c r="D234" s="77"/>
    </row>
    <row r="235">
      <c r="C235" s="17"/>
      <c r="D235" s="77"/>
    </row>
    <row r="236">
      <c r="C236" s="17"/>
      <c r="D236" s="77"/>
    </row>
    <row r="237">
      <c r="C237" s="17"/>
      <c r="D237" s="77"/>
    </row>
    <row r="238">
      <c r="C238" s="17"/>
      <c r="D238" s="77"/>
    </row>
    <row r="239">
      <c r="C239" s="17"/>
      <c r="D239" s="77"/>
    </row>
    <row r="240">
      <c r="C240" s="17"/>
      <c r="D240" s="77"/>
    </row>
    <row r="241">
      <c r="C241" s="17"/>
      <c r="D241" s="77"/>
    </row>
    <row r="242">
      <c r="C242" s="17"/>
      <c r="D242" s="77"/>
    </row>
    <row r="243">
      <c r="C243" s="17"/>
      <c r="D243" s="77"/>
    </row>
    <row r="244">
      <c r="C244" s="17"/>
      <c r="D244" s="77"/>
    </row>
    <row r="245">
      <c r="C245" s="17"/>
      <c r="D245" s="77"/>
    </row>
    <row r="246">
      <c r="C246" s="17"/>
      <c r="D246" s="77"/>
    </row>
    <row r="247">
      <c r="C247" s="17"/>
      <c r="D247" s="77"/>
    </row>
    <row r="248">
      <c r="C248" s="17"/>
      <c r="D248" s="77"/>
    </row>
    <row r="249">
      <c r="C249" s="17"/>
      <c r="D249" s="77"/>
    </row>
    <row r="250">
      <c r="C250" s="17"/>
      <c r="D250" s="77"/>
    </row>
    <row r="251">
      <c r="C251" s="17"/>
      <c r="D251" s="77"/>
    </row>
    <row r="252">
      <c r="C252" s="17"/>
      <c r="D252" s="77"/>
    </row>
    <row r="253">
      <c r="C253" s="17"/>
      <c r="D253" s="77"/>
    </row>
    <row r="254">
      <c r="C254" s="17"/>
      <c r="D254" s="77"/>
    </row>
    <row r="255">
      <c r="C255" s="17"/>
      <c r="D255" s="77"/>
    </row>
    <row r="256">
      <c r="C256" s="17"/>
      <c r="D256" s="77"/>
    </row>
    <row r="257">
      <c r="C257" s="17"/>
      <c r="D257" s="77"/>
    </row>
    <row r="258">
      <c r="C258" s="17"/>
      <c r="D258" s="77"/>
    </row>
    <row r="259">
      <c r="C259" s="17"/>
      <c r="D259" s="77"/>
    </row>
    <row r="260">
      <c r="C260" s="17"/>
      <c r="D260" s="77"/>
    </row>
    <row r="261">
      <c r="C261" s="17"/>
      <c r="D261" s="77"/>
    </row>
    <row r="262">
      <c r="C262" s="17"/>
      <c r="D262" s="77"/>
    </row>
    <row r="263">
      <c r="C263" s="17"/>
      <c r="D263" s="77"/>
    </row>
    <row r="264">
      <c r="C264" s="17"/>
      <c r="D264" s="77"/>
    </row>
    <row r="265">
      <c r="C265" s="17"/>
      <c r="D265" s="77"/>
    </row>
    <row r="266">
      <c r="C266" s="17"/>
      <c r="D266" s="77"/>
    </row>
    <row r="267">
      <c r="C267" s="17"/>
      <c r="D267" s="77"/>
    </row>
    <row r="268">
      <c r="C268" s="17"/>
      <c r="D268" s="77"/>
    </row>
    <row r="269">
      <c r="C269" s="17"/>
      <c r="D269" s="77"/>
    </row>
    <row r="270">
      <c r="C270" s="17"/>
      <c r="D270" s="77"/>
    </row>
    <row r="271">
      <c r="C271" s="17"/>
      <c r="D271" s="77"/>
    </row>
    <row r="272">
      <c r="C272" s="17"/>
      <c r="D272" s="77"/>
    </row>
    <row r="273">
      <c r="C273" s="17"/>
      <c r="D273" s="77"/>
    </row>
    <row r="274">
      <c r="C274" s="17"/>
      <c r="D274" s="77"/>
    </row>
    <row r="275">
      <c r="C275" s="17"/>
      <c r="D275" s="77"/>
    </row>
    <row r="276">
      <c r="C276" s="17"/>
      <c r="D276" s="77"/>
    </row>
    <row r="277">
      <c r="C277" s="17"/>
      <c r="D277" s="77"/>
    </row>
    <row r="278">
      <c r="C278" s="17"/>
      <c r="D278" s="77"/>
    </row>
    <row r="279">
      <c r="C279" s="17"/>
      <c r="D279" s="77"/>
    </row>
    <row r="280">
      <c r="C280" s="17"/>
      <c r="D280" s="77"/>
    </row>
    <row r="281">
      <c r="C281" s="17"/>
      <c r="D281" s="77"/>
    </row>
    <row r="282">
      <c r="C282" s="17"/>
      <c r="D282" s="77"/>
    </row>
    <row r="283">
      <c r="C283" s="17"/>
      <c r="D283" s="77"/>
    </row>
    <row r="284">
      <c r="C284" s="17"/>
      <c r="D284" s="77"/>
    </row>
    <row r="285">
      <c r="C285" s="17"/>
      <c r="D285" s="77"/>
    </row>
    <row r="286">
      <c r="C286" s="17"/>
      <c r="D286" s="77"/>
    </row>
    <row r="287">
      <c r="C287" s="17"/>
      <c r="D287" s="77"/>
    </row>
    <row r="288">
      <c r="C288" s="17"/>
      <c r="D288" s="77"/>
    </row>
    <row r="289">
      <c r="C289" s="17"/>
      <c r="D289" s="77"/>
    </row>
    <row r="290">
      <c r="C290" s="17"/>
      <c r="D290" s="77"/>
    </row>
    <row r="291">
      <c r="C291" s="17"/>
      <c r="D291" s="77"/>
    </row>
    <row r="292">
      <c r="C292" s="17"/>
      <c r="D292" s="77"/>
    </row>
    <row r="293">
      <c r="C293" s="17"/>
      <c r="D293" s="77"/>
    </row>
    <row r="294">
      <c r="C294" s="17"/>
      <c r="D294" s="77"/>
    </row>
    <row r="295">
      <c r="C295" s="17"/>
      <c r="D295" s="77"/>
    </row>
    <row r="296">
      <c r="C296" s="17"/>
      <c r="D296" s="77"/>
    </row>
    <row r="297">
      <c r="C297" s="17"/>
      <c r="D297" s="77"/>
    </row>
    <row r="298">
      <c r="C298" s="17"/>
      <c r="D298" s="77"/>
    </row>
    <row r="299">
      <c r="C299" s="17"/>
      <c r="D299" s="77"/>
    </row>
    <row r="300">
      <c r="C300" s="17"/>
      <c r="D300" s="77"/>
    </row>
    <row r="301">
      <c r="C301" s="17"/>
      <c r="D301" s="77"/>
    </row>
    <row r="302">
      <c r="C302" s="17"/>
      <c r="D302" s="77"/>
    </row>
    <row r="303">
      <c r="C303" s="17"/>
      <c r="D303" s="77"/>
    </row>
    <row r="304">
      <c r="C304" s="17"/>
      <c r="D304" s="77"/>
    </row>
    <row r="305">
      <c r="C305" s="17"/>
      <c r="D305" s="77"/>
    </row>
    <row r="306">
      <c r="C306" s="17"/>
      <c r="D306" s="77"/>
    </row>
    <row r="307">
      <c r="C307" s="17"/>
      <c r="D307" s="77"/>
    </row>
    <row r="308">
      <c r="C308" s="17"/>
      <c r="D308" s="77"/>
    </row>
    <row r="309">
      <c r="C309" s="17"/>
      <c r="D309" s="77"/>
    </row>
    <row r="310">
      <c r="C310" s="17"/>
      <c r="D310" s="77"/>
    </row>
    <row r="311">
      <c r="C311" s="17"/>
      <c r="D311" s="77"/>
    </row>
    <row r="312">
      <c r="C312" s="17"/>
      <c r="D312" s="77"/>
    </row>
    <row r="313">
      <c r="C313" s="17"/>
      <c r="D313" s="77"/>
    </row>
    <row r="314">
      <c r="C314" s="17"/>
      <c r="D314" s="77"/>
    </row>
    <row r="315">
      <c r="C315" s="17"/>
      <c r="D315" s="77"/>
    </row>
    <row r="316">
      <c r="C316" s="17"/>
      <c r="D316" s="77"/>
    </row>
    <row r="317">
      <c r="C317" s="17"/>
      <c r="D317" s="77"/>
    </row>
    <row r="318">
      <c r="C318" s="17"/>
      <c r="D318" s="77"/>
    </row>
    <row r="319">
      <c r="C319" s="17"/>
      <c r="D319" s="77"/>
    </row>
    <row r="320">
      <c r="C320" s="17"/>
      <c r="D320" s="77"/>
    </row>
    <row r="321">
      <c r="C321" s="17"/>
      <c r="D321" s="77"/>
    </row>
    <row r="322">
      <c r="C322" s="17"/>
      <c r="D322" s="77"/>
    </row>
    <row r="323">
      <c r="C323" s="17"/>
      <c r="D323" s="77"/>
    </row>
    <row r="324">
      <c r="C324" s="17"/>
      <c r="D324" s="77"/>
    </row>
    <row r="325">
      <c r="C325" s="17"/>
      <c r="D325" s="77"/>
    </row>
    <row r="326">
      <c r="C326" s="17"/>
      <c r="D326" s="77"/>
    </row>
    <row r="327">
      <c r="C327" s="17"/>
      <c r="D327" s="77"/>
    </row>
    <row r="328">
      <c r="C328" s="17"/>
      <c r="D328" s="77"/>
    </row>
    <row r="329">
      <c r="C329" s="17"/>
      <c r="D329" s="77"/>
    </row>
    <row r="330">
      <c r="C330" s="17"/>
      <c r="D330" s="77"/>
    </row>
    <row r="331">
      <c r="C331" s="17"/>
      <c r="D331" s="77"/>
    </row>
    <row r="332">
      <c r="C332" s="17"/>
      <c r="D332" s="77"/>
    </row>
    <row r="333">
      <c r="C333" s="17"/>
      <c r="D333" s="77"/>
    </row>
    <row r="334">
      <c r="C334" s="17"/>
      <c r="D334" s="77"/>
    </row>
    <row r="335">
      <c r="C335" s="17"/>
      <c r="D335" s="77"/>
    </row>
    <row r="336">
      <c r="C336" s="17"/>
      <c r="D336" s="77"/>
    </row>
    <row r="337">
      <c r="C337" s="17"/>
      <c r="D337" s="77"/>
    </row>
    <row r="338">
      <c r="C338" s="17"/>
      <c r="D338" s="77"/>
    </row>
    <row r="339">
      <c r="C339" s="17"/>
      <c r="D339" s="77"/>
    </row>
    <row r="340">
      <c r="C340" s="17"/>
      <c r="D340" s="77"/>
    </row>
    <row r="341">
      <c r="C341" s="17"/>
      <c r="D341" s="77"/>
    </row>
    <row r="342">
      <c r="C342" s="17"/>
      <c r="D342" s="77"/>
    </row>
    <row r="343">
      <c r="C343" s="17"/>
      <c r="D343" s="77"/>
    </row>
    <row r="344">
      <c r="C344" s="17"/>
      <c r="D344" s="77"/>
    </row>
    <row r="345">
      <c r="C345" s="17"/>
      <c r="D345" s="77"/>
    </row>
    <row r="346">
      <c r="C346" s="17"/>
      <c r="D346" s="77"/>
    </row>
    <row r="347">
      <c r="C347" s="17"/>
      <c r="D347" s="77"/>
    </row>
    <row r="348">
      <c r="C348" s="17"/>
      <c r="D348" s="77"/>
    </row>
    <row r="349">
      <c r="C349" s="17"/>
      <c r="D349" s="77"/>
    </row>
    <row r="350">
      <c r="C350" s="17"/>
      <c r="D350" s="77"/>
    </row>
    <row r="351">
      <c r="C351" s="17"/>
      <c r="D351" s="77"/>
    </row>
    <row r="352">
      <c r="C352" s="17"/>
      <c r="D352" s="77"/>
    </row>
    <row r="353">
      <c r="C353" s="17"/>
      <c r="D353" s="77"/>
    </row>
    <row r="354">
      <c r="C354" s="17"/>
      <c r="D354" s="77"/>
    </row>
    <row r="355">
      <c r="C355" s="17"/>
      <c r="D355" s="77"/>
    </row>
    <row r="356">
      <c r="C356" s="17"/>
      <c r="D356" s="77"/>
    </row>
    <row r="357">
      <c r="C357" s="17"/>
      <c r="D357" s="77"/>
    </row>
    <row r="358">
      <c r="C358" s="17"/>
      <c r="D358" s="77"/>
    </row>
    <row r="359">
      <c r="C359" s="17"/>
      <c r="D359" s="77"/>
    </row>
    <row r="360">
      <c r="C360" s="17"/>
      <c r="D360" s="77"/>
    </row>
    <row r="361">
      <c r="C361" s="17"/>
      <c r="D361" s="77"/>
    </row>
    <row r="362">
      <c r="C362" s="17"/>
      <c r="D362" s="77"/>
    </row>
    <row r="363">
      <c r="C363" s="17"/>
      <c r="D363" s="77"/>
    </row>
    <row r="364">
      <c r="C364" s="17"/>
      <c r="D364" s="77"/>
    </row>
    <row r="365">
      <c r="C365" s="17"/>
      <c r="D365" s="77"/>
    </row>
    <row r="366">
      <c r="C366" s="17"/>
      <c r="D366" s="77"/>
    </row>
    <row r="367">
      <c r="C367" s="17"/>
      <c r="D367" s="77"/>
    </row>
    <row r="368">
      <c r="C368" s="17"/>
      <c r="D368" s="77"/>
    </row>
    <row r="369">
      <c r="C369" s="17"/>
      <c r="D369" s="77"/>
    </row>
    <row r="370">
      <c r="C370" s="17"/>
      <c r="D370" s="77"/>
    </row>
    <row r="371">
      <c r="C371" s="17"/>
      <c r="D371" s="77"/>
    </row>
    <row r="372">
      <c r="C372" s="17"/>
      <c r="D372" s="77"/>
    </row>
    <row r="373">
      <c r="C373" s="17"/>
      <c r="D373" s="77"/>
    </row>
    <row r="374">
      <c r="C374" s="17"/>
      <c r="D374" s="77"/>
    </row>
    <row r="375">
      <c r="C375" s="17"/>
      <c r="D375" s="77"/>
    </row>
    <row r="376">
      <c r="C376" s="17"/>
      <c r="D376" s="77"/>
    </row>
    <row r="377">
      <c r="C377" s="17"/>
      <c r="D377" s="77"/>
    </row>
    <row r="378">
      <c r="C378" s="17"/>
      <c r="D378" s="77"/>
    </row>
    <row r="379">
      <c r="C379" s="17"/>
      <c r="D379" s="77"/>
    </row>
    <row r="380">
      <c r="C380" s="17"/>
      <c r="D380" s="77"/>
    </row>
    <row r="381">
      <c r="C381" s="17"/>
      <c r="D381" s="77"/>
    </row>
    <row r="382">
      <c r="C382" s="17"/>
      <c r="D382" s="77"/>
    </row>
    <row r="383">
      <c r="C383" s="17"/>
      <c r="D383" s="77"/>
    </row>
    <row r="384">
      <c r="C384" s="17"/>
      <c r="D384" s="77"/>
    </row>
    <row r="385">
      <c r="C385" s="17"/>
      <c r="D385" s="77"/>
    </row>
    <row r="386">
      <c r="C386" s="17"/>
      <c r="D386" s="77"/>
    </row>
    <row r="387">
      <c r="C387" s="17"/>
      <c r="D387" s="77"/>
    </row>
    <row r="388">
      <c r="C388" s="17"/>
      <c r="D388" s="77"/>
    </row>
    <row r="389">
      <c r="C389" s="17"/>
      <c r="D389" s="77"/>
    </row>
    <row r="390">
      <c r="C390" s="17"/>
      <c r="D390" s="77"/>
    </row>
    <row r="391">
      <c r="C391" s="17"/>
      <c r="D391" s="77"/>
    </row>
    <row r="392">
      <c r="C392" s="17"/>
      <c r="D392" s="77"/>
    </row>
    <row r="393">
      <c r="C393" s="17"/>
      <c r="D393" s="77"/>
    </row>
    <row r="394">
      <c r="C394" s="17"/>
      <c r="D394" s="77"/>
    </row>
    <row r="395">
      <c r="C395" s="17"/>
      <c r="D395" s="77"/>
    </row>
    <row r="396">
      <c r="C396" s="17"/>
      <c r="D396" s="77"/>
    </row>
    <row r="397">
      <c r="C397" s="17"/>
      <c r="D397" s="77"/>
    </row>
    <row r="398">
      <c r="C398" s="17"/>
      <c r="D398" s="77"/>
    </row>
    <row r="399">
      <c r="C399" s="17"/>
      <c r="D399" s="77"/>
    </row>
    <row r="400">
      <c r="C400" s="17"/>
      <c r="D400" s="77"/>
    </row>
    <row r="401">
      <c r="C401" s="17"/>
      <c r="D401" s="77"/>
    </row>
    <row r="402">
      <c r="C402" s="17"/>
      <c r="D402" s="77"/>
    </row>
    <row r="403">
      <c r="C403" s="17"/>
      <c r="D403" s="77"/>
    </row>
    <row r="404">
      <c r="C404" s="17"/>
      <c r="D404" s="77"/>
    </row>
    <row r="405">
      <c r="C405" s="17"/>
      <c r="D405" s="77"/>
    </row>
    <row r="406">
      <c r="C406" s="17"/>
      <c r="D406" s="77"/>
    </row>
    <row r="407">
      <c r="C407" s="17"/>
      <c r="D407" s="77"/>
    </row>
    <row r="408">
      <c r="C408" s="17"/>
      <c r="D408" s="77"/>
    </row>
    <row r="409">
      <c r="C409" s="17"/>
      <c r="D409" s="77"/>
    </row>
    <row r="410">
      <c r="C410" s="17"/>
      <c r="D410" s="77"/>
    </row>
    <row r="411">
      <c r="C411" s="17"/>
      <c r="D411" s="77"/>
    </row>
    <row r="412">
      <c r="C412" s="17"/>
      <c r="D412" s="77"/>
    </row>
    <row r="413">
      <c r="C413" s="17"/>
      <c r="D413" s="77"/>
    </row>
    <row r="414">
      <c r="C414" s="17"/>
      <c r="D414" s="77"/>
    </row>
    <row r="415">
      <c r="C415" s="17"/>
      <c r="D415" s="77"/>
    </row>
    <row r="416">
      <c r="C416" s="17"/>
      <c r="D416" s="77"/>
    </row>
    <row r="417">
      <c r="C417" s="17"/>
      <c r="D417" s="77"/>
    </row>
    <row r="418">
      <c r="C418" s="17"/>
      <c r="D418" s="77"/>
    </row>
    <row r="419">
      <c r="C419" s="17"/>
      <c r="D419" s="77"/>
    </row>
    <row r="420">
      <c r="C420" s="17"/>
      <c r="D420" s="77"/>
    </row>
    <row r="421">
      <c r="C421" s="17"/>
      <c r="D421" s="77"/>
    </row>
    <row r="422">
      <c r="C422" s="17"/>
      <c r="D422" s="77"/>
    </row>
    <row r="423">
      <c r="C423" s="17"/>
      <c r="D423" s="77"/>
    </row>
    <row r="424">
      <c r="C424" s="17"/>
      <c r="D424" s="77"/>
    </row>
    <row r="425">
      <c r="C425" s="17"/>
      <c r="D425" s="77"/>
    </row>
    <row r="426">
      <c r="C426" s="17"/>
      <c r="D426" s="77"/>
    </row>
    <row r="427">
      <c r="C427" s="17"/>
      <c r="D427" s="77"/>
    </row>
    <row r="428">
      <c r="C428" s="17"/>
      <c r="D428" s="77"/>
    </row>
    <row r="429">
      <c r="C429" s="17"/>
      <c r="D429" s="77"/>
    </row>
    <row r="430">
      <c r="C430" s="17"/>
      <c r="D430" s="77"/>
    </row>
    <row r="431">
      <c r="C431" s="17"/>
      <c r="D431" s="77"/>
    </row>
    <row r="432">
      <c r="C432" s="17"/>
      <c r="D432" s="77"/>
    </row>
    <row r="433">
      <c r="C433" s="17"/>
      <c r="D433" s="77"/>
    </row>
    <row r="434">
      <c r="C434" s="17"/>
      <c r="D434" s="77"/>
    </row>
    <row r="435">
      <c r="C435" s="17"/>
      <c r="D435" s="77"/>
    </row>
    <row r="436">
      <c r="C436" s="17"/>
      <c r="D436" s="77"/>
    </row>
    <row r="437">
      <c r="C437" s="17"/>
      <c r="D437" s="77"/>
    </row>
    <row r="438">
      <c r="C438" s="17"/>
      <c r="D438" s="77"/>
    </row>
    <row r="439">
      <c r="C439" s="17"/>
      <c r="D439" s="77"/>
    </row>
    <row r="440">
      <c r="C440" s="17"/>
      <c r="D440" s="77"/>
    </row>
    <row r="441">
      <c r="C441" s="17"/>
      <c r="D441" s="77"/>
    </row>
    <row r="442">
      <c r="C442" s="17"/>
      <c r="D442" s="77"/>
    </row>
    <row r="443">
      <c r="C443" s="17"/>
      <c r="D443" s="77"/>
    </row>
    <row r="444">
      <c r="C444" s="17"/>
      <c r="D444" s="77"/>
    </row>
    <row r="445">
      <c r="C445" s="17"/>
      <c r="D445" s="77"/>
    </row>
    <row r="446">
      <c r="C446" s="17"/>
      <c r="D446" s="77"/>
    </row>
    <row r="447">
      <c r="C447" s="17"/>
      <c r="D447" s="77"/>
    </row>
    <row r="448">
      <c r="C448" s="17"/>
      <c r="D448" s="77"/>
    </row>
    <row r="449">
      <c r="C449" s="17"/>
      <c r="D449" s="77"/>
    </row>
    <row r="450">
      <c r="C450" s="17"/>
      <c r="D450" s="77"/>
    </row>
    <row r="451">
      <c r="C451" s="17"/>
      <c r="D451" s="77"/>
    </row>
    <row r="452">
      <c r="C452" s="17"/>
      <c r="D452" s="77"/>
    </row>
    <row r="453">
      <c r="C453" s="17"/>
      <c r="D453" s="77"/>
    </row>
    <row r="454">
      <c r="C454" s="17"/>
      <c r="D454" s="77"/>
    </row>
    <row r="455">
      <c r="C455" s="17"/>
      <c r="D455" s="77"/>
    </row>
    <row r="456">
      <c r="C456" s="17"/>
      <c r="D456" s="77"/>
    </row>
    <row r="457">
      <c r="C457" s="17"/>
      <c r="D457" s="77"/>
    </row>
    <row r="458">
      <c r="C458" s="17"/>
      <c r="D458" s="77"/>
    </row>
    <row r="459">
      <c r="C459" s="17"/>
      <c r="D459" s="77"/>
    </row>
    <row r="460">
      <c r="C460" s="17"/>
      <c r="D460" s="77"/>
    </row>
    <row r="461">
      <c r="C461" s="17"/>
      <c r="D461" s="77"/>
    </row>
    <row r="462">
      <c r="C462" s="17"/>
      <c r="D462" s="77"/>
    </row>
    <row r="463">
      <c r="C463" s="17"/>
      <c r="D463" s="77"/>
    </row>
    <row r="464">
      <c r="C464" s="17"/>
      <c r="D464" s="77"/>
    </row>
    <row r="465">
      <c r="C465" s="17"/>
      <c r="D465" s="77"/>
    </row>
    <row r="466">
      <c r="C466" s="17"/>
      <c r="D466" s="77"/>
    </row>
    <row r="467">
      <c r="C467" s="17"/>
      <c r="D467" s="77"/>
    </row>
    <row r="468">
      <c r="C468" s="17"/>
      <c r="D468" s="77"/>
    </row>
    <row r="469">
      <c r="C469" s="17"/>
      <c r="D469" s="77"/>
    </row>
    <row r="470">
      <c r="C470" s="17"/>
      <c r="D470" s="77"/>
    </row>
    <row r="471">
      <c r="C471" s="17"/>
      <c r="D471" s="77"/>
    </row>
    <row r="472">
      <c r="C472" s="17"/>
      <c r="D472" s="77"/>
    </row>
    <row r="473">
      <c r="C473" s="17"/>
      <c r="D473" s="77"/>
    </row>
    <row r="474">
      <c r="C474" s="17"/>
      <c r="D474" s="77"/>
    </row>
    <row r="475">
      <c r="C475" s="17"/>
      <c r="D475" s="77"/>
    </row>
    <row r="476">
      <c r="C476" s="17"/>
      <c r="D476" s="77"/>
    </row>
    <row r="477">
      <c r="C477" s="17"/>
      <c r="D477" s="77"/>
    </row>
    <row r="478">
      <c r="C478" s="17"/>
      <c r="D478" s="77"/>
    </row>
    <row r="479">
      <c r="C479" s="17"/>
      <c r="D479" s="77"/>
    </row>
    <row r="480">
      <c r="C480" s="17"/>
      <c r="D480" s="77"/>
    </row>
    <row r="481">
      <c r="C481" s="17"/>
      <c r="D481" s="77"/>
    </row>
    <row r="482">
      <c r="C482" s="17"/>
      <c r="D482" s="77"/>
    </row>
    <row r="483">
      <c r="C483" s="17"/>
      <c r="D483" s="77"/>
    </row>
    <row r="484">
      <c r="C484" s="17"/>
      <c r="D484" s="77"/>
    </row>
    <row r="485">
      <c r="C485" s="17"/>
      <c r="D485" s="77"/>
    </row>
    <row r="486">
      <c r="C486" s="17"/>
      <c r="D486" s="77"/>
    </row>
    <row r="487">
      <c r="C487" s="17"/>
      <c r="D487" s="77"/>
    </row>
    <row r="488">
      <c r="C488" s="17"/>
      <c r="D488" s="77"/>
    </row>
    <row r="489">
      <c r="C489" s="17"/>
      <c r="D489" s="77"/>
    </row>
    <row r="490">
      <c r="C490" s="17"/>
      <c r="D490" s="77"/>
    </row>
    <row r="491">
      <c r="C491" s="17"/>
      <c r="D491" s="77"/>
    </row>
    <row r="492">
      <c r="C492" s="17"/>
      <c r="D492" s="77"/>
    </row>
    <row r="493">
      <c r="C493" s="17"/>
      <c r="D493" s="77"/>
    </row>
    <row r="494">
      <c r="C494" s="17"/>
      <c r="D494" s="77"/>
    </row>
    <row r="495">
      <c r="C495" s="17"/>
      <c r="D495" s="77"/>
    </row>
    <row r="496">
      <c r="C496" s="17"/>
      <c r="D496" s="77"/>
    </row>
    <row r="497">
      <c r="C497" s="17"/>
      <c r="D497" s="77"/>
    </row>
    <row r="498">
      <c r="C498" s="17"/>
      <c r="D498" s="77"/>
    </row>
    <row r="499">
      <c r="C499" s="17"/>
      <c r="D499" s="77"/>
    </row>
  </sheetData>
  <conditionalFormatting sqref="C100:C499">
    <cfRule type="expression" dxfId="0" priority="1">
      <formula>C100=INDIRECT("Compilation!$E"&amp;ROW()-3)</formula>
    </cfRule>
  </conditionalFormatting>
  <conditionalFormatting sqref="C100:C499">
    <cfRule type="expression" dxfId="1" priority="2">
      <formula>C100=INDIRECT("Compilation!$F"&amp;ROW()-3)</formula>
    </cfRule>
  </conditionalFormatting>
  <conditionalFormatting sqref="C100:C499">
    <cfRule type="expression" dxfId="2" priority="3">
      <formula>C100=INDIRECT("Compilation!$G"&amp;ROW()-3)</formula>
    </cfRule>
  </conditionalFormatting>
  <conditionalFormatting sqref="C100:C499">
    <cfRule type="expression" dxfId="3" priority="4">
      <formula>C100=INDIRECT("Compilation!$H"&amp;ROW()-3)</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6" t="s">
        <v>164</v>
      </c>
      <c r="B1" s="78" t="s">
        <v>165</v>
      </c>
    </row>
    <row r="3">
      <c r="B3" s="26" t="s">
        <v>166</v>
      </c>
      <c r="C3" s="26" t="s">
        <v>167</v>
      </c>
    </row>
    <row r="4">
      <c r="A4" s="20" t="s">
        <v>56</v>
      </c>
      <c r="B4" s="79"/>
      <c r="C4" s="79"/>
      <c r="D4" s="79"/>
      <c r="E4" s="79"/>
      <c r="F4" s="79"/>
      <c r="G4" s="79"/>
      <c r="H4" s="79"/>
      <c r="I4" s="79"/>
      <c r="J4" s="79"/>
      <c r="K4" s="79"/>
      <c r="L4" s="79"/>
      <c r="M4" s="79"/>
      <c r="N4" s="79"/>
      <c r="O4" s="79"/>
      <c r="P4" s="79"/>
      <c r="Q4" s="79"/>
      <c r="R4" s="79"/>
      <c r="S4" s="79"/>
      <c r="T4" s="79"/>
      <c r="U4" s="79"/>
      <c r="V4" s="79"/>
      <c r="W4" s="79"/>
      <c r="X4" s="79"/>
      <c r="Y4" s="79"/>
      <c r="Z4" s="79"/>
    </row>
    <row r="5">
      <c r="A5" s="21">
        <f>HYPERLINK("https://arcprize.org/play?task=007bbfb7", 1)</f>
        <v>1</v>
      </c>
      <c r="B5" s="80" t="s">
        <v>168</v>
      </c>
      <c r="C5" s="80" t="s">
        <v>168</v>
      </c>
      <c r="D5" s="79"/>
      <c r="E5" s="79"/>
      <c r="F5" s="79"/>
      <c r="G5" s="79"/>
      <c r="H5" s="79"/>
      <c r="I5" s="79"/>
      <c r="J5" s="79"/>
      <c r="K5" s="79"/>
      <c r="L5" s="79"/>
      <c r="M5" s="79"/>
      <c r="N5" s="79"/>
      <c r="O5" s="79"/>
      <c r="P5" s="79"/>
      <c r="Q5" s="79"/>
      <c r="R5" s="79"/>
      <c r="S5" s="79"/>
      <c r="T5" s="79"/>
      <c r="U5" s="79"/>
      <c r="V5" s="79"/>
      <c r="W5" s="79"/>
      <c r="X5" s="79"/>
      <c r="Y5" s="79"/>
      <c r="Z5" s="79"/>
    </row>
    <row r="6">
      <c r="A6" s="27">
        <f>HYPERLINK("https://arcprize.org/play?task=00d62c1b", 2)</f>
        <v>2</v>
      </c>
      <c r="B6" s="80" t="s">
        <v>169</v>
      </c>
      <c r="C6" s="80" t="s">
        <v>170</v>
      </c>
      <c r="D6" s="79"/>
      <c r="E6" s="79"/>
      <c r="F6" s="79"/>
      <c r="G6" s="79"/>
      <c r="H6" s="79"/>
      <c r="I6" s="79"/>
      <c r="J6" s="79"/>
      <c r="K6" s="79"/>
      <c r="L6" s="79"/>
      <c r="M6" s="79"/>
      <c r="N6" s="79"/>
      <c r="O6" s="79"/>
      <c r="P6" s="79"/>
      <c r="Q6" s="79"/>
      <c r="R6" s="79"/>
      <c r="S6" s="79"/>
      <c r="T6" s="79"/>
      <c r="U6" s="79"/>
      <c r="V6" s="79"/>
      <c r="W6" s="79"/>
      <c r="X6" s="79"/>
      <c r="Y6" s="79"/>
      <c r="Z6" s="79"/>
    </row>
    <row r="7">
      <c r="A7" s="81">
        <f>HYPERLINK("https://arcprize.org/play?task=017c7c7b", 3)</f>
        <v>3</v>
      </c>
      <c r="B7" s="82" t="s">
        <v>171</v>
      </c>
      <c r="C7" s="83" t="s">
        <v>172</v>
      </c>
      <c r="D7" s="19"/>
      <c r="E7" s="19"/>
      <c r="F7" s="19"/>
      <c r="G7" s="19"/>
      <c r="H7" s="19"/>
      <c r="I7" s="19"/>
      <c r="J7" s="19"/>
      <c r="K7" s="19"/>
      <c r="L7" s="19"/>
      <c r="M7" s="19"/>
      <c r="N7" s="19"/>
      <c r="O7" s="19"/>
      <c r="P7" s="19"/>
      <c r="Q7" s="19"/>
      <c r="R7" s="19"/>
      <c r="S7" s="19"/>
      <c r="T7" s="19"/>
      <c r="U7" s="19"/>
      <c r="V7" s="19"/>
      <c r="W7" s="19"/>
      <c r="X7" s="19"/>
      <c r="Y7" s="19"/>
      <c r="Z7" s="19"/>
    </row>
    <row r="8">
      <c r="A8" s="27">
        <f>HYPERLINK("https://arcprize.org/play?task=025d127b", 4)</f>
        <v>4</v>
      </c>
      <c r="B8" s="80" t="s">
        <v>173</v>
      </c>
      <c r="C8" s="79"/>
      <c r="D8" s="79"/>
      <c r="E8" s="79"/>
      <c r="F8" s="79"/>
      <c r="G8" s="79"/>
      <c r="H8" s="79"/>
      <c r="I8" s="79"/>
      <c r="J8" s="79"/>
      <c r="K8" s="79"/>
      <c r="L8" s="79"/>
      <c r="M8" s="79"/>
      <c r="N8" s="79"/>
      <c r="O8" s="79"/>
      <c r="P8" s="79"/>
      <c r="Q8" s="79"/>
      <c r="R8" s="79"/>
      <c r="S8" s="79"/>
      <c r="T8" s="79"/>
      <c r="U8" s="79"/>
      <c r="V8" s="79"/>
      <c r="W8" s="79"/>
      <c r="X8" s="79"/>
      <c r="Y8" s="79"/>
      <c r="Z8" s="79"/>
    </row>
    <row r="9">
      <c r="A9" s="27">
        <f>HYPERLINK("https://arcprize.org/play?task=045e512c", 5)</f>
        <v>5</v>
      </c>
      <c r="B9" s="80" t="s">
        <v>174</v>
      </c>
      <c r="C9" s="80" t="s">
        <v>175</v>
      </c>
      <c r="D9" s="79"/>
      <c r="E9" s="79"/>
      <c r="F9" s="79"/>
      <c r="G9" s="79"/>
      <c r="H9" s="79"/>
      <c r="I9" s="79"/>
      <c r="J9" s="79"/>
      <c r="K9" s="79"/>
      <c r="L9" s="79"/>
      <c r="M9" s="79"/>
      <c r="N9" s="79"/>
      <c r="O9" s="79"/>
      <c r="P9" s="79"/>
      <c r="Q9" s="79"/>
      <c r="R9" s="79"/>
      <c r="S9" s="79"/>
      <c r="T9" s="79"/>
      <c r="U9" s="79"/>
      <c r="V9" s="79"/>
      <c r="W9" s="79"/>
      <c r="X9" s="79"/>
      <c r="Y9" s="79"/>
      <c r="Z9" s="79"/>
    </row>
    <row r="10">
      <c r="A10" s="27">
        <f>HYPERLINK("https://arcprize.org/play?task=0520fde7", 6)</f>
        <v>6</v>
      </c>
      <c r="B10" s="80" t="s">
        <v>176</v>
      </c>
      <c r="C10" s="80" t="s">
        <v>176</v>
      </c>
      <c r="D10" s="79"/>
      <c r="E10" s="79"/>
      <c r="F10" s="79"/>
      <c r="G10" s="79"/>
      <c r="H10" s="79"/>
      <c r="I10" s="79"/>
      <c r="J10" s="79"/>
      <c r="K10" s="79"/>
      <c r="L10" s="79"/>
      <c r="M10" s="79"/>
      <c r="N10" s="79"/>
      <c r="O10" s="79"/>
      <c r="P10" s="79"/>
      <c r="Q10" s="79"/>
      <c r="R10" s="79"/>
      <c r="S10" s="79"/>
      <c r="T10" s="79"/>
      <c r="U10" s="79"/>
      <c r="V10" s="79"/>
      <c r="W10" s="79"/>
      <c r="X10" s="79"/>
      <c r="Y10" s="79"/>
      <c r="Z10" s="79"/>
    </row>
    <row r="11">
      <c r="A11" s="27">
        <f>HYPERLINK("https://arcprize.org/play?task=05269061", 7)</f>
        <v>7</v>
      </c>
      <c r="B11" s="80" t="s">
        <v>177</v>
      </c>
      <c r="C11" s="80" t="s">
        <v>178</v>
      </c>
      <c r="D11" s="79"/>
      <c r="E11" s="79"/>
      <c r="F11" s="79"/>
      <c r="G11" s="79"/>
      <c r="H11" s="79"/>
      <c r="I11" s="79"/>
      <c r="J11" s="79"/>
      <c r="K11" s="79"/>
      <c r="L11" s="79"/>
      <c r="M11" s="79"/>
      <c r="N11" s="79"/>
      <c r="O11" s="79"/>
      <c r="P11" s="79"/>
      <c r="Q11" s="79"/>
      <c r="R11" s="79"/>
      <c r="S11" s="79"/>
      <c r="T11" s="79"/>
      <c r="U11" s="79"/>
      <c r="V11" s="79"/>
      <c r="W11" s="79"/>
      <c r="X11" s="79"/>
      <c r="Y11" s="79"/>
      <c r="Z11" s="79"/>
    </row>
    <row r="12">
      <c r="A12" s="27">
        <f>HYPERLINK("https://arcprize.org/play?task=05f2a901", 8)</f>
        <v>8</v>
      </c>
      <c r="B12" s="80" t="s">
        <v>179</v>
      </c>
      <c r="C12" s="80" t="s">
        <v>180</v>
      </c>
      <c r="D12" s="79"/>
      <c r="E12" s="79"/>
      <c r="F12" s="79"/>
      <c r="G12" s="79"/>
      <c r="H12" s="79"/>
      <c r="I12" s="79"/>
      <c r="J12" s="79"/>
      <c r="K12" s="79"/>
      <c r="L12" s="79"/>
      <c r="M12" s="79"/>
      <c r="N12" s="79"/>
      <c r="O12" s="79"/>
      <c r="P12" s="79"/>
      <c r="Q12" s="79"/>
      <c r="R12" s="79"/>
      <c r="S12" s="79"/>
      <c r="T12" s="79"/>
      <c r="U12" s="79"/>
      <c r="V12" s="79"/>
      <c r="W12" s="79"/>
      <c r="X12" s="79"/>
      <c r="Y12" s="79"/>
      <c r="Z12" s="79"/>
    </row>
    <row r="13">
      <c r="A13" s="27">
        <f>HYPERLINK("https://arcprize.org/play?task=06df4c85", 9)</f>
        <v>9</v>
      </c>
      <c r="B13" s="80" t="s">
        <v>181</v>
      </c>
      <c r="C13" s="79"/>
      <c r="D13" s="79"/>
      <c r="E13" s="79"/>
      <c r="F13" s="79"/>
      <c r="G13" s="79"/>
      <c r="H13" s="79"/>
      <c r="I13" s="79"/>
      <c r="J13" s="79"/>
      <c r="K13" s="79"/>
      <c r="L13" s="79"/>
      <c r="M13" s="79"/>
      <c r="N13" s="79"/>
      <c r="O13" s="79"/>
      <c r="P13" s="79"/>
      <c r="Q13" s="79"/>
      <c r="R13" s="79"/>
      <c r="S13" s="79"/>
      <c r="T13" s="79"/>
      <c r="U13" s="79"/>
      <c r="V13" s="79"/>
      <c r="W13" s="79"/>
      <c r="X13" s="79"/>
      <c r="Y13" s="79"/>
      <c r="Z13" s="79"/>
    </row>
    <row r="14">
      <c r="A14" s="27">
        <f>HYPERLINK("https://arcprize.org/play?task=08ed6ac7", 10)</f>
        <v>10</v>
      </c>
      <c r="B14" s="80" t="s">
        <v>182</v>
      </c>
      <c r="C14" s="79"/>
      <c r="D14" s="79"/>
      <c r="E14" s="79"/>
      <c r="F14" s="79"/>
      <c r="G14" s="79"/>
      <c r="H14" s="79"/>
      <c r="I14" s="79"/>
      <c r="J14" s="79"/>
      <c r="K14" s="79"/>
      <c r="L14" s="79"/>
      <c r="M14" s="79"/>
      <c r="N14" s="79"/>
      <c r="O14" s="79"/>
      <c r="P14" s="79"/>
      <c r="Q14" s="79"/>
      <c r="R14" s="79"/>
      <c r="S14" s="79"/>
      <c r="T14" s="79"/>
      <c r="U14" s="79"/>
      <c r="V14" s="79"/>
      <c r="W14" s="79"/>
      <c r="X14" s="79"/>
      <c r="Y14" s="79"/>
      <c r="Z14" s="79"/>
    </row>
    <row r="15">
      <c r="A15" s="27">
        <f>HYPERLINK("https://arcprize.org/play?task=09629e4f", 11)</f>
        <v>11</v>
      </c>
      <c r="B15" s="80" t="s">
        <v>183</v>
      </c>
      <c r="C15" s="79"/>
      <c r="D15" s="79"/>
      <c r="E15" s="79"/>
      <c r="F15" s="79"/>
      <c r="G15" s="79"/>
      <c r="H15" s="79"/>
      <c r="I15" s="79"/>
      <c r="J15" s="79"/>
      <c r="K15" s="79"/>
      <c r="L15" s="79"/>
      <c r="M15" s="79"/>
      <c r="N15" s="79"/>
      <c r="O15" s="79"/>
      <c r="P15" s="79"/>
      <c r="Q15" s="79"/>
      <c r="R15" s="79"/>
      <c r="S15" s="79"/>
      <c r="T15" s="79"/>
      <c r="U15" s="79"/>
      <c r="V15" s="79"/>
      <c r="W15" s="79"/>
      <c r="X15" s="79"/>
      <c r="Y15" s="79"/>
      <c r="Z15" s="79"/>
    </row>
    <row r="16">
      <c r="A16" s="27">
        <f>HYPERLINK("https://arcprize.org/play?task=0962bcdd", 12)</f>
        <v>12</v>
      </c>
      <c r="B16" s="80" t="s">
        <v>184</v>
      </c>
      <c r="C16" s="79"/>
      <c r="D16" s="79"/>
      <c r="E16" s="79"/>
      <c r="F16" s="79"/>
      <c r="G16" s="79"/>
      <c r="H16" s="79"/>
      <c r="I16" s="79"/>
      <c r="J16" s="79"/>
      <c r="K16" s="79"/>
      <c r="L16" s="79"/>
      <c r="M16" s="79"/>
      <c r="N16" s="79"/>
      <c r="O16" s="79"/>
      <c r="P16" s="79"/>
      <c r="Q16" s="79"/>
      <c r="R16" s="79"/>
      <c r="S16" s="79"/>
      <c r="T16" s="79"/>
      <c r="U16" s="79"/>
      <c r="V16" s="79"/>
      <c r="W16" s="79"/>
      <c r="X16" s="79"/>
      <c r="Y16" s="79"/>
      <c r="Z16" s="79"/>
    </row>
    <row r="17">
      <c r="A17" s="27">
        <f>HYPERLINK("https://arcprize.org/play?task=0a938d79", 13)</f>
        <v>13</v>
      </c>
      <c r="B17" s="80" t="s">
        <v>185</v>
      </c>
      <c r="C17" s="80"/>
      <c r="D17" s="79"/>
      <c r="E17" s="79"/>
      <c r="F17" s="79"/>
      <c r="G17" s="79"/>
      <c r="H17" s="79"/>
      <c r="I17" s="79"/>
      <c r="J17" s="79"/>
      <c r="K17" s="79"/>
      <c r="L17" s="79"/>
      <c r="M17" s="79"/>
      <c r="N17" s="79"/>
      <c r="O17" s="79"/>
      <c r="P17" s="79"/>
      <c r="Q17" s="79"/>
      <c r="R17" s="79"/>
      <c r="S17" s="79"/>
      <c r="T17" s="79"/>
      <c r="U17" s="79"/>
      <c r="V17" s="79"/>
      <c r="W17" s="79"/>
      <c r="X17" s="79"/>
      <c r="Y17" s="79"/>
      <c r="Z17" s="79"/>
    </row>
    <row r="18">
      <c r="A18" s="27">
        <f>HYPERLINK("https://arcprize.org/play?task=0b148d64", 14)</f>
        <v>14</v>
      </c>
      <c r="B18" s="80" t="s">
        <v>186</v>
      </c>
      <c r="C18" s="79"/>
      <c r="D18" s="79"/>
      <c r="E18" s="79"/>
      <c r="F18" s="79"/>
      <c r="G18" s="79"/>
      <c r="H18" s="79"/>
      <c r="I18" s="79"/>
      <c r="J18" s="79"/>
      <c r="K18" s="79"/>
      <c r="L18" s="79"/>
      <c r="M18" s="79"/>
      <c r="N18" s="79"/>
      <c r="O18" s="79"/>
      <c r="P18" s="79"/>
      <c r="Q18" s="79"/>
      <c r="R18" s="79"/>
      <c r="S18" s="79"/>
      <c r="T18" s="79"/>
      <c r="U18" s="79"/>
      <c r="V18" s="79"/>
      <c r="W18" s="79"/>
      <c r="X18" s="79"/>
      <c r="Y18" s="79"/>
      <c r="Z18" s="79"/>
    </row>
    <row r="19">
      <c r="A19" s="27">
        <f>HYPERLINK("https://arcprize.org/play?task=0ca9ddb6", 15)</f>
        <v>15</v>
      </c>
      <c r="B19" s="80" t="s">
        <v>187</v>
      </c>
      <c r="C19" s="80" t="s">
        <v>188</v>
      </c>
      <c r="D19" s="79"/>
      <c r="E19" s="79"/>
      <c r="F19" s="79"/>
      <c r="G19" s="79"/>
      <c r="H19" s="79"/>
      <c r="I19" s="79"/>
      <c r="J19" s="79"/>
      <c r="K19" s="79"/>
      <c r="L19" s="79"/>
      <c r="M19" s="79"/>
      <c r="N19" s="79"/>
      <c r="O19" s="79"/>
      <c r="P19" s="79"/>
      <c r="Q19" s="79"/>
      <c r="R19" s="79"/>
      <c r="S19" s="79"/>
      <c r="T19" s="79"/>
      <c r="U19" s="79"/>
      <c r="V19" s="79"/>
      <c r="W19" s="79"/>
      <c r="X19" s="79"/>
      <c r="Y19" s="79"/>
      <c r="Z19" s="79"/>
    </row>
    <row r="20">
      <c r="A20" s="27">
        <f>HYPERLINK("https://arcprize.org/play?task=0d3d703e", 16)</f>
        <v>16</v>
      </c>
      <c r="B20" s="80" t="s">
        <v>189</v>
      </c>
      <c r="C20" s="80" t="s">
        <v>190</v>
      </c>
      <c r="D20" s="79"/>
      <c r="E20" s="79"/>
      <c r="F20" s="79"/>
      <c r="G20" s="79"/>
      <c r="H20" s="79"/>
      <c r="I20" s="79"/>
      <c r="J20" s="79"/>
      <c r="K20" s="79"/>
      <c r="L20" s="79"/>
      <c r="M20" s="79"/>
      <c r="N20" s="79"/>
      <c r="O20" s="79"/>
      <c r="P20" s="79"/>
      <c r="Q20" s="79"/>
      <c r="R20" s="79"/>
      <c r="S20" s="79"/>
      <c r="T20" s="79"/>
      <c r="U20" s="79"/>
      <c r="V20" s="79"/>
      <c r="W20" s="79"/>
      <c r="X20" s="79"/>
      <c r="Y20" s="79"/>
      <c r="Z20" s="79"/>
    </row>
    <row r="21">
      <c r="A21" s="27">
        <f>HYPERLINK("https://arcprize.org/play?task=0dfd9992", 17)</f>
        <v>17</v>
      </c>
      <c r="B21" s="80" t="s">
        <v>191</v>
      </c>
      <c r="C21" s="79"/>
      <c r="D21" s="79"/>
      <c r="E21" s="79"/>
      <c r="F21" s="79"/>
      <c r="G21" s="79"/>
      <c r="H21" s="79"/>
      <c r="I21" s="79"/>
      <c r="J21" s="79"/>
      <c r="K21" s="79"/>
      <c r="L21" s="79"/>
      <c r="M21" s="79"/>
      <c r="N21" s="79"/>
      <c r="O21" s="79"/>
      <c r="P21" s="79"/>
      <c r="Q21" s="79"/>
      <c r="R21" s="79"/>
      <c r="S21" s="79"/>
      <c r="T21" s="79"/>
      <c r="U21" s="79"/>
      <c r="V21" s="79"/>
      <c r="W21" s="79"/>
      <c r="X21" s="79"/>
      <c r="Y21" s="79"/>
      <c r="Z21" s="79"/>
    </row>
    <row r="22">
      <c r="A22" s="27">
        <f>HYPERLINK("https://arcprize.org/play?task=0e206a2e", 18)</f>
        <v>18</v>
      </c>
      <c r="B22" s="80" t="s">
        <v>192</v>
      </c>
      <c r="C22" s="79"/>
      <c r="D22" s="79"/>
      <c r="E22" s="79"/>
      <c r="F22" s="79"/>
      <c r="G22" s="79"/>
      <c r="H22" s="79"/>
      <c r="I22" s="79"/>
      <c r="J22" s="79"/>
      <c r="K22" s="79"/>
      <c r="L22" s="79"/>
      <c r="M22" s="79"/>
      <c r="N22" s="79"/>
      <c r="O22" s="79"/>
      <c r="P22" s="79"/>
      <c r="Q22" s="79"/>
      <c r="R22" s="79"/>
      <c r="S22" s="79"/>
      <c r="T22" s="79"/>
      <c r="U22" s="79"/>
      <c r="V22" s="79"/>
      <c r="W22" s="79"/>
      <c r="X22" s="79"/>
      <c r="Y22" s="79"/>
      <c r="Z22" s="79"/>
    </row>
    <row r="23">
      <c r="A23" s="27">
        <f>HYPERLINK("https://arcprize.org/play?task=10fcaaa3", 19)</f>
        <v>19</v>
      </c>
      <c r="B23" s="80" t="s">
        <v>193</v>
      </c>
      <c r="C23" s="80" t="s">
        <v>194</v>
      </c>
      <c r="D23" s="79"/>
      <c r="E23" s="79"/>
      <c r="F23" s="79"/>
      <c r="G23" s="79"/>
      <c r="H23" s="79"/>
      <c r="I23" s="79"/>
      <c r="J23" s="79"/>
      <c r="K23" s="79"/>
      <c r="L23" s="79"/>
      <c r="M23" s="79"/>
      <c r="N23" s="79"/>
      <c r="O23" s="79"/>
      <c r="P23" s="79"/>
      <c r="Q23" s="79"/>
      <c r="R23" s="79"/>
      <c r="S23" s="79"/>
      <c r="T23" s="79"/>
      <c r="U23" s="79"/>
      <c r="V23" s="79"/>
      <c r="W23" s="79"/>
      <c r="X23" s="79"/>
      <c r="Y23" s="79"/>
      <c r="Z23" s="79"/>
    </row>
    <row r="24">
      <c r="A24" s="27">
        <f>HYPERLINK("https://arcprize.org/play?task=11852cab", 20)</f>
        <v>20</v>
      </c>
      <c r="B24" s="80" t="s">
        <v>195</v>
      </c>
      <c r="C24" s="79"/>
      <c r="D24" s="79"/>
      <c r="E24" s="79"/>
      <c r="F24" s="79"/>
      <c r="G24" s="79"/>
      <c r="H24" s="79"/>
      <c r="I24" s="79"/>
      <c r="J24" s="79"/>
      <c r="K24" s="79"/>
      <c r="L24" s="79"/>
      <c r="M24" s="79"/>
      <c r="N24" s="79"/>
      <c r="O24" s="79"/>
      <c r="P24" s="79"/>
      <c r="Q24" s="79"/>
      <c r="R24" s="79"/>
      <c r="S24" s="79"/>
      <c r="T24" s="79"/>
      <c r="U24" s="79"/>
      <c r="V24" s="79"/>
      <c r="W24" s="79"/>
      <c r="X24" s="79"/>
      <c r="Y24" s="79"/>
      <c r="Z24" s="79"/>
    </row>
    <row r="25">
      <c r="A25" s="27">
        <f>HYPERLINK("https://arcprize.org/play?task=1190e5a7", 21)</f>
        <v>21</v>
      </c>
      <c r="B25" s="80" t="s">
        <v>196</v>
      </c>
      <c r="C25" s="79"/>
      <c r="D25" s="79"/>
      <c r="E25" s="79"/>
      <c r="F25" s="79"/>
      <c r="G25" s="79"/>
      <c r="H25" s="79"/>
      <c r="I25" s="79"/>
      <c r="J25" s="79"/>
      <c r="K25" s="79"/>
      <c r="L25" s="79"/>
      <c r="M25" s="79"/>
      <c r="N25" s="79"/>
      <c r="O25" s="79"/>
      <c r="P25" s="79"/>
      <c r="Q25" s="79"/>
      <c r="R25" s="79"/>
      <c r="S25" s="79"/>
      <c r="T25" s="79"/>
      <c r="U25" s="79"/>
      <c r="V25" s="79"/>
      <c r="W25" s="79"/>
      <c r="X25" s="79"/>
      <c r="Y25" s="79"/>
      <c r="Z25" s="79"/>
    </row>
    <row r="26">
      <c r="A26" s="27">
        <f>HYPERLINK("https://arcprize.org/play?task=137eaa0f", 22)</f>
        <v>22</v>
      </c>
      <c r="B26" s="80" t="s">
        <v>197</v>
      </c>
      <c r="C26" s="79"/>
      <c r="D26" s="79"/>
      <c r="E26" s="79"/>
      <c r="F26" s="79"/>
      <c r="G26" s="79"/>
      <c r="H26" s="79"/>
      <c r="I26" s="79"/>
      <c r="J26" s="79"/>
      <c r="K26" s="79"/>
      <c r="L26" s="79"/>
      <c r="M26" s="79"/>
      <c r="N26" s="79"/>
      <c r="O26" s="79"/>
      <c r="P26" s="79"/>
      <c r="Q26" s="79"/>
      <c r="R26" s="79"/>
      <c r="S26" s="79"/>
      <c r="T26" s="79"/>
      <c r="U26" s="79"/>
      <c r="V26" s="79"/>
      <c r="W26" s="79"/>
      <c r="X26" s="79"/>
      <c r="Y26" s="79"/>
      <c r="Z26" s="79"/>
    </row>
    <row r="27">
      <c r="A27" s="27">
        <f>HYPERLINK("https://arcprize.org/play?task=150deff5", 23)</f>
        <v>23</v>
      </c>
      <c r="B27" s="80" t="s">
        <v>198</v>
      </c>
      <c r="C27" s="79"/>
      <c r="D27" s="79"/>
      <c r="E27" s="79"/>
      <c r="F27" s="79"/>
      <c r="G27" s="79"/>
      <c r="H27" s="79"/>
      <c r="I27" s="79"/>
      <c r="J27" s="79"/>
      <c r="K27" s="79"/>
      <c r="L27" s="79"/>
      <c r="M27" s="79"/>
      <c r="N27" s="79"/>
      <c r="O27" s="79"/>
      <c r="P27" s="79"/>
      <c r="Q27" s="79"/>
      <c r="R27" s="79"/>
      <c r="S27" s="79"/>
      <c r="T27" s="79"/>
      <c r="U27" s="79"/>
      <c r="V27" s="79"/>
      <c r="W27" s="79"/>
      <c r="X27" s="79"/>
      <c r="Y27" s="79"/>
      <c r="Z27" s="79"/>
    </row>
    <row r="28">
      <c r="A28" s="27">
        <f>HYPERLINK("https://arcprize.org/play?task=178fcbfb", 24)</f>
        <v>24</v>
      </c>
      <c r="B28" s="80" t="s">
        <v>199</v>
      </c>
      <c r="C28" s="79"/>
      <c r="D28" s="79"/>
      <c r="E28" s="79"/>
      <c r="F28" s="79"/>
      <c r="G28" s="79"/>
      <c r="H28" s="79"/>
      <c r="I28" s="79"/>
      <c r="J28" s="79"/>
      <c r="K28" s="79"/>
      <c r="L28" s="79"/>
      <c r="M28" s="79"/>
      <c r="N28" s="79"/>
      <c r="O28" s="79"/>
      <c r="P28" s="79"/>
      <c r="Q28" s="79"/>
      <c r="R28" s="79"/>
      <c r="S28" s="79"/>
      <c r="T28" s="79"/>
      <c r="U28" s="79"/>
      <c r="V28" s="79"/>
      <c r="W28" s="79"/>
      <c r="X28" s="79"/>
      <c r="Y28" s="79"/>
      <c r="Z28" s="79"/>
    </row>
    <row r="29">
      <c r="A29" s="27">
        <f>HYPERLINK("https://arcprize.org/play?task=1a07d186", 25)</f>
        <v>25</v>
      </c>
      <c r="B29" s="80" t="s">
        <v>200</v>
      </c>
      <c r="C29" s="79"/>
      <c r="D29" s="79"/>
      <c r="E29" s="79"/>
      <c r="F29" s="79"/>
      <c r="G29" s="79"/>
      <c r="H29" s="79"/>
      <c r="I29" s="79"/>
      <c r="J29" s="79"/>
      <c r="K29" s="79"/>
      <c r="L29" s="79"/>
      <c r="M29" s="79"/>
      <c r="N29" s="79"/>
      <c r="O29" s="79"/>
      <c r="P29" s="79"/>
      <c r="Q29" s="79"/>
      <c r="R29" s="79"/>
      <c r="S29" s="79"/>
      <c r="T29" s="79"/>
      <c r="U29" s="79"/>
      <c r="V29" s="79"/>
      <c r="W29" s="79"/>
      <c r="X29" s="79"/>
      <c r="Y29" s="79"/>
      <c r="Z29" s="79"/>
    </row>
    <row r="30">
      <c r="A30" s="27">
        <f>HYPERLINK("https://arcprize.org/play?task=1b2d62fb", 26)</f>
        <v>26</v>
      </c>
      <c r="B30" s="80" t="s">
        <v>201</v>
      </c>
      <c r="C30" s="79"/>
      <c r="D30" s="79"/>
      <c r="E30" s="79"/>
      <c r="F30" s="79"/>
      <c r="G30" s="79"/>
      <c r="H30" s="79"/>
      <c r="I30" s="79"/>
      <c r="J30" s="79"/>
      <c r="K30" s="79"/>
      <c r="L30" s="79"/>
      <c r="M30" s="79"/>
      <c r="N30" s="79"/>
      <c r="O30" s="79"/>
      <c r="P30" s="79"/>
      <c r="Q30" s="79"/>
      <c r="R30" s="79"/>
      <c r="S30" s="79"/>
      <c r="T30" s="79"/>
      <c r="U30" s="79"/>
      <c r="V30" s="79"/>
      <c r="W30" s="79"/>
      <c r="X30" s="79"/>
      <c r="Y30" s="79"/>
      <c r="Z30" s="79"/>
    </row>
    <row r="31">
      <c r="A31" s="27">
        <f>HYPERLINK("https://arcprize.org/play?task=1b60fb0c", 27)</f>
        <v>27</v>
      </c>
      <c r="B31" s="80" t="s">
        <v>202</v>
      </c>
      <c r="C31" s="79"/>
      <c r="D31" s="79"/>
      <c r="E31" s="79"/>
      <c r="F31" s="79"/>
      <c r="G31" s="79"/>
      <c r="H31" s="79"/>
      <c r="I31" s="79"/>
      <c r="J31" s="79"/>
      <c r="K31" s="79"/>
      <c r="L31" s="79"/>
      <c r="M31" s="79"/>
      <c r="N31" s="79"/>
      <c r="O31" s="79"/>
      <c r="P31" s="79"/>
      <c r="Q31" s="79"/>
      <c r="R31" s="79"/>
      <c r="S31" s="79"/>
      <c r="T31" s="79"/>
      <c r="U31" s="79"/>
      <c r="V31" s="79"/>
      <c r="W31" s="79"/>
      <c r="X31" s="79"/>
      <c r="Y31" s="79"/>
      <c r="Z31" s="79"/>
    </row>
    <row r="32">
      <c r="A32" s="27">
        <f>HYPERLINK("https://arcprize.org/play?task=1bfc4729", 28)</f>
        <v>28</v>
      </c>
      <c r="B32" s="80" t="s">
        <v>203</v>
      </c>
      <c r="C32" s="79"/>
      <c r="D32" s="79"/>
      <c r="E32" s="79"/>
      <c r="F32" s="79"/>
      <c r="G32" s="79"/>
      <c r="H32" s="79"/>
      <c r="I32" s="79"/>
      <c r="J32" s="79"/>
      <c r="K32" s="79"/>
      <c r="L32" s="79"/>
      <c r="M32" s="79"/>
      <c r="N32" s="79"/>
      <c r="O32" s="79"/>
      <c r="P32" s="79"/>
      <c r="Q32" s="79"/>
      <c r="R32" s="79"/>
      <c r="S32" s="79"/>
      <c r="T32" s="79"/>
      <c r="U32" s="79"/>
      <c r="V32" s="79"/>
      <c r="W32" s="79"/>
      <c r="X32" s="79"/>
      <c r="Y32" s="79"/>
      <c r="Z32" s="79"/>
    </row>
    <row r="33">
      <c r="A33" s="27">
        <f>HYPERLINK("https://arcprize.org/play?task=1c786137", 29)</f>
        <v>29</v>
      </c>
      <c r="B33" s="80" t="s">
        <v>204</v>
      </c>
      <c r="C33" s="79"/>
      <c r="D33" s="79"/>
      <c r="E33" s="79"/>
      <c r="F33" s="79"/>
      <c r="G33" s="79"/>
      <c r="H33" s="79"/>
      <c r="I33" s="79"/>
      <c r="J33" s="79"/>
      <c r="K33" s="79"/>
      <c r="L33" s="79"/>
      <c r="M33" s="79"/>
      <c r="N33" s="79"/>
      <c r="O33" s="79"/>
      <c r="P33" s="79"/>
      <c r="Q33" s="79"/>
      <c r="R33" s="79"/>
      <c r="S33" s="79"/>
      <c r="T33" s="79"/>
      <c r="U33" s="79"/>
      <c r="V33" s="79"/>
      <c r="W33" s="79"/>
      <c r="X33" s="79"/>
      <c r="Y33" s="79"/>
      <c r="Z33" s="79"/>
    </row>
    <row r="34">
      <c r="A34" s="27">
        <f>HYPERLINK("https://arcprize.org/play?task=1caeab9d", 30)</f>
        <v>30</v>
      </c>
      <c r="B34" s="80" t="s">
        <v>205</v>
      </c>
      <c r="C34" s="79"/>
      <c r="D34" s="79"/>
      <c r="E34" s="79"/>
      <c r="F34" s="79"/>
      <c r="G34" s="79"/>
      <c r="H34" s="79"/>
      <c r="I34" s="79"/>
      <c r="J34" s="79"/>
      <c r="K34" s="79"/>
      <c r="L34" s="79"/>
      <c r="M34" s="79"/>
      <c r="N34" s="79"/>
      <c r="O34" s="79"/>
      <c r="P34" s="79"/>
      <c r="Q34" s="79"/>
      <c r="R34" s="79"/>
      <c r="S34" s="79"/>
      <c r="T34" s="79"/>
      <c r="U34" s="79"/>
      <c r="V34" s="79"/>
      <c r="W34" s="79"/>
      <c r="X34" s="79"/>
      <c r="Y34" s="79"/>
      <c r="Z34" s="79"/>
    </row>
    <row r="35">
      <c r="A35" s="27">
        <f>HYPERLINK("https://arcprize.org/play?task=1cf80156", 31)</f>
        <v>31</v>
      </c>
      <c r="B35" s="80" t="s">
        <v>206</v>
      </c>
      <c r="C35" s="79"/>
      <c r="D35" s="79"/>
      <c r="E35" s="79"/>
      <c r="F35" s="79"/>
      <c r="G35" s="79"/>
      <c r="H35" s="79"/>
      <c r="I35" s="79"/>
      <c r="J35" s="79"/>
      <c r="K35" s="79"/>
      <c r="L35" s="79"/>
      <c r="M35" s="79"/>
      <c r="N35" s="79"/>
      <c r="O35" s="79"/>
      <c r="P35" s="79"/>
      <c r="Q35" s="79"/>
      <c r="R35" s="79"/>
      <c r="S35" s="79"/>
      <c r="T35" s="79"/>
      <c r="U35" s="79"/>
      <c r="V35" s="79"/>
      <c r="W35" s="79"/>
      <c r="X35" s="79"/>
      <c r="Y35" s="79"/>
      <c r="Z35" s="79"/>
    </row>
    <row r="36">
      <c r="A36" s="27">
        <f>HYPERLINK("https://arcprize.org/play?task=1e0a9b12", 32)</f>
        <v>32</v>
      </c>
      <c r="B36" s="80" t="s">
        <v>207</v>
      </c>
      <c r="C36" s="79"/>
      <c r="D36" s="79"/>
      <c r="E36" s="79"/>
      <c r="F36" s="79"/>
      <c r="G36" s="79"/>
      <c r="H36" s="79"/>
      <c r="I36" s="79"/>
      <c r="J36" s="79"/>
      <c r="K36" s="79"/>
      <c r="L36" s="79"/>
      <c r="M36" s="79"/>
      <c r="N36" s="79"/>
      <c r="O36" s="79"/>
      <c r="P36" s="79"/>
      <c r="Q36" s="79"/>
      <c r="R36" s="79"/>
      <c r="S36" s="79"/>
      <c r="T36" s="79"/>
      <c r="U36" s="79"/>
      <c r="V36" s="79"/>
      <c r="W36" s="79"/>
      <c r="X36" s="79"/>
      <c r="Y36" s="79"/>
      <c r="Z36" s="79"/>
    </row>
    <row r="37">
      <c r="A37" s="27">
        <f>HYPERLINK("https://arcprize.org/play?task=1e32b0e9", 33)</f>
        <v>33</v>
      </c>
      <c r="B37" s="80" t="s">
        <v>208</v>
      </c>
      <c r="C37" s="79"/>
      <c r="D37" s="79"/>
      <c r="E37" s="79"/>
      <c r="F37" s="79"/>
      <c r="G37" s="79"/>
      <c r="H37" s="79"/>
      <c r="I37" s="79"/>
      <c r="J37" s="79"/>
      <c r="K37" s="79"/>
      <c r="L37" s="79"/>
      <c r="M37" s="79"/>
      <c r="N37" s="79"/>
      <c r="O37" s="79"/>
      <c r="P37" s="79"/>
      <c r="Q37" s="79"/>
      <c r="R37" s="79"/>
      <c r="S37" s="79"/>
      <c r="T37" s="79"/>
      <c r="U37" s="79"/>
      <c r="V37" s="79"/>
      <c r="W37" s="79"/>
      <c r="X37" s="79"/>
      <c r="Y37" s="79"/>
      <c r="Z37" s="79"/>
    </row>
    <row r="38">
      <c r="A38" s="27">
        <f>HYPERLINK("https://arcprize.org/play?task=1f0c79e5", 34)</f>
        <v>34</v>
      </c>
      <c r="B38" s="80" t="s">
        <v>209</v>
      </c>
      <c r="C38" s="79"/>
      <c r="D38" s="79"/>
      <c r="E38" s="79"/>
      <c r="F38" s="79"/>
      <c r="G38" s="79"/>
      <c r="H38" s="79"/>
      <c r="I38" s="79"/>
      <c r="J38" s="79"/>
      <c r="K38" s="79"/>
      <c r="L38" s="79"/>
      <c r="M38" s="79"/>
      <c r="N38" s="79"/>
      <c r="O38" s="79"/>
      <c r="P38" s="79"/>
      <c r="Q38" s="79"/>
      <c r="R38" s="79"/>
      <c r="S38" s="79"/>
      <c r="T38" s="79"/>
      <c r="U38" s="79"/>
      <c r="V38" s="79"/>
      <c r="W38" s="79"/>
      <c r="X38" s="79"/>
      <c r="Y38" s="79"/>
      <c r="Z38" s="79"/>
    </row>
    <row r="39">
      <c r="A39" s="27">
        <f>HYPERLINK("https://arcprize.org/play?task=1f642eb9", 35)</f>
        <v>35</v>
      </c>
      <c r="B39" s="80" t="s">
        <v>210</v>
      </c>
      <c r="C39" s="79"/>
      <c r="D39" s="79"/>
      <c r="E39" s="79"/>
      <c r="F39" s="79"/>
      <c r="G39" s="79"/>
      <c r="H39" s="79"/>
      <c r="I39" s="79"/>
      <c r="J39" s="79"/>
      <c r="K39" s="79"/>
      <c r="L39" s="79"/>
      <c r="M39" s="79"/>
      <c r="N39" s="79"/>
      <c r="O39" s="79"/>
      <c r="P39" s="79"/>
      <c r="Q39" s="79"/>
      <c r="R39" s="79"/>
      <c r="S39" s="79"/>
      <c r="T39" s="79"/>
      <c r="U39" s="79"/>
      <c r="V39" s="79"/>
      <c r="W39" s="79"/>
      <c r="X39" s="79"/>
      <c r="Y39" s="79"/>
      <c r="Z39" s="79"/>
    </row>
    <row r="40">
      <c r="A40" s="27">
        <f>HYPERLINK("https://arcprize.org/play?task=1f85a75f", 36)</f>
        <v>36</v>
      </c>
      <c r="B40" s="80" t="s">
        <v>211</v>
      </c>
      <c r="C40" s="79"/>
      <c r="D40" s="79"/>
      <c r="E40" s="79"/>
      <c r="F40" s="79"/>
      <c r="G40" s="79"/>
      <c r="H40" s="79"/>
      <c r="I40" s="79"/>
      <c r="J40" s="79"/>
      <c r="K40" s="79"/>
      <c r="L40" s="79"/>
      <c r="M40" s="79"/>
      <c r="N40" s="79"/>
      <c r="O40" s="79"/>
      <c r="P40" s="79"/>
      <c r="Q40" s="79"/>
      <c r="R40" s="79"/>
      <c r="S40" s="79"/>
      <c r="T40" s="79"/>
      <c r="U40" s="79"/>
      <c r="V40" s="79"/>
      <c r="W40" s="79"/>
      <c r="X40" s="79"/>
      <c r="Y40" s="79"/>
      <c r="Z40" s="79"/>
    </row>
    <row r="41">
      <c r="A41" s="27">
        <f>HYPERLINK("https://arcprize.org/play?task=1f876c06", 37)</f>
        <v>37</v>
      </c>
      <c r="B41" s="80" t="s">
        <v>212</v>
      </c>
      <c r="C41" s="79"/>
      <c r="D41" s="79"/>
      <c r="E41" s="79"/>
      <c r="F41" s="79"/>
      <c r="G41" s="79"/>
      <c r="H41" s="79"/>
      <c r="I41" s="79"/>
      <c r="J41" s="79"/>
      <c r="K41" s="79"/>
      <c r="L41" s="79"/>
      <c r="M41" s="79"/>
      <c r="N41" s="79"/>
      <c r="O41" s="79"/>
      <c r="P41" s="79"/>
      <c r="Q41" s="79"/>
      <c r="R41" s="79"/>
      <c r="S41" s="79"/>
      <c r="T41" s="79"/>
      <c r="U41" s="79"/>
      <c r="V41" s="79"/>
      <c r="W41" s="79"/>
      <c r="X41" s="79"/>
      <c r="Y41" s="79"/>
      <c r="Z41" s="79"/>
    </row>
    <row r="42">
      <c r="A42" s="27">
        <f>HYPERLINK("https://arcprize.org/play?task=1fad071e", 38)</f>
        <v>38</v>
      </c>
      <c r="B42" s="80" t="s">
        <v>213</v>
      </c>
      <c r="C42" s="79"/>
      <c r="D42" s="79"/>
      <c r="E42" s="79"/>
      <c r="F42" s="79"/>
      <c r="G42" s="79"/>
      <c r="H42" s="79"/>
      <c r="I42" s="79"/>
      <c r="J42" s="79"/>
      <c r="K42" s="79"/>
      <c r="L42" s="79"/>
      <c r="M42" s="79"/>
      <c r="N42" s="79"/>
      <c r="O42" s="79"/>
      <c r="P42" s="79"/>
      <c r="Q42" s="79"/>
      <c r="R42" s="79"/>
      <c r="S42" s="79"/>
      <c r="T42" s="79"/>
      <c r="U42" s="79"/>
      <c r="V42" s="79"/>
      <c r="W42" s="79"/>
      <c r="X42" s="79"/>
      <c r="Y42" s="79"/>
      <c r="Z42" s="79"/>
    </row>
    <row r="43">
      <c r="A43" s="27">
        <f>HYPERLINK("https://arcprize.org/play?task=2013d3e2", 39)</f>
        <v>39</v>
      </c>
      <c r="B43" s="80" t="s">
        <v>214</v>
      </c>
      <c r="C43" s="79"/>
      <c r="D43" s="79"/>
      <c r="E43" s="79"/>
      <c r="F43" s="79"/>
      <c r="G43" s="79"/>
      <c r="H43" s="79"/>
      <c r="I43" s="79"/>
      <c r="J43" s="79"/>
      <c r="K43" s="79"/>
      <c r="L43" s="79"/>
      <c r="M43" s="79"/>
      <c r="N43" s="79"/>
      <c r="O43" s="79"/>
      <c r="P43" s="79"/>
      <c r="Q43" s="79"/>
      <c r="R43" s="79"/>
      <c r="S43" s="79"/>
      <c r="T43" s="79"/>
      <c r="U43" s="79"/>
      <c r="V43" s="79"/>
      <c r="W43" s="79"/>
      <c r="X43" s="79"/>
      <c r="Y43" s="79"/>
      <c r="Z43" s="79"/>
    </row>
    <row r="44">
      <c r="A44" s="27">
        <f>HYPERLINK("https://arcprize.org/play?task=2204b7a8", 40)</f>
        <v>40</v>
      </c>
      <c r="B44" s="80" t="s">
        <v>215</v>
      </c>
      <c r="C44" s="79"/>
      <c r="D44" s="79"/>
      <c r="E44" s="79"/>
      <c r="F44" s="79"/>
      <c r="G44" s="79"/>
      <c r="H44" s="79"/>
      <c r="I44" s="79"/>
      <c r="J44" s="79"/>
      <c r="K44" s="79"/>
      <c r="L44" s="79"/>
      <c r="M44" s="79"/>
      <c r="N44" s="79"/>
      <c r="O44" s="79"/>
      <c r="P44" s="79"/>
      <c r="Q44" s="79"/>
      <c r="R44" s="79"/>
      <c r="S44" s="79"/>
      <c r="T44" s="79"/>
      <c r="U44" s="79"/>
      <c r="V44" s="79"/>
      <c r="W44" s="79"/>
      <c r="X44" s="79"/>
      <c r="Y44" s="79"/>
      <c r="Z44" s="79"/>
    </row>
    <row r="45">
      <c r="A45" s="81">
        <f>HYPERLINK("https://arcprize.org/play?task=22168020", 41)</f>
        <v>41</v>
      </c>
      <c r="B45" s="82" t="s">
        <v>216</v>
      </c>
      <c r="C45" s="82" t="s">
        <v>216</v>
      </c>
      <c r="D45" s="19"/>
      <c r="E45" s="19"/>
      <c r="F45" s="19"/>
      <c r="G45" s="19"/>
      <c r="H45" s="19"/>
      <c r="I45" s="19"/>
      <c r="J45" s="19"/>
      <c r="K45" s="19"/>
      <c r="L45" s="19"/>
      <c r="M45" s="19"/>
      <c r="N45" s="19"/>
      <c r="O45" s="19"/>
      <c r="P45" s="19"/>
      <c r="Q45" s="19"/>
      <c r="R45" s="19"/>
      <c r="S45" s="19"/>
      <c r="T45" s="19"/>
      <c r="U45" s="19"/>
      <c r="V45" s="19"/>
      <c r="W45" s="19"/>
      <c r="X45" s="19"/>
      <c r="Y45" s="19"/>
      <c r="Z45" s="19"/>
    </row>
    <row r="46">
      <c r="A46" s="27">
        <f>HYPERLINK("https://arcprize.org/play?task=22233c11", 42)</f>
        <v>42</v>
      </c>
      <c r="B46" s="80" t="s">
        <v>217</v>
      </c>
      <c r="C46" s="79"/>
      <c r="D46" s="79"/>
      <c r="E46" s="79"/>
      <c r="F46" s="79"/>
      <c r="G46" s="79"/>
      <c r="H46" s="79"/>
      <c r="I46" s="79"/>
      <c r="J46" s="79"/>
      <c r="K46" s="79"/>
      <c r="L46" s="79"/>
      <c r="M46" s="79"/>
      <c r="N46" s="79"/>
      <c r="O46" s="79"/>
      <c r="P46" s="79"/>
      <c r="Q46" s="79"/>
      <c r="R46" s="79"/>
      <c r="S46" s="79"/>
      <c r="T46" s="79"/>
      <c r="U46" s="79"/>
      <c r="V46" s="79"/>
      <c r="W46" s="79"/>
      <c r="X46" s="79"/>
      <c r="Y46" s="79"/>
      <c r="Z46" s="79"/>
    </row>
    <row r="47">
      <c r="A47" s="27">
        <f>HYPERLINK("https://arcprize.org/play?task=2281f1f4", 43)</f>
        <v>43</v>
      </c>
      <c r="B47" s="80" t="s">
        <v>218</v>
      </c>
      <c r="C47" s="80" t="s">
        <v>219</v>
      </c>
      <c r="D47" s="79"/>
      <c r="E47" s="79"/>
      <c r="F47" s="79"/>
      <c r="G47" s="79"/>
      <c r="H47" s="79"/>
      <c r="I47" s="79"/>
      <c r="J47" s="79"/>
      <c r="K47" s="79"/>
      <c r="L47" s="79"/>
      <c r="M47" s="79"/>
      <c r="N47" s="79"/>
      <c r="O47" s="79"/>
      <c r="P47" s="79"/>
      <c r="Q47" s="79"/>
      <c r="R47" s="79"/>
      <c r="S47" s="79"/>
      <c r="T47" s="79"/>
      <c r="U47" s="79"/>
      <c r="V47" s="79"/>
      <c r="W47" s="79"/>
      <c r="X47" s="79"/>
      <c r="Y47" s="79"/>
      <c r="Z47" s="79"/>
    </row>
    <row r="48">
      <c r="A48" s="27">
        <f>HYPERLINK("https://arcprize.org/play?task=228f6490", 44)</f>
        <v>44</v>
      </c>
      <c r="B48" s="80" t="s">
        <v>220</v>
      </c>
      <c r="C48" s="79"/>
      <c r="D48" s="79"/>
      <c r="E48" s="79"/>
      <c r="F48" s="79"/>
      <c r="G48" s="79"/>
      <c r="H48" s="79"/>
      <c r="I48" s="79"/>
      <c r="J48" s="79"/>
      <c r="K48" s="79"/>
      <c r="L48" s="79"/>
      <c r="M48" s="79"/>
      <c r="N48" s="79"/>
      <c r="O48" s="79"/>
      <c r="P48" s="79"/>
      <c r="Q48" s="79"/>
      <c r="R48" s="79"/>
      <c r="S48" s="79"/>
      <c r="T48" s="79"/>
      <c r="U48" s="79"/>
      <c r="V48" s="79"/>
      <c r="W48" s="79"/>
      <c r="X48" s="79"/>
      <c r="Y48" s="79"/>
      <c r="Z48" s="79"/>
    </row>
    <row r="49">
      <c r="A49" s="27">
        <f>HYPERLINK("https://arcprize.org/play?task=22eb0ac0", 45)</f>
        <v>45</v>
      </c>
      <c r="B49" s="80" t="s">
        <v>221</v>
      </c>
      <c r="C49" s="80" t="s">
        <v>222</v>
      </c>
      <c r="D49" s="79"/>
      <c r="E49" s="79"/>
      <c r="F49" s="79"/>
      <c r="G49" s="79"/>
      <c r="H49" s="79"/>
      <c r="I49" s="79"/>
      <c r="J49" s="79"/>
      <c r="K49" s="79"/>
      <c r="L49" s="79"/>
      <c r="M49" s="79"/>
      <c r="N49" s="79"/>
      <c r="O49" s="79"/>
      <c r="P49" s="79"/>
      <c r="Q49" s="79"/>
      <c r="R49" s="79"/>
      <c r="S49" s="79"/>
      <c r="T49" s="79"/>
      <c r="U49" s="79"/>
      <c r="V49" s="79"/>
      <c r="W49" s="79"/>
      <c r="X49" s="79"/>
      <c r="Y49" s="79"/>
      <c r="Z49" s="79"/>
    </row>
    <row r="50">
      <c r="A50" s="27">
        <f>HYPERLINK("https://arcprize.org/play?task=234bbc79", 46)</f>
        <v>46</v>
      </c>
      <c r="B50" s="80" t="s">
        <v>223</v>
      </c>
      <c r="C50" s="79"/>
      <c r="D50" s="79"/>
      <c r="E50" s="79"/>
      <c r="F50" s="79"/>
      <c r="G50" s="79"/>
      <c r="H50" s="79"/>
      <c r="I50" s="79"/>
      <c r="J50" s="79"/>
      <c r="K50" s="79"/>
      <c r="L50" s="79"/>
      <c r="M50" s="79"/>
      <c r="N50" s="79"/>
      <c r="O50" s="79"/>
      <c r="P50" s="79"/>
      <c r="Q50" s="79"/>
      <c r="R50" s="79"/>
      <c r="S50" s="79"/>
      <c r="T50" s="79"/>
      <c r="U50" s="79"/>
      <c r="V50" s="79"/>
      <c r="W50" s="79"/>
      <c r="X50" s="79"/>
      <c r="Y50" s="79"/>
      <c r="Z50" s="79"/>
    </row>
    <row r="51">
      <c r="A51" s="27">
        <f>HYPERLINK("https://arcprize.org/play?task=23581191", 47)</f>
        <v>47</v>
      </c>
      <c r="B51" s="80" t="s">
        <v>224</v>
      </c>
      <c r="C51" s="79"/>
      <c r="D51" s="79"/>
      <c r="E51" s="79"/>
      <c r="F51" s="79"/>
      <c r="G51" s="79"/>
      <c r="H51" s="79"/>
      <c r="I51" s="79"/>
      <c r="J51" s="79"/>
      <c r="K51" s="79"/>
      <c r="L51" s="79"/>
      <c r="M51" s="79"/>
      <c r="N51" s="79"/>
      <c r="O51" s="79"/>
      <c r="P51" s="79"/>
      <c r="Q51" s="79"/>
      <c r="R51" s="79"/>
      <c r="S51" s="79"/>
      <c r="T51" s="79"/>
      <c r="U51" s="79"/>
      <c r="V51" s="79"/>
      <c r="W51" s="79"/>
      <c r="X51" s="79"/>
      <c r="Y51" s="79"/>
      <c r="Z51" s="79"/>
    </row>
    <row r="52">
      <c r="A52" s="27">
        <f>HYPERLINK("https://arcprize.org/play?task=239be575", 48)</f>
        <v>48</v>
      </c>
      <c r="B52" s="80" t="s">
        <v>225</v>
      </c>
      <c r="C52" s="80" t="s">
        <v>226</v>
      </c>
      <c r="D52" s="79"/>
      <c r="E52" s="79"/>
      <c r="F52" s="79"/>
      <c r="G52" s="79"/>
      <c r="H52" s="79"/>
      <c r="I52" s="79"/>
      <c r="J52" s="79"/>
      <c r="K52" s="79"/>
      <c r="L52" s="79"/>
      <c r="M52" s="79"/>
      <c r="N52" s="79"/>
      <c r="O52" s="79"/>
      <c r="P52" s="79"/>
      <c r="Q52" s="79"/>
      <c r="R52" s="79"/>
      <c r="S52" s="79"/>
      <c r="T52" s="79"/>
      <c r="U52" s="79"/>
      <c r="V52" s="79"/>
      <c r="W52" s="79"/>
      <c r="X52" s="79"/>
      <c r="Y52" s="79"/>
      <c r="Z52" s="79"/>
    </row>
    <row r="53">
      <c r="A53" s="27">
        <f>HYPERLINK("https://arcprize.org/play?task=23b5c85d", 49)</f>
        <v>49</v>
      </c>
      <c r="B53" s="80" t="s">
        <v>227</v>
      </c>
      <c r="C53" s="79"/>
      <c r="D53" s="79"/>
      <c r="E53" s="79"/>
      <c r="F53" s="79"/>
      <c r="G53" s="79"/>
      <c r="H53" s="79"/>
      <c r="I53" s="79"/>
      <c r="J53" s="79"/>
      <c r="K53" s="79"/>
      <c r="L53" s="79"/>
      <c r="M53" s="79"/>
      <c r="N53" s="79"/>
      <c r="O53" s="79"/>
      <c r="P53" s="79"/>
      <c r="Q53" s="79"/>
      <c r="R53" s="79"/>
      <c r="S53" s="79"/>
      <c r="T53" s="79"/>
      <c r="U53" s="79"/>
      <c r="V53" s="79"/>
      <c r="W53" s="79"/>
      <c r="X53" s="79"/>
      <c r="Y53" s="79"/>
      <c r="Z53" s="79"/>
    </row>
    <row r="54">
      <c r="A54" s="27">
        <f>HYPERLINK("https://arcprize.org/play?task=253bf280", 50)</f>
        <v>50</v>
      </c>
      <c r="B54" s="80" t="s">
        <v>228</v>
      </c>
      <c r="C54" s="79"/>
      <c r="D54" s="79"/>
      <c r="E54" s="79"/>
      <c r="F54" s="79"/>
      <c r="G54" s="79"/>
      <c r="H54" s="79"/>
      <c r="I54" s="79"/>
      <c r="J54" s="79"/>
      <c r="K54" s="79"/>
      <c r="L54" s="79"/>
      <c r="M54" s="79"/>
      <c r="N54" s="79"/>
      <c r="O54" s="79"/>
      <c r="P54" s="79"/>
      <c r="Q54" s="79"/>
      <c r="R54" s="79"/>
      <c r="S54" s="79"/>
      <c r="T54" s="79"/>
      <c r="U54" s="79"/>
      <c r="V54" s="79"/>
      <c r="W54" s="79"/>
      <c r="X54" s="79"/>
      <c r="Y54" s="79"/>
      <c r="Z54" s="79"/>
    </row>
    <row r="55">
      <c r="A55" s="27">
        <f>HYPERLINK("https://arcprize.org/play?task=25d487eb", 51)</f>
        <v>51</v>
      </c>
      <c r="B55" s="80" t="s">
        <v>229</v>
      </c>
      <c r="C55" s="79"/>
      <c r="D55" s="79"/>
      <c r="E55" s="79"/>
      <c r="F55" s="79"/>
      <c r="G55" s="79"/>
      <c r="H55" s="79"/>
      <c r="I55" s="79"/>
      <c r="J55" s="79"/>
      <c r="K55" s="79"/>
      <c r="L55" s="79"/>
      <c r="M55" s="79"/>
      <c r="N55" s="79"/>
      <c r="O55" s="79"/>
      <c r="P55" s="79"/>
      <c r="Q55" s="79"/>
      <c r="R55" s="79"/>
      <c r="S55" s="79"/>
      <c r="T55" s="79"/>
      <c r="U55" s="79"/>
      <c r="V55" s="79"/>
      <c r="W55" s="79"/>
      <c r="X55" s="79"/>
      <c r="Y55" s="79"/>
      <c r="Z55" s="79"/>
    </row>
    <row r="56">
      <c r="A56" s="27">
        <f>HYPERLINK("https://arcprize.org/play?task=25d8a9c8", 52)</f>
        <v>52</v>
      </c>
      <c r="B56" s="80" t="s">
        <v>230</v>
      </c>
      <c r="C56" s="80" t="s">
        <v>230</v>
      </c>
      <c r="D56" s="79"/>
      <c r="E56" s="79"/>
      <c r="F56" s="79"/>
      <c r="G56" s="79"/>
      <c r="H56" s="79"/>
      <c r="I56" s="79"/>
      <c r="J56" s="79"/>
      <c r="K56" s="79"/>
      <c r="L56" s="79"/>
      <c r="M56" s="79"/>
      <c r="N56" s="79"/>
      <c r="O56" s="79"/>
      <c r="P56" s="79"/>
      <c r="Q56" s="79"/>
      <c r="R56" s="79"/>
      <c r="S56" s="79"/>
      <c r="T56" s="79"/>
      <c r="U56" s="79"/>
      <c r="V56" s="79"/>
      <c r="W56" s="79"/>
      <c r="X56" s="79"/>
      <c r="Y56" s="79"/>
      <c r="Z56" s="79"/>
    </row>
    <row r="57">
      <c r="A57" s="27">
        <f>HYPERLINK("https://arcprize.org/play?task=25ff71a9", 53)</f>
        <v>53</v>
      </c>
      <c r="B57" s="80" t="s">
        <v>231</v>
      </c>
      <c r="C57" s="80" t="s">
        <v>231</v>
      </c>
      <c r="D57" s="79"/>
      <c r="E57" s="79"/>
      <c r="F57" s="79"/>
      <c r="G57" s="79"/>
      <c r="H57" s="79"/>
      <c r="I57" s="79"/>
      <c r="J57" s="79"/>
      <c r="K57" s="79"/>
      <c r="L57" s="79"/>
      <c r="M57" s="79"/>
      <c r="N57" s="79"/>
      <c r="O57" s="79"/>
      <c r="P57" s="79"/>
      <c r="Q57" s="79"/>
      <c r="R57" s="79"/>
      <c r="S57" s="79"/>
      <c r="T57" s="79"/>
      <c r="U57" s="79"/>
      <c r="V57" s="79"/>
      <c r="W57" s="79"/>
      <c r="X57" s="79"/>
      <c r="Y57" s="79"/>
      <c r="Z57" s="79"/>
    </row>
    <row r="58">
      <c r="A58" s="27">
        <f>HYPERLINK("https://arcprize.org/play?task=264363fd", 54)</f>
        <v>54</v>
      </c>
      <c r="B58" s="80" t="s">
        <v>232</v>
      </c>
      <c r="C58" s="79"/>
      <c r="D58" s="79"/>
      <c r="E58" s="79"/>
      <c r="F58" s="79"/>
      <c r="G58" s="79"/>
      <c r="H58" s="79"/>
      <c r="I58" s="79"/>
      <c r="J58" s="79"/>
      <c r="K58" s="79"/>
      <c r="L58" s="79"/>
      <c r="M58" s="79"/>
      <c r="N58" s="79"/>
      <c r="O58" s="79"/>
      <c r="P58" s="79"/>
      <c r="Q58" s="79"/>
      <c r="R58" s="79"/>
      <c r="S58" s="79"/>
      <c r="T58" s="79"/>
      <c r="U58" s="79"/>
      <c r="V58" s="79"/>
      <c r="W58" s="79"/>
      <c r="X58" s="79"/>
      <c r="Y58" s="79"/>
      <c r="Z58" s="79"/>
    </row>
    <row r="59">
      <c r="A59" s="27">
        <f>HYPERLINK("https://arcprize.org/play?task=272f95fa", 55)</f>
        <v>55</v>
      </c>
      <c r="B59" s="80" t="s">
        <v>233</v>
      </c>
      <c r="C59" s="79"/>
      <c r="D59" s="79"/>
      <c r="E59" s="79"/>
      <c r="F59" s="79"/>
      <c r="G59" s="79"/>
      <c r="H59" s="79"/>
      <c r="I59" s="79"/>
      <c r="J59" s="79"/>
      <c r="K59" s="79"/>
      <c r="L59" s="79"/>
      <c r="M59" s="79"/>
      <c r="N59" s="79"/>
      <c r="O59" s="79"/>
      <c r="P59" s="79"/>
      <c r="Q59" s="79"/>
      <c r="R59" s="79"/>
      <c r="S59" s="79"/>
      <c r="T59" s="79"/>
      <c r="U59" s="79"/>
      <c r="V59" s="79"/>
      <c r="W59" s="79"/>
      <c r="X59" s="79"/>
      <c r="Y59" s="79"/>
      <c r="Z59" s="79"/>
    </row>
    <row r="60">
      <c r="A60" s="27">
        <f>HYPERLINK("https://arcprize.org/play?task=27a28665", 56)</f>
        <v>56</v>
      </c>
      <c r="B60" s="80" t="s">
        <v>234</v>
      </c>
      <c r="C60" s="79"/>
      <c r="D60" s="79"/>
      <c r="E60" s="79"/>
      <c r="F60" s="79"/>
      <c r="G60" s="79"/>
      <c r="H60" s="79"/>
      <c r="I60" s="79"/>
      <c r="J60" s="79"/>
      <c r="K60" s="79"/>
      <c r="L60" s="79"/>
      <c r="M60" s="79"/>
      <c r="N60" s="79"/>
      <c r="O60" s="79"/>
      <c r="P60" s="79"/>
      <c r="Q60" s="79"/>
      <c r="R60" s="79"/>
      <c r="S60" s="79"/>
      <c r="T60" s="79"/>
      <c r="U60" s="79"/>
      <c r="V60" s="79"/>
      <c r="W60" s="79"/>
      <c r="X60" s="79"/>
      <c r="Y60" s="79"/>
      <c r="Z60" s="79"/>
    </row>
    <row r="61">
      <c r="A61" s="27">
        <f>HYPERLINK("https://arcprize.org/play?task=28bf18c6", 57)</f>
        <v>57</v>
      </c>
      <c r="B61" s="80" t="s">
        <v>235</v>
      </c>
      <c r="C61" s="79"/>
      <c r="D61" s="79"/>
      <c r="E61" s="79"/>
      <c r="F61" s="79"/>
      <c r="G61" s="79"/>
      <c r="H61" s="79"/>
      <c r="I61" s="79"/>
      <c r="J61" s="79"/>
      <c r="K61" s="79"/>
      <c r="L61" s="79"/>
      <c r="M61" s="79"/>
      <c r="N61" s="79"/>
      <c r="O61" s="79"/>
      <c r="P61" s="79"/>
      <c r="Q61" s="79"/>
      <c r="R61" s="79"/>
      <c r="S61" s="79"/>
      <c r="T61" s="79"/>
      <c r="U61" s="79"/>
      <c r="V61" s="79"/>
      <c r="W61" s="79"/>
      <c r="X61" s="79"/>
      <c r="Y61" s="79"/>
      <c r="Z61" s="79"/>
    </row>
    <row r="62">
      <c r="A62" s="27">
        <f>HYPERLINK("https://arcprize.org/play?task=28e73c20", 58)</f>
        <v>58</v>
      </c>
      <c r="B62" s="80" t="s">
        <v>236</v>
      </c>
      <c r="C62" s="79"/>
      <c r="D62" s="79"/>
      <c r="E62" s="79"/>
      <c r="F62" s="79"/>
      <c r="G62" s="79"/>
      <c r="H62" s="79"/>
      <c r="I62" s="79"/>
      <c r="J62" s="79"/>
      <c r="K62" s="79"/>
      <c r="L62" s="79"/>
      <c r="M62" s="79"/>
      <c r="N62" s="79"/>
      <c r="O62" s="79"/>
      <c r="P62" s="79"/>
      <c r="Q62" s="79"/>
      <c r="R62" s="79"/>
      <c r="S62" s="79"/>
      <c r="T62" s="79"/>
      <c r="U62" s="79"/>
      <c r="V62" s="79"/>
      <c r="W62" s="79"/>
      <c r="X62" s="79"/>
      <c r="Y62" s="79"/>
      <c r="Z62" s="79"/>
    </row>
    <row r="63">
      <c r="A63" s="27">
        <f>HYPERLINK("https://arcprize.org/play?task=29623171", 59)</f>
        <v>59</v>
      </c>
      <c r="B63" s="80" t="s">
        <v>237</v>
      </c>
      <c r="C63" s="79"/>
      <c r="D63" s="79"/>
      <c r="E63" s="79"/>
      <c r="F63" s="79"/>
      <c r="G63" s="79"/>
      <c r="H63" s="79"/>
      <c r="I63" s="79"/>
      <c r="J63" s="79"/>
      <c r="K63" s="79"/>
      <c r="L63" s="79"/>
      <c r="M63" s="79"/>
      <c r="N63" s="79"/>
      <c r="O63" s="79"/>
      <c r="P63" s="79"/>
      <c r="Q63" s="79"/>
      <c r="R63" s="79"/>
      <c r="S63" s="79"/>
      <c r="T63" s="79"/>
      <c r="U63" s="79"/>
      <c r="V63" s="79"/>
      <c r="W63" s="79"/>
      <c r="X63" s="79"/>
      <c r="Y63" s="79"/>
      <c r="Z63" s="79"/>
    </row>
    <row r="64">
      <c r="A64" s="27">
        <f>HYPERLINK("https://arcprize.org/play?task=29c11459", 60)</f>
        <v>60</v>
      </c>
      <c r="B64" s="80" t="s">
        <v>238</v>
      </c>
      <c r="C64" s="79"/>
      <c r="D64" s="79"/>
      <c r="E64" s="79"/>
      <c r="F64" s="79"/>
      <c r="G64" s="79"/>
      <c r="H64" s="79"/>
      <c r="I64" s="79"/>
      <c r="J64" s="79"/>
      <c r="K64" s="79"/>
      <c r="L64" s="79"/>
      <c r="M64" s="79"/>
      <c r="N64" s="79"/>
      <c r="O64" s="79"/>
      <c r="P64" s="79"/>
      <c r="Q64" s="79"/>
      <c r="R64" s="79"/>
      <c r="S64" s="79"/>
      <c r="T64" s="79"/>
      <c r="U64" s="79"/>
      <c r="V64" s="79"/>
      <c r="W64" s="79"/>
      <c r="X64" s="79"/>
      <c r="Y64" s="79"/>
      <c r="Z64" s="79"/>
    </row>
    <row r="65">
      <c r="A65" s="27">
        <f>HYPERLINK("https://arcprize.org/play?task=29ec7d0e", 61)</f>
        <v>61</v>
      </c>
      <c r="B65" s="80" t="s">
        <v>239</v>
      </c>
      <c r="C65" s="79"/>
      <c r="D65" s="79"/>
      <c r="E65" s="79"/>
      <c r="F65" s="79"/>
      <c r="G65" s="79"/>
      <c r="H65" s="79"/>
      <c r="I65" s="79"/>
      <c r="J65" s="79"/>
      <c r="K65" s="79"/>
      <c r="L65" s="79"/>
      <c r="M65" s="79"/>
      <c r="N65" s="79"/>
      <c r="O65" s="79"/>
      <c r="P65" s="79"/>
      <c r="Q65" s="79"/>
      <c r="R65" s="79"/>
      <c r="S65" s="79"/>
      <c r="T65" s="79"/>
      <c r="U65" s="79"/>
      <c r="V65" s="79"/>
      <c r="W65" s="79"/>
      <c r="X65" s="79"/>
      <c r="Y65" s="79"/>
      <c r="Z65" s="79"/>
    </row>
    <row r="66">
      <c r="A66" s="27">
        <f>HYPERLINK("https://arcprize.org/play?task=2bcee788", 62)</f>
        <v>62</v>
      </c>
      <c r="B66" s="80" t="s">
        <v>240</v>
      </c>
      <c r="C66" s="79"/>
      <c r="D66" s="79"/>
      <c r="E66" s="79"/>
      <c r="F66" s="79"/>
      <c r="G66" s="79"/>
      <c r="H66" s="79"/>
      <c r="I66" s="79"/>
      <c r="J66" s="79"/>
      <c r="K66" s="79"/>
      <c r="L66" s="79"/>
      <c r="M66" s="79"/>
      <c r="N66" s="79"/>
      <c r="O66" s="79"/>
      <c r="P66" s="79"/>
      <c r="Q66" s="79"/>
      <c r="R66" s="79"/>
      <c r="S66" s="79"/>
      <c r="T66" s="79"/>
      <c r="U66" s="79"/>
      <c r="V66" s="79"/>
      <c r="W66" s="79"/>
      <c r="X66" s="79"/>
      <c r="Y66" s="79"/>
      <c r="Z66" s="79"/>
    </row>
    <row r="67">
      <c r="A67" s="27">
        <f>HYPERLINK("https://arcprize.org/play?task=2bee17df", 63)</f>
        <v>63</v>
      </c>
      <c r="B67" s="80" t="s">
        <v>241</v>
      </c>
      <c r="C67" s="79"/>
      <c r="D67" s="79"/>
      <c r="E67" s="79"/>
      <c r="F67" s="79"/>
      <c r="G67" s="79"/>
      <c r="H67" s="79"/>
      <c r="I67" s="79"/>
      <c r="J67" s="79"/>
      <c r="K67" s="79"/>
      <c r="L67" s="79"/>
      <c r="M67" s="79"/>
      <c r="N67" s="79"/>
      <c r="O67" s="79"/>
      <c r="P67" s="79"/>
      <c r="Q67" s="79"/>
      <c r="R67" s="79"/>
      <c r="S67" s="79"/>
      <c r="T67" s="79"/>
      <c r="U67" s="79"/>
      <c r="V67" s="79"/>
      <c r="W67" s="79"/>
      <c r="X67" s="79"/>
      <c r="Y67" s="79"/>
      <c r="Z67" s="79"/>
    </row>
    <row r="68">
      <c r="A68" s="27">
        <f>HYPERLINK("https://arcprize.org/play?task=2c608aff", 64)</f>
        <v>64</v>
      </c>
      <c r="B68" s="80" t="s">
        <v>242</v>
      </c>
      <c r="C68" s="79"/>
      <c r="D68" s="79"/>
      <c r="E68" s="79"/>
      <c r="F68" s="79"/>
      <c r="G68" s="79"/>
      <c r="H68" s="79"/>
      <c r="I68" s="79"/>
      <c r="J68" s="79"/>
      <c r="K68" s="79"/>
      <c r="L68" s="79"/>
      <c r="M68" s="79"/>
      <c r="N68" s="79"/>
      <c r="O68" s="79"/>
      <c r="P68" s="79"/>
      <c r="Q68" s="79"/>
      <c r="R68" s="79"/>
      <c r="S68" s="79"/>
      <c r="T68" s="79"/>
      <c r="U68" s="79"/>
      <c r="V68" s="79"/>
      <c r="W68" s="79"/>
      <c r="X68" s="79"/>
      <c r="Y68" s="79"/>
      <c r="Z68" s="79"/>
    </row>
    <row r="69">
      <c r="A69" s="27">
        <f>HYPERLINK("https://arcprize.org/play?task=2dc579da", 65)</f>
        <v>65</v>
      </c>
      <c r="B69" s="80" t="s">
        <v>243</v>
      </c>
      <c r="C69" s="79"/>
      <c r="D69" s="79"/>
      <c r="E69" s="79"/>
      <c r="F69" s="79"/>
      <c r="G69" s="79"/>
      <c r="H69" s="79"/>
      <c r="I69" s="79"/>
      <c r="J69" s="79"/>
      <c r="K69" s="79"/>
      <c r="L69" s="79"/>
      <c r="M69" s="79"/>
      <c r="N69" s="79"/>
      <c r="O69" s="79"/>
      <c r="P69" s="79"/>
      <c r="Q69" s="79"/>
      <c r="R69" s="79"/>
      <c r="S69" s="79"/>
      <c r="T69" s="79"/>
      <c r="U69" s="79"/>
      <c r="V69" s="79"/>
      <c r="W69" s="79"/>
      <c r="X69" s="79"/>
      <c r="Y69" s="79"/>
      <c r="Z69" s="79"/>
    </row>
    <row r="70">
      <c r="A70" s="27">
        <f>HYPERLINK("https://arcprize.org/play?task=2dd70a9a", 66)</f>
        <v>66</v>
      </c>
      <c r="B70" s="80" t="s">
        <v>244</v>
      </c>
      <c r="C70" s="79"/>
      <c r="D70" s="79"/>
      <c r="E70" s="79"/>
      <c r="F70" s="79"/>
      <c r="G70" s="79"/>
      <c r="H70" s="79"/>
      <c r="I70" s="79"/>
      <c r="J70" s="79"/>
      <c r="K70" s="79"/>
      <c r="L70" s="79"/>
      <c r="M70" s="79"/>
      <c r="N70" s="79"/>
      <c r="O70" s="79"/>
      <c r="P70" s="79"/>
      <c r="Q70" s="79"/>
      <c r="R70" s="79"/>
      <c r="S70" s="79"/>
      <c r="T70" s="79"/>
      <c r="U70" s="79"/>
      <c r="V70" s="79"/>
      <c r="W70" s="79"/>
      <c r="X70" s="79"/>
      <c r="Y70" s="79"/>
      <c r="Z70" s="79"/>
    </row>
    <row r="71">
      <c r="A71" s="27">
        <f>HYPERLINK("https://arcprize.org/play?task=2dee498d", 67)</f>
        <v>67</v>
      </c>
      <c r="B71" s="80" t="s">
        <v>245</v>
      </c>
      <c r="C71" s="79"/>
      <c r="D71" s="79"/>
      <c r="E71" s="79"/>
      <c r="F71" s="79"/>
      <c r="G71" s="79"/>
      <c r="H71" s="79"/>
      <c r="I71" s="79"/>
      <c r="J71" s="79"/>
      <c r="K71" s="79"/>
      <c r="L71" s="79"/>
      <c r="M71" s="79"/>
      <c r="N71" s="79"/>
      <c r="O71" s="79"/>
      <c r="P71" s="79"/>
      <c r="Q71" s="79"/>
      <c r="R71" s="79"/>
      <c r="S71" s="79"/>
      <c r="T71" s="79"/>
      <c r="U71" s="79"/>
      <c r="V71" s="79"/>
      <c r="W71" s="79"/>
      <c r="X71" s="79"/>
      <c r="Y71" s="79"/>
      <c r="Z71" s="79"/>
    </row>
    <row r="72">
      <c r="A72" s="27">
        <f>HYPERLINK("https://arcprize.org/play?task=31aa019c", 68)</f>
        <v>68</v>
      </c>
      <c r="B72" s="80" t="s">
        <v>246</v>
      </c>
      <c r="C72" s="79"/>
      <c r="D72" s="79"/>
      <c r="E72" s="79"/>
      <c r="F72" s="79"/>
      <c r="G72" s="79"/>
      <c r="H72" s="79"/>
      <c r="I72" s="79"/>
      <c r="J72" s="79"/>
      <c r="K72" s="79"/>
      <c r="L72" s="79"/>
      <c r="M72" s="79"/>
      <c r="N72" s="79"/>
      <c r="O72" s="79"/>
      <c r="P72" s="79"/>
      <c r="Q72" s="79"/>
      <c r="R72" s="79"/>
      <c r="S72" s="79"/>
      <c r="T72" s="79"/>
      <c r="U72" s="79"/>
      <c r="V72" s="79"/>
      <c r="W72" s="79"/>
      <c r="X72" s="79"/>
      <c r="Y72" s="79"/>
      <c r="Z72" s="79"/>
    </row>
    <row r="73">
      <c r="A73" s="27">
        <f>HYPERLINK("https://arcprize.org/play?task=321b1fc6", 69)</f>
        <v>69</v>
      </c>
      <c r="B73" s="80" t="s">
        <v>247</v>
      </c>
      <c r="C73" s="79"/>
      <c r="D73" s="79"/>
      <c r="E73" s="79"/>
      <c r="F73" s="79"/>
      <c r="G73" s="79"/>
      <c r="H73" s="79"/>
      <c r="I73" s="79"/>
      <c r="J73" s="79"/>
      <c r="K73" s="79"/>
      <c r="L73" s="79"/>
      <c r="M73" s="79"/>
      <c r="N73" s="79"/>
      <c r="O73" s="79"/>
      <c r="P73" s="79"/>
      <c r="Q73" s="79"/>
      <c r="R73" s="79"/>
      <c r="S73" s="79"/>
      <c r="T73" s="79"/>
      <c r="U73" s="79"/>
      <c r="V73" s="79"/>
      <c r="W73" s="79"/>
      <c r="X73" s="79"/>
      <c r="Y73" s="79"/>
      <c r="Z73" s="79"/>
    </row>
    <row r="74">
      <c r="A74" s="27">
        <f>HYPERLINK("https://arcprize.org/play?task=32597951", 70)</f>
        <v>70</v>
      </c>
      <c r="B74" s="80" t="s">
        <v>248</v>
      </c>
      <c r="C74" s="79"/>
      <c r="D74" s="79"/>
      <c r="E74" s="79"/>
      <c r="F74" s="79"/>
      <c r="G74" s="79"/>
      <c r="H74" s="79"/>
      <c r="I74" s="79"/>
      <c r="J74" s="79"/>
      <c r="K74" s="79"/>
      <c r="L74" s="79"/>
      <c r="M74" s="79"/>
      <c r="N74" s="79"/>
      <c r="O74" s="79"/>
      <c r="P74" s="79"/>
      <c r="Q74" s="79"/>
      <c r="R74" s="79"/>
      <c r="S74" s="79"/>
      <c r="T74" s="79"/>
      <c r="U74" s="79"/>
      <c r="V74" s="79"/>
      <c r="W74" s="79"/>
      <c r="X74" s="79"/>
      <c r="Y74" s="79"/>
      <c r="Z74" s="79"/>
    </row>
    <row r="75">
      <c r="A75" s="27">
        <f>HYPERLINK("https://arcprize.org/play?task=3345333e", 71)</f>
        <v>71</v>
      </c>
      <c r="B75" s="80" t="s">
        <v>249</v>
      </c>
      <c r="C75" s="79"/>
      <c r="D75" s="79"/>
      <c r="E75" s="79"/>
      <c r="F75" s="79"/>
      <c r="G75" s="79"/>
      <c r="H75" s="79"/>
      <c r="I75" s="79"/>
      <c r="J75" s="79"/>
      <c r="K75" s="79"/>
      <c r="L75" s="79"/>
      <c r="M75" s="79"/>
      <c r="N75" s="79"/>
      <c r="O75" s="79"/>
      <c r="P75" s="79"/>
      <c r="Q75" s="79"/>
      <c r="R75" s="79"/>
      <c r="S75" s="79"/>
      <c r="T75" s="79"/>
      <c r="U75" s="79"/>
      <c r="V75" s="79"/>
      <c r="W75" s="79"/>
      <c r="X75" s="79"/>
      <c r="Y75" s="79"/>
      <c r="Z75" s="79"/>
    </row>
    <row r="76">
      <c r="A76" s="27">
        <f>HYPERLINK("https://arcprize.org/play?task=3428a4f5", 72)</f>
        <v>72</v>
      </c>
      <c r="B76" s="80" t="s">
        <v>250</v>
      </c>
      <c r="C76" s="79"/>
      <c r="D76" s="79"/>
      <c r="E76" s="79"/>
      <c r="F76" s="79"/>
      <c r="G76" s="79"/>
      <c r="H76" s="79"/>
      <c r="I76" s="79"/>
      <c r="J76" s="79"/>
      <c r="K76" s="79"/>
      <c r="L76" s="79"/>
      <c r="M76" s="79"/>
      <c r="N76" s="79"/>
      <c r="O76" s="79"/>
      <c r="P76" s="79"/>
      <c r="Q76" s="79"/>
      <c r="R76" s="79"/>
      <c r="S76" s="79"/>
      <c r="T76" s="79"/>
      <c r="U76" s="79"/>
      <c r="V76" s="79"/>
      <c r="W76" s="79"/>
      <c r="X76" s="79"/>
      <c r="Y76" s="79"/>
      <c r="Z76" s="79"/>
    </row>
    <row r="77">
      <c r="A77" s="27">
        <f>HYPERLINK("https://arcprize.org/play?task=3618c87e", 73)</f>
        <v>73</v>
      </c>
      <c r="B77" s="80" t="s">
        <v>251</v>
      </c>
      <c r="C77" s="79"/>
      <c r="D77" s="79"/>
      <c r="E77" s="79"/>
      <c r="F77" s="79"/>
      <c r="G77" s="79"/>
      <c r="H77" s="79"/>
      <c r="I77" s="79"/>
      <c r="J77" s="79"/>
      <c r="K77" s="79"/>
      <c r="L77" s="79"/>
      <c r="M77" s="79"/>
      <c r="N77" s="79"/>
      <c r="O77" s="79"/>
      <c r="P77" s="79"/>
      <c r="Q77" s="79"/>
      <c r="R77" s="79"/>
      <c r="S77" s="79"/>
      <c r="T77" s="79"/>
      <c r="U77" s="79"/>
      <c r="V77" s="79"/>
      <c r="W77" s="79"/>
      <c r="X77" s="79"/>
      <c r="Y77" s="79"/>
      <c r="Z77" s="79"/>
    </row>
    <row r="78">
      <c r="A78" s="27">
        <f>HYPERLINK("https://arcprize.org/play?task=3631a71a", 74)</f>
        <v>74</v>
      </c>
      <c r="B78" s="80" t="s">
        <v>252</v>
      </c>
      <c r="C78" s="79"/>
      <c r="D78" s="79"/>
      <c r="E78" s="79"/>
      <c r="F78" s="79"/>
      <c r="G78" s="79"/>
      <c r="H78" s="79"/>
      <c r="I78" s="79"/>
      <c r="J78" s="79"/>
      <c r="K78" s="79"/>
      <c r="L78" s="79"/>
      <c r="M78" s="79"/>
      <c r="N78" s="79"/>
      <c r="O78" s="79"/>
      <c r="P78" s="79"/>
      <c r="Q78" s="79"/>
      <c r="R78" s="79"/>
      <c r="S78" s="79"/>
      <c r="T78" s="79"/>
      <c r="U78" s="79"/>
      <c r="V78" s="79"/>
      <c r="W78" s="79"/>
      <c r="X78" s="79"/>
      <c r="Y78" s="79"/>
      <c r="Z78" s="79"/>
    </row>
    <row r="79">
      <c r="A79" s="27">
        <f>HYPERLINK("https://arcprize.org/play?task=363442ee", 75)</f>
        <v>75</v>
      </c>
      <c r="B79" s="80" t="s">
        <v>253</v>
      </c>
      <c r="C79" s="79"/>
      <c r="D79" s="79"/>
      <c r="E79" s="79"/>
      <c r="F79" s="79"/>
      <c r="G79" s="79"/>
      <c r="H79" s="79"/>
      <c r="I79" s="79"/>
      <c r="J79" s="79"/>
      <c r="K79" s="79"/>
      <c r="L79" s="79"/>
      <c r="M79" s="79"/>
      <c r="N79" s="79"/>
      <c r="O79" s="79"/>
      <c r="P79" s="79"/>
      <c r="Q79" s="79"/>
      <c r="R79" s="79"/>
      <c r="S79" s="79"/>
      <c r="T79" s="79"/>
      <c r="U79" s="79"/>
      <c r="V79" s="79"/>
      <c r="W79" s="79"/>
      <c r="X79" s="79"/>
      <c r="Y79" s="79"/>
      <c r="Z79" s="79"/>
    </row>
    <row r="80">
      <c r="A80" s="27">
        <f>HYPERLINK("https://arcprize.org/play?task=36d67576", 76)</f>
        <v>76</v>
      </c>
      <c r="B80" s="80" t="s">
        <v>254</v>
      </c>
      <c r="C80" s="79"/>
      <c r="D80" s="79"/>
      <c r="E80" s="79"/>
      <c r="F80" s="79"/>
      <c r="G80" s="79"/>
      <c r="H80" s="79"/>
      <c r="I80" s="79"/>
      <c r="J80" s="79"/>
      <c r="K80" s="79"/>
      <c r="L80" s="79"/>
      <c r="M80" s="79"/>
      <c r="N80" s="79"/>
      <c r="O80" s="79"/>
      <c r="P80" s="79"/>
      <c r="Q80" s="79"/>
      <c r="R80" s="79"/>
      <c r="S80" s="79"/>
      <c r="T80" s="79"/>
      <c r="U80" s="79"/>
      <c r="V80" s="79"/>
      <c r="W80" s="79"/>
      <c r="X80" s="79"/>
      <c r="Y80" s="79"/>
      <c r="Z80" s="79"/>
    </row>
    <row r="81">
      <c r="A81" s="27">
        <f>HYPERLINK("https://arcprize.org/play?task=36fdfd69", 77)</f>
        <v>77</v>
      </c>
      <c r="B81" s="80" t="s">
        <v>255</v>
      </c>
      <c r="C81" s="79"/>
      <c r="D81" s="79"/>
      <c r="E81" s="79"/>
      <c r="F81" s="79"/>
      <c r="G81" s="79"/>
      <c r="H81" s="79"/>
      <c r="I81" s="79"/>
      <c r="J81" s="79"/>
      <c r="K81" s="79"/>
      <c r="L81" s="79"/>
      <c r="M81" s="79"/>
      <c r="N81" s="79"/>
      <c r="O81" s="79"/>
      <c r="P81" s="79"/>
      <c r="Q81" s="79"/>
      <c r="R81" s="79"/>
      <c r="S81" s="79"/>
      <c r="T81" s="79"/>
      <c r="U81" s="79"/>
      <c r="V81" s="79"/>
      <c r="W81" s="79"/>
      <c r="X81" s="79"/>
      <c r="Y81" s="79"/>
      <c r="Z81" s="79"/>
    </row>
    <row r="82">
      <c r="A82" s="27">
        <f>HYPERLINK("https://arcprize.org/play?task=3906de3d", 78)</f>
        <v>78</v>
      </c>
      <c r="B82" s="80" t="s">
        <v>256</v>
      </c>
      <c r="C82" s="79"/>
      <c r="D82" s="79"/>
      <c r="E82" s="79"/>
      <c r="F82" s="79"/>
      <c r="G82" s="79"/>
      <c r="H82" s="79"/>
      <c r="I82" s="79"/>
      <c r="J82" s="79"/>
      <c r="K82" s="79"/>
      <c r="L82" s="79"/>
      <c r="M82" s="79"/>
      <c r="N82" s="79"/>
      <c r="O82" s="79"/>
      <c r="P82" s="79"/>
      <c r="Q82" s="79"/>
      <c r="R82" s="79"/>
      <c r="S82" s="79"/>
      <c r="T82" s="79"/>
      <c r="U82" s="79"/>
      <c r="V82" s="79"/>
      <c r="W82" s="79"/>
      <c r="X82" s="79"/>
      <c r="Y82" s="79"/>
      <c r="Z82" s="79"/>
    </row>
    <row r="83">
      <c r="A83" s="27">
        <f>HYPERLINK("https://arcprize.org/play?task=39a8645d", 79)</f>
        <v>79</v>
      </c>
      <c r="B83" s="80" t="s">
        <v>257</v>
      </c>
      <c r="C83" s="79"/>
      <c r="D83" s="79"/>
      <c r="E83" s="79"/>
      <c r="F83" s="79"/>
      <c r="G83" s="79"/>
      <c r="H83" s="79"/>
      <c r="I83" s="79"/>
      <c r="J83" s="79"/>
      <c r="K83" s="79"/>
      <c r="L83" s="79"/>
      <c r="M83" s="79"/>
      <c r="N83" s="79"/>
      <c r="O83" s="79"/>
      <c r="P83" s="79"/>
      <c r="Q83" s="79"/>
      <c r="R83" s="79"/>
      <c r="S83" s="79"/>
      <c r="T83" s="79"/>
      <c r="U83" s="79"/>
      <c r="V83" s="79"/>
      <c r="W83" s="79"/>
      <c r="X83" s="79"/>
      <c r="Y83" s="79"/>
      <c r="Z83" s="79"/>
    </row>
    <row r="84">
      <c r="A84" s="27">
        <f>HYPERLINK("https://arcprize.org/play?task=39e1d7f9", 80)</f>
        <v>80</v>
      </c>
      <c r="B84" s="80" t="s">
        <v>258</v>
      </c>
      <c r="C84" s="79"/>
      <c r="D84" s="79"/>
      <c r="E84" s="79"/>
      <c r="F84" s="79"/>
      <c r="G84" s="79"/>
      <c r="H84" s="79"/>
      <c r="I84" s="79"/>
      <c r="J84" s="79"/>
      <c r="K84" s="79"/>
      <c r="L84" s="79"/>
      <c r="M84" s="79"/>
      <c r="N84" s="79"/>
      <c r="O84" s="79"/>
      <c r="P84" s="79"/>
      <c r="Q84" s="79"/>
      <c r="R84" s="79"/>
      <c r="S84" s="79"/>
      <c r="T84" s="79"/>
      <c r="U84" s="79"/>
      <c r="V84" s="79"/>
      <c r="W84" s="79"/>
      <c r="X84" s="79"/>
      <c r="Y84" s="79"/>
      <c r="Z84" s="79"/>
    </row>
    <row r="85">
      <c r="A85" s="27">
        <f>HYPERLINK("https://arcprize.org/play?task=3aa6fb7a", 81)</f>
        <v>81</v>
      </c>
      <c r="B85" s="80" t="s">
        <v>259</v>
      </c>
      <c r="C85" s="79"/>
      <c r="D85" s="79"/>
      <c r="E85" s="79"/>
      <c r="F85" s="79"/>
      <c r="G85" s="79"/>
      <c r="H85" s="79"/>
      <c r="I85" s="79"/>
      <c r="J85" s="79"/>
      <c r="K85" s="79"/>
      <c r="L85" s="79"/>
      <c r="M85" s="79"/>
      <c r="N85" s="79"/>
      <c r="O85" s="79"/>
      <c r="P85" s="79"/>
      <c r="Q85" s="79"/>
      <c r="R85" s="79"/>
      <c r="S85" s="79"/>
      <c r="T85" s="79"/>
      <c r="U85" s="79"/>
      <c r="V85" s="79"/>
      <c r="W85" s="79"/>
      <c r="X85" s="79"/>
      <c r="Y85" s="79"/>
      <c r="Z85" s="79"/>
    </row>
    <row r="86">
      <c r="A86" s="27">
        <f>HYPERLINK("https://arcprize.org/play?task=3ac3eb23", 82)</f>
        <v>82</v>
      </c>
      <c r="B86" s="80" t="s">
        <v>260</v>
      </c>
      <c r="C86" s="79"/>
      <c r="D86" s="79"/>
      <c r="E86" s="79"/>
      <c r="F86" s="79"/>
      <c r="G86" s="79"/>
      <c r="H86" s="79"/>
      <c r="I86" s="79"/>
      <c r="J86" s="79"/>
      <c r="K86" s="79"/>
      <c r="L86" s="79"/>
      <c r="M86" s="79"/>
      <c r="N86" s="79"/>
      <c r="O86" s="79"/>
      <c r="P86" s="79"/>
      <c r="Q86" s="79"/>
      <c r="R86" s="79"/>
      <c r="S86" s="79"/>
      <c r="T86" s="79"/>
      <c r="U86" s="79"/>
      <c r="V86" s="79"/>
      <c r="W86" s="79"/>
      <c r="X86" s="79"/>
      <c r="Y86" s="79"/>
      <c r="Z86" s="79"/>
    </row>
    <row r="87">
      <c r="A87" s="27">
        <f>HYPERLINK("https://arcprize.org/play?task=3af2c5a8", 83)</f>
        <v>83</v>
      </c>
      <c r="B87" s="80" t="s">
        <v>261</v>
      </c>
      <c r="C87" s="79"/>
      <c r="D87" s="79"/>
      <c r="E87" s="79"/>
      <c r="F87" s="79"/>
      <c r="G87" s="79"/>
      <c r="H87" s="79"/>
      <c r="I87" s="79"/>
      <c r="J87" s="79"/>
      <c r="K87" s="79"/>
      <c r="L87" s="79"/>
      <c r="M87" s="79"/>
      <c r="N87" s="79"/>
      <c r="O87" s="79"/>
      <c r="P87" s="79"/>
      <c r="Q87" s="79"/>
      <c r="R87" s="79"/>
      <c r="S87" s="79"/>
      <c r="T87" s="79"/>
      <c r="U87" s="79"/>
      <c r="V87" s="79"/>
      <c r="W87" s="79"/>
      <c r="X87" s="79"/>
      <c r="Y87" s="79"/>
      <c r="Z87" s="79"/>
    </row>
    <row r="88">
      <c r="A88" s="27">
        <f>HYPERLINK("https://arcprize.org/play?task=3bd67248", 84)</f>
        <v>84</v>
      </c>
      <c r="B88" s="80" t="s">
        <v>262</v>
      </c>
      <c r="C88" s="79"/>
      <c r="D88" s="79"/>
      <c r="E88" s="79"/>
      <c r="F88" s="79"/>
      <c r="G88" s="79"/>
      <c r="H88" s="79"/>
      <c r="I88" s="79"/>
      <c r="J88" s="79"/>
      <c r="K88" s="79"/>
      <c r="L88" s="79"/>
      <c r="M88" s="79"/>
      <c r="N88" s="79"/>
      <c r="O88" s="79"/>
      <c r="P88" s="79"/>
      <c r="Q88" s="79"/>
      <c r="R88" s="79"/>
      <c r="S88" s="79"/>
      <c r="T88" s="79"/>
      <c r="U88" s="79"/>
      <c r="V88" s="79"/>
      <c r="W88" s="79"/>
      <c r="X88" s="79"/>
      <c r="Y88" s="79"/>
      <c r="Z88" s="79"/>
    </row>
    <row r="89">
      <c r="A89" s="27">
        <f>HYPERLINK("https://arcprize.org/play?task=3bdb4ada", 85)</f>
        <v>85</v>
      </c>
      <c r="B89" s="80" t="s">
        <v>263</v>
      </c>
      <c r="C89" s="79"/>
      <c r="D89" s="79"/>
      <c r="E89" s="79"/>
      <c r="F89" s="79"/>
      <c r="G89" s="79"/>
      <c r="H89" s="79"/>
      <c r="I89" s="79"/>
      <c r="J89" s="79"/>
      <c r="K89" s="79"/>
      <c r="L89" s="79"/>
      <c r="M89" s="79"/>
      <c r="N89" s="79"/>
      <c r="O89" s="79"/>
      <c r="P89" s="79"/>
      <c r="Q89" s="79"/>
      <c r="R89" s="79"/>
      <c r="S89" s="79"/>
      <c r="T89" s="79"/>
      <c r="U89" s="79"/>
      <c r="V89" s="79"/>
      <c r="W89" s="79"/>
      <c r="X89" s="79"/>
      <c r="Y89" s="79"/>
      <c r="Z89" s="79"/>
    </row>
    <row r="90">
      <c r="A90" s="27">
        <f>HYPERLINK("https://arcprize.org/play?task=3befdf3e", 86)</f>
        <v>86</v>
      </c>
      <c r="B90" s="80" t="s">
        <v>264</v>
      </c>
      <c r="C90" s="79"/>
      <c r="D90" s="79"/>
      <c r="E90" s="79"/>
      <c r="F90" s="79"/>
      <c r="G90" s="79"/>
      <c r="H90" s="79"/>
      <c r="I90" s="79"/>
      <c r="J90" s="79"/>
      <c r="K90" s="79"/>
      <c r="L90" s="79"/>
      <c r="M90" s="79"/>
      <c r="N90" s="79"/>
      <c r="O90" s="79"/>
      <c r="P90" s="79"/>
      <c r="Q90" s="79"/>
      <c r="R90" s="79"/>
      <c r="S90" s="79"/>
      <c r="T90" s="79"/>
      <c r="U90" s="79"/>
      <c r="V90" s="79"/>
      <c r="W90" s="79"/>
      <c r="X90" s="79"/>
      <c r="Y90" s="79"/>
      <c r="Z90" s="79"/>
    </row>
    <row r="91">
      <c r="A91" s="27">
        <f>HYPERLINK("https://arcprize.org/play?task=3c9b0459", 87)</f>
        <v>87</v>
      </c>
      <c r="B91" s="80" t="s">
        <v>265</v>
      </c>
      <c r="C91" s="79"/>
      <c r="D91" s="79"/>
      <c r="E91" s="79"/>
      <c r="F91" s="79"/>
      <c r="G91" s="79"/>
      <c r="H91" s="79"/>
      <c r="I91" s="79"/>
      <c r="J91" s="79"/>
      <c r="K91" s="79"/>
      <c r="L91" s="79"/>
      <c r="M91" s="79"/>
      <c r="N91" s="79"/>
      <c r="O91" s="79"/>
      <c r="P91" s="79"/>
      <c r="Q91" s="79"/>
      <c r="R91" s="79"/>
      <c r="S91" s="79"/>
      <c r="T91" s="79"/>
      <c r="U91" s="79"/>
      <c r="V91" s="79"/>
      <c r="W91" s="79"/>
      <c r="X91" s="79"/>
      <c r="Y91" s="79"/>
      <c r="Z91" s="79"/>
    </row>
    <row r="92">
      <c r="A92" s="27">
        <f>HYPERLINK("https://arcprize.org/play?task=3de23699", 88)</f>
        <v>88</v>
      </c>
      <c r="B92" s="80" t="s">
        <v>266</v>
      </c>
      <c r="C92" s="79"/>
      <c r="D92" s="79"/>
      <c r="E92" s="79"/>
      <c r="F92" s="79"/>
      <c r="G92" s="79"/>
      <c r="H92" s="79"/>
      <c r="I92" s="79"/>
      <c r="J92" s="79"/>
      <c r="K92" s="79"/>
      <c r="L92" s="79"/>
      <c r="M92" s="79"/>
      <c r="N92" s="79"/>
      <c r="O92" s="79"/>
      <c r="P92" s="79"/>
      <c r="Q92" s="79"/>
      <c r="R92" s="79"/>
      <c r="S92" s="79"/>
      <c r="T92" s="79"/>
      <c r="U92" s="79"/>
      <c r="V92" s="79"/>
      <c r="W92" s="79"/>
      <c r="X92" s="79"/>
      <c r="Y92" s="79"/>
      <c r="Z92" s="79"/>
    </row>
    <row r="93">
      <c r="A93" s="27">
        <f>HYPERLINK("https://arcprize.org/play?task=3e980e27", 89)</f>
        <v>89</v>
      </c>
      <c r="B93" s="80" t="s">
        <v>267</v>
      </c>
      <c r="C93" s="79"/>
      <c r="D93" s="79"/>
      <c r="E93" s="79"/>
      <c r="F93" s="79"/>
      <c r="G93" s="79"/>
      <c r="H93" s="79"/>
      <c r="I93" s="79"/>
      <c r="J93" s="79"/>
      <c r="K93" s="79"/>
      <c r="L93" s="79"/>
      <c r="M93" s="79"/>
      <c r="N93" s="79"/>
      <c r="O93" s="79"/>
      <c r="P93" s="79"/>
      <c r="Q93" s="79"/>
      <c r="R93" s="79"/>
      <c r="S93" s="79"/>
      <c r="T93" s="79"/>
      <c r="U93" s="79"/>
      <c r="V93" s="79"/>
      <c r="W93" s="79"/>
      <c r="X93" s="79"/>
      <c r="Y93" s="79"/>
      <c r="Z93" s="79"/>
    </row>
    <row r="94">
      <c r="A94" s="27">
        <f>HYPERLINK("https://arcprize.org/play?task=3eda0437", 90)</f>
        <v>90</v>
      </c>
      <c r="B94" s="80" t="s">
        <v>268</v>
      </c>
      <c r="C94" s="79"/>
      <c r="D94" s="79"/>
      <c r="E94" s="79"/>
      <c r="F94" s="79"/>
      <c r="G94" s="79"/>
      <c r="H94" s="79"/>
      <c r="I94" s="79"/>
      <c r="J94" s="79"/>
      <c r="K94" s="79"/>
      <c r="L94" s="79"/>
      <c r="M94" s="79"/>
      <c r="N94" s="79"/>
      <c r="O94" s="79"/>
      <c r="P94" s="79"/>
      <c r="Q94" s="79"/>
      <c r="R94" s="79"/>
      <c r="S94" s="79"/>
      <c r="T94" s="79"/>
      <c r="U94" s="79"/>
      <c r="V94" s="79"/>
      <c r="W94" s="79"/>
      <c r="X94" s="79"/>
      <c r="Y94" s="79"/>
      <c r="Z94" s="79"/>
    </row>
    <row r="95">
      <c r="A95" s="27">
        <f>HYPERLINK("https://arcprize.org/play?task=3f7978a0", 91)</f>
        <v>91</v>
      </c>
      <c r="B95" s="80" t="s">
        <v>269</v>
      </c>
      <c r="C95" s="79"/>
      <c r="D95" s="79"/>
      <c r="E95" s="79"/>
      <c r="F95" s="79"/>
      <c r="G95" s="79"/>
      <c r="H95" s="79"/>
      <c r="I95" s="79"/>
      <c r="J95" s="79"/>
      <c r="K95" s="79"/>
      <c r="L95" s="79"/>
      <c r="M95" s="79"/>
      <c r="N95" s="79"/>
      <c r="O95" s="79"/>
      <c r="P95" s="79"/>
      <c r="Q95" s="79"/>
      <c r="R95" s="79"/>
      <c r="S95" s="79"/>
      <c r="T95" s="79"/>
      <c r="U95" s="79"/>
      <c r="V95" s="79"/>
      <c r="W95" s="79"/>
      <c r="X95" s="79"/>
      <c r="Y95" s="79"/>
      <c r="Z95" s="79"/>
    </row>
    <row r="96">
      <c r="A96" s="27">
        <f>HYPERLINK("https://arcprize.org/play?task=40853293", 92)</f>
        <v>92</v>
      </c>
      <c r="B96" s="80" t="s">
        <v>270</v>
      </c>
      <c r="C96" s="79"/>
      <c r="D96" s="79"/>
      <c r="E96" s="79"/>
      <c r="F96" s="79"/>
      <c r="G96" s="79"/>
      <c r="H96" s="79"/>
      <c r="I96" s="79"/>
      <c r="J96" s="79"/>
      <c r="K96" s="79"/>
      <c r="L96" s="79"/>
      <c r="M96" s="79"/>
      <c r="N96" s="79"/>
      <c r="O96" s="79"/>
      <c r="P96" s="79"/>
      <c r="Q96" s="79"/>
      <c r="R96" s="79"/>
      <c r="S96" s="79"/>
      <c r="T96" s="79"/>
      <c r="U96" s="79"/>
      <c r="V96" s="79"/>
      <c r="W96" s="79"/>
      <c r="X96" s="79"/>
      <c r="Y96" s="79"/>
      <c r="Z96" s="79"/>
    </row>
    <row r="97">
      <c r="A97" s="27">
        <f>HYPERLINK("https://arcprize.org/play?task=4093f84a", 93)</f>
        <v>93</v>
      </c>
      <c r="B97" s="80" t="s">
        <v>271</v>
      </c>
      <c r="C97" s="79"/>
      <c r="D97" s="79"/>
      <c r="E97" s="79"/>
      <c r="F97" s="79"/>
      <c r="G97" s="79"/>
      <c r="H97" s="79"/>
      <c r="I97" s="79"/>
      <c r="J97" s="79"/>
      <c r="K97" s="79"/>
      <c r="L97" s="79"/>
      <c r="M97" s="79"/>
      <c r="N97" s="79"/>
      <c r="O97" s="79"/>
      <c r="P97" s="79"/>
      <c r="Q97" s="79"/>
      <c r="R97" s="79"/>
      <c r="S97" s="79"/>
      <c r="T97" s="79"/>
      <c r="U97" s="79"/>
      <c r="V97" s="79"/>
      <c r="W97" s="79"/>
      <c r="X97" s="79"/>
      <c r="Y97" s="79"/>
      <c r="Z97" s="79"/>
    </row>
    <row r="98">
      <c r="A98" s="27">
        <f>HYPERLINK("https://arcprize.org/play?task=41e4d17e", 94)</f>
        <v>94</v>
      </c>
      <c r="B98" s="80" t="s">
        <v>272</v>
      </c>
      <c r="C98" s="79"/>
      <c r="D98" s="79"/>
      <c r="E98" s="79"/>
      <c r="F98" s="79"/>
      <c r="G98" s="79"/>
      <c r="H98" s="79"/>
      <c r="I98" s="79"/>
      <c r="J98" s="79"/>
      <c r="K98" s="79"/>
      <c r="L98" s="79"/>
      <c r="M98" s="79"/>
      <c r="N98" s="79"/>
      <c r="O98" s="79"/>
      <c r="P98" s="79"/>
      <c r="Q98" s="79"/>
      <c r="R98" s="79"/>
      <c r="S98" s="79"/>
      <c r="T98" s="79"/>
      <c r="U98" s="79"/>
      <c r="V98" s="79"/>
      <c r="W98" s="79"/>
      <c r="X98" s="79"/>
      <c r="Y98" s="79"/>
      <c r="Z98" s="79"/>
    </row>
    <row r="99">
      <c r="A99" s="27">
        <f>HYPERLINK("https://arcprize.org/play?task=4258a5f9", 95)</f>
        <v>95</v>
      </c>
      <c r="B99" s="80" t="s">
        <v>273</v>
      </c>
      <c r="C99" s="79"/>
      <c r="D99" s="79"/>
      <c r="E99" s="79"/>
      <c r="F99" s="79"/>
      <c r="G99" s="79"/>
      <c r="H99" s="79"/>
      <c r="I99" s="79"/>
      <c r="J99" s="79"/>
      <c r="K99" s="79"/>
      <c r="L99" s="79"/>
      <c r="M99" s="79"/>
      <c r="N99" s="79"/>
      <c r="O99" s="79"/>
      <c r="P99" s="79"/>
      <c r="Q99" s="79"/>
      <c r="R99" s="79"/>
      <c r="S99" s="79"/>
      <c r="T99" s="79"/>
      <c r="U99" s="79"/>
      <c r="V99" s="79"/>
      <c r="W99" s="79"/>
      <c r="X99" s="79"/>
      <c r="Y99" s="79"/>
      <c r="Z99" s="79"/>
    </row>
    <row r="100">
      <c r="A100" s="27">
        <f>HYPERLINK("https://arcprize.org/play?task=4290ef0e", 96)</f>
        <v>96</v>
      </c>
      <c r="B100" s="80" t="s">
        <v>274</v>
      </c>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c r="A101" s="27">
        <f>HYPERLINK("https://arcprize.org/play?task=42a50994", 97)</f>
        <v>97</v>
      </c>
      <c r="B101" s="80" t="s">
        <v>275</v>
      </c>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c r="A102" s="27">
        <f>HYPERLINK("https://arcprize.org/play?task=4347f46a", 98)</f>
        <v>98</v>
      </c>
      <c r="B102" s="80" t="s">
        <v>276</v>
      </c>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c r="A103" s="27">
        <f>HYPERLINK("https://arcprize.org/play?task=444801d8", 99)</f>
        <v>99</v>
      </c>
      <c r="B103" s="80" t="s">
        <v>277</v>
      </c>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c r="A104" s="27">
        <f>HYPERLINK("https://arcprize.org/play?task=445eab21", 100)</f>
        <v>100</v>
      </c>
      <c r="B104" s="80" t="s">
        <v>278</v>
      </c>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c r="A105" s="27">
        <f>HYPERLINK("https://arcprize.org/play?task=447fd412", 101)</f>
        <v>101</v>
      </c>
      <c r="B105" s="80" t="s">
        <v>279</v>
      </c>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c r="A106" s="27">
        <f>HYPERLINK("https://arcprize.org/play?task=44d8ac46", 102)</f>
        <v>102</v>
      </c>
      <c r="B106" s="80" t="s">
        <v>280</v>
      </c>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c r="A107" s="27">
        <f>HYPERLINK("https://arcprize.org/play?task=44f52bb0", 103)</f>
        <v>103</v>
      </c>
      <c r="B107" s="80" t="s">
        <v>281</v>
      </c>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c r="A108" s="27">
        <f>HYPERLINK("https://arcprize.org/play?task=4522001f", 104)</f>
        <v>104</v>
      </c>
      <c r="B108" s="80" t="s">
        <v>282</v>
      </c>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c r="A109" s="27">
        <f>HYPERLINK("https://arcprize.org/play?task=4612dd53", 105)</f>
        <v>105</v>
      </c>
      <c r="B109" s="80" t="s">
        <v>283</v>
      </c>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c r="A110" s="27">
        <f>HYPERLINK("https://arcprize.org/play?task=46442a0e", 106)</f>
        <v>106</v>
      </c>
      <c r="B110" s="80" t="s">
        <v>284</v>
      </c>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c r="A111" s="27">
        <f>HYPERLINK("https://arcprize.org/play?task=469497ad", 107)</f>
        <v>107</v>
      </c>
      <c r="B111" s="80" t="s">
        <v>285</v>
      </c>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c r="A112" s="27">
        <f>HYPERLINK("https://arcprize.org/play?task=46f33fce", 108)</f>
        <v>108</v>
      </c>
      <c r="B112" s="80" t="s">
        <v>286</v>
      </c>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c r="A113" s="27">
        <f>HYPERLINK("https://arcprize.org/play?task=47c1f68c", 109)</f>
        <v>109</v>
      </c>
      <c r="B113" s="80" t="s">
        <v>287</v>
      </c>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c r="A114" s="27">
        <f>HYPERLINK("https://arcprize.org/play?task=484b58aa", 110)</f>
        <v>110</v>
      </c>
      <c r="B114" s="80" t="s">
        <v>288</v>
      </c>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c r="A115" s="27">
        <f>HYPERLINK("https://arcprize.org/play?task=48d8fb45", 111)</f>
        <v>111</v>
      </c>
      <c r="B115" s="80" t="s">
        <v>289</v>
      </c>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c r="A116" s="27">
        <f>HYPERLINK("https://arcprize.org/play?task=4938f0c2", 112)</f>
        <v>112</v>
      </c>
      <c r="B116" s="80" t="s">
        <v>290</v>
      </c>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c r="A117" s="27">
        <f>HYPERLINK("https://arcprize.org/play?task=496994bd", 113)</f>
        <v>113</v>
      </c>
      <c r="B117" s="80" t="s">
        <v>291</v>
      </c>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c r="A118" s="27">
        <f>HYPERLINK("https://arcprize.org/play?task=49d1d64f", 114)</f>
        <v>114</v>
      </c>
      <c r="B118" s="80" t="s">
        <v>292</v>
      </c>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c r="A119" s="27">
        <f>HYPERLINK("https://arcprize.org/play?task=4be741c5", 115)</f>
        <v>115</v>
      </c>
      <c r="B119" s="80" t="s">
        <v>293</v>
      </c>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c r="A120" s="27">
        <f>HYPERLINK("https://arcprize.org/play?task=4c4377d9", 116)</f>
        <v>116</v>
      </c>
      <c r="B120" s="80" t="s">
        <v>294</v>
      </c>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c r="A121" s="27">
        <f>HYPERLINK("https://arcprize.org/play?task=4c5c2cf0", 117)</f>
        <v>117</v>
      </c>
      <c r="B121" s="80" t="s">
        <v>295</v>
      </c>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c r="A122" s="27">
        <f>HYPERLINK("https://arcprize.org/play?task=50846271", 118)</f>
        <v>118</v>
      </c>
      <c r="B122" s="80" t="s">
        <v>296</v>
      </c>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c r="A123" s="27">
        <f>HYPERLINK("https://arcprize.org/play?task=508bd3b6", 119)</f>
        <v>119</v>
      </c>
      <c r="B123" s="80" t="s">
        <v>297</v>
      </c>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c r="A124" s="27">
        <f>HYPERLINK("https://arcprize.org/play?task=50cb2852", 120)</f>
        <v>120</v>
      </c>
      <c r="B124" s="80" t="s">
        <v>298</v>
      </c>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c r="A125" s="27">
        <f>HYPERLINK("https://arcprize.org/play?task=5117e062", 121)</f>
        <v>121</v>
      </c>
      <c r="B125" s="80" t="s">
        <v>299</v>
      </c>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c r="A126" s="27">
        <f>HYPERLINK("https://arcprize.org/play?task=5168d44c", 122)</f>
        <v>122</v>
      </c>
      <c r="B126" s="80" t="s">
        <v>300</v>
      </c>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c r="A127" s="27">
        <f>HYPERLINK("https://arcprize.org/play?task=539a4f51", 123)</f>
        <v>123</v>
      </c>
      <c r="B127" s="80" t="s">
        <v>301</v>
      </c>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c r="A128" s="27">
        <f>HYPERLINK("https://arcprize.org/play?task=53b68214", 124)</f>
        <v>124</v>
      </c>
      <c r="B128" s="80" t="s">
        <v>302</v>
      </c>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c r="A129" s="27">
        <f>HYPERLINK("https://arcprize.org/play?task=543a7ed5", 125)</f>
        <v>125</v>
      </c>
      <c r="B129" s="80" t="s">
        <v>303</v>
      </c>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c r="A130" s="27">
        <f>HYPERLINK("https://arcprize.org/play?task=54d82841", 126)</f>
        <v>126</v>
      </c>
      <c r="B130" s="80" t="s">
        <v>304</v>
      </c>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c r="A131" s="27">
        <f>HYPERLINK("https://arcprize.org/play?task=54d9e175", 127)</f>
        <v>127</v>
      </c>
      <c r="B131" s="80" t="s">
        <v>305</v>
      </c>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c r="A132" s="27">
        <f>HYPERLINK("https://arcprize.org/play?task=5521c0d9", 128)</f>
        <v>128</v>
      </c>
      <c r="B132" s="80" t="s">
        <v>306</v>
      </c>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c r="A133" s="27">
        <f>HYPERLINK("https://arcprize.org/play?task=5582e5ca", 129)</f>
        <v>129</v>
      </c>
      <c r="B133" s="80" t="s">
        <v>307</v>
      </c>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c r="A134" s="27">
        <f>HYPERLINK("https://arcprize.org/play?task=5614dbcf", 130)</f>
        <v>130</v>
      </c>
      <c r="B134" s="80" t="s">
        <v>308</v>
      </c>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c r="A135" s="27">
        <f>HYPERLINK("https://arcprize.org/play?task=56dc2b01", 131)</f>
        <v>131</v>
      </c>
      <c r="B135" s="80" t="s">
        <v>309</v>
      </c>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c r="A136" s="27">
        <f>HYPERLINK("https://arcprize.org/play?task=56ff96f3", 132)</f>
        <v>132</v>
      </c>
      <c r="B136" s="80" t="s">
        <v>310</v>
      </c>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c r="A137" s="27">
        <f>HYPERLINK("https://arcprize.org/play?task=57aa92db", 133)</f>
        <v>133</v>
      </c>
      <c r="B137" s="80" t="s">
        <v>311</v>
      </c>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c r="A138" s="27">
        <f>HYPERLINK("https://arcprize.org/play?task=5ad4f10b", 134)</f>
        <v>134</v>
      </c>
      <c r="B138" s="80" t="s">
        <v>312</v>
      </c>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c r="A139" s="27">
        <f>HYPERLINK("https://arcprize.org/play?task=5bd6f4ac", 135)</f>
        <v>135</v>
      </c>
      <c r="B139" s="80" t="s">
        <v>313</v>
      </c>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c r="A140" s="27">
        <f>HYPERLINK("https://arcprize.org/play?task=5c0a986e", 136)</f>
        <v>136</v>
      </c>
      <c r="B140" s="80" t="s">
        <v>314</v>
      </c>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c r="A141" s="27">
        <f>HYPERLINK("https://arcprize.org/play?task=5c2c9af4", 137)</f>
        <v>137</v>
      </c>
      <c r="B141" s="80" t="s">
        <v>315</v>
      </c>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c r="A142" s="27">
        <f>HYPERLINK("https://arcprize.org/play?task=5daaa586", 138)</f>
        <v>138</v>
      </c>
      <c r="B142" s="80" t="s">
        <v>316</v>
      </c>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c r="A143" s="27">
        <f>HYPERLINK("https://arcprize.org/play?task=60b61512", 139)</f>
        <v>139</v>
      </c>
      <c r="B143" s="80" t="s">
        <v>317</v>
      </c>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c r="A144" s="27">
        <f>HYPERLINK("https://arcprize.org/play?task=6150a2bd", 140)</f>
        <v>140</v>
      </c>
      <c r="B144" s="80" t="s">
        <v>265</v>
      </c>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c r="A145" s="27">
        <f>HYPERLINK("https://arcprize.org/play?task=623ea044", 141)</f>
        <v>141</v>
      </c>
      <c r="B145" s="80" t="s">
        <v>318</v>
      </c>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c r="A146" s="27">
        <f>HYPERLINK("https://arcprize.org/play?task=62c24649", 142)</f>
        <v>142</v>
      </c>
      <c r="B146" s="80" t="s">
        <v>261</v>
      </c>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c r="A147" s="27">
        <f>HYPERLINK("https://arcprize.org/play?task=63613498", 143)</f>
        <v>143</v>
      </c>
      <c r="B147" s="80" t="s">
        <v>319</v>
      </c>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c r="A148" s="27">
        <f>HYPERLINK("https://arcprize.org/play?task=6430c8c4", 144)</f>
        <v>144</v>
      </c>
      <c r="B148" s="80" t="s">
        <v>320</v>
      </c>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c r="A149" s="27">
        <f>HYPERLINK("https://arcprize.org/play?task=6455b5f5", 145)</f>
        <v>145</v>
      </c>
      <c r="B149" s="80" t="s">
        <v>321</v>
      </c>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c r="A150" s="27">
        <f>HYPERLINK("https://arcprize.org/play?task=662c240a", 146)</f>
        <v>146</v>
      </c>
      <c r="B150" s="80" t="s">
        <v>322</v>
      </c>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c r="A151" s="27">
        <f>HYPERLINK("https://arcprize.org/play?task=67385a82", 147)</f>
        <v>147</v>
      </c>
      <c r="B151" s="80" t="s">
        <v>323</v>
      </c>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c r="A152" s="27">
        <f>HYPERLINK("https://arcprize.org/play?task=673ef223", 148)</f>
        <v>148</v>
      </c>
      <c r="B152" s="80" t="s">
        <v>324</v>
      </c>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c r="A153" s="27">
        <f>HYPERLINK("https://arcprize.org/play?task=6773b310", 149)</f>
        <v>149</v>
      </c>
      <c r="B153" s="80" t="s">
        <v>325</v>
      </c>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c r="A154" s="27">
        <f>HYPERLINK("https://arcprize.org/play?task=67a3c6ac", 150)</f>
        <v>150</v>
      </c>
      <c r="B154" s="80" t="s">
        <v>326</v>
      </c>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c r="A155" s="27">
        <f>HYPERLINK("https://arcprize.org/play?task=67a423a3", 151)</f>
        <v>151</v>
      </c>
      <c r="B155" s="80" t="s">
        <v>327</v>
      </c>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c r="A156" s="27">
        <f>HYPERLINK("https://arcprize.org/play?task=67e8384a", 152)</f>
        <v>152</v>
      </c>
      <c r="B156" s="80" t="s">
        <v>261</v>
      </c>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c r="A157" s="27">
        <f>HYPERLINK("https://arcprize.org/play?task=681b3aeb", 153)</f>
        <v>153</v>
      </c>
      <c r="B157" s="80" t="s">
        <v>328</v>
      </c>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c r="A158" s="27">
        <f>HYPERLINK("https://arcprize.org/play?task=6855a6e4", 154)</f>
        <v>154</v>
      </c>
      <c r="B158" s="80" t="s">
        <v>329</v>
      </c>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c r="A159" s="27">
        <f>HYPERLINK("https://arcprize.org/play?task=68b16354", 155)</f>
        <v>155</v>
      </c>
      <c r="B159" s="80" t="s">
        <v>330</v>
      </c>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c r="A160" s="27">
        <f>HYPERLINK("https://arcprize.org/play?task=694f12f3", 156)</f>
        <v>156</v>
      </c>
      <c r="B160" s="80" t="s">
        <v>331</v>
      </c>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c r="A161" s="27">
        <f>HYPERLINK("https://arcprize.org/play?task=6a1e5592", 157)</f>
        <v>157</v>
      </c>
      <c r="B161" s="80" t="s">
        <v>332</v>
      </c>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c r="A162" s="27">
        <f>HYPERLINK("https://arcprize.org/play?task=6aa20dc0", 158)</f>
        <v>158</v>
      </c>
      <c r="B162" s="80" t="s">
        <v>333</v>
      </c>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c r="A163" s="27">
        <f>HYPERLINK("https://arcprize.org/play?task=6b9890af", 159)</f>
        <v>159</v>
      </c>
      <c r="B163" s="80" t="s">
        <v>334</v>
      </c>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c r="A164" s="27">
        <f>HYPERLINK("https://arcprize.org/play?task=6c434453", 160)</f>
        <v>160</v>
      </c>
      <c r="B164" s="80" t="s">
        <v>335</v>
      </c>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c r="A165" s="27">
        <f>HYPERLINK("https://arcprize.org/play?task=6cdd2623", 161)</f>
        <v>161</v>
      </c>
      <c r="B165" s="80" t="s">
        <v>336</v>
      </c>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c r="A166" s="27">
        <f>HYPERLINK("https://arcprize.org/play?task=6cf79266", 162)</f>
        <v>162</v>
      </c>
      <c r="B166" s="80" t="s">
        <v>337</v>
      </c>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c r="A167" s="27">
        <f>HYPERLINK("https://arcprize.org/play?task=6d0160f0", 163)</f>
        <v>163</v>
      </c>
      <c r="B167" s="80" t="s">
        <v>338</v>
      </c>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c r="A168" s="27">
        <f>HYPERLINK("https://arcprize.org/play?task=6d0aefbc", 164)</f>
        <v>164</v>
      </c>
      <c r="B168" s="80" t="s">
        <v>339</v>
      </c>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c r="A169" s="27">
        <f>HYPERLINK("https://arcprize.org/play?task=6d58a25d", 165)</f>
        <v>165</v>
      </c>
      <c r="B169" s="80" t="s">
        <v>340</v>
      </c>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c r="A170" s="27">
        <f>HYPERLINK("https://arcprize.org/play?task=6d75e8bb", 166)</f>
        <v>166</v>
      </c>
      <c r="B170" s="80" t="s">
        <v>341</v>
      </c>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c r="A171" s="27">
        <f>HYPERLINK("https://arcprize.org/play?task=6e02f1e3", 167)</f>
        <v>167</v>
      </c>
      <c r="B171" s="80" t="s">
        <v>342</v>
      </c>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c r="A172" s="27">
        <f>HYPERLINK("https://arcprize.org/play?task=6e19193c", 168)</f>
        <v>168</v>
      </c>
      <c r="B172" s="80" t="s">
        <v>343</v>
      </c>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c r="A173" s="27">
        <f>HYPERLINK("https://arcprize.org/play?task=6e82a1ae", 169)</f>
        <v>169</v>
      </c>
      <c r="B173" s="80" t="s">
        <v>344</v>
      </c>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c r="A174" s="27">
        <f>HYPERLINK("https://arcprize.org/play?task=6ecd11f4", 170)</f>
        <v>170</v>
      </c>
      <c r="B174" s="80" t="s">
        <v>345</v>
      </c>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c r="A175" s="27">
        <f>HYPERLINK("https://arcprize.org/play?task=6f8cd79b", 171)</f>
        <v>171</v>
      </c>
      <c r="B175" s="80" t="s">
        <v>346</v>
      </c>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c r="A176" s="27">
        <f>HYPERLINK("https://arcprize.org/play?task=6fa7a44f", 172)</f>
        <v>172</v>
      </c>
      <c r="B176" s="80" t="s">
        <v>347</v>
      </c>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c r="A177" s="27">
        <f>HYPERLINK("https://arcprize.org/play?task=72322fa7", 173)</f>
        <v>173</v>
      </c>
      <c r="B177" s="80" t="s">
        <v>348</v>
      </c>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c r="A178" s="27">
        <f>HYPERLINK("https://arcprize.org/play?task=72ca375d", 174)</f>
        <v>174</v>
      </c>
      <c r="B178" s="80" t="s">
        <v>349</v>
      </c>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c r="A179" s="27">
        <f>HYPERLINK("https://arcprize.org/play?task=73251a56", 175)</f>
        <v>175</v>
      </c>
      <c r="B179" s="80" t="s">
        <v>350</v>
      </c>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c r="A180" s="27">
        <f>HYPERLINK("https://arcprize.org/play?task=7447852a", 176)</f>
        <v>176</v>
      </c>
      <c r="B180" s="80" t="s">
        <v>351</v>
      </c>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c r="A181" s="27">
        <f>HYPERLINK("https://arcprize.org/play?task=7468f01a", 177)</f>
        <v>177</v>
      </c>
      <c r="B181" s="80" t="s">
        <v>352</v>
      </c>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c r="A182" s="27">
        <f>HYPERLINK("https://arcprize.org/play?task=746b3537", 178)</f>
        <v>178</v>
      </c>
      <c r="B182" s="80" t="s">
        <v>353</v>
      </c>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c r="A183" s="27">
        <f>HYPERLINK("https://arcprize.org/play?task=74dd1130", 179)</f>
        <v>179</v>
      </c>
      <c r="B183" s="80" t="s">
        <v>354</v>
      </c>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c r="A184" s="27">
        <f>HYPERLINK("https://arcprize.org/play?task=75b8110e", 180)</f>
        <v>180</v>
      </c>
      <c r="B184" s="80" t="s">
        <v>355</v>
      </c>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c r="A185" s="27">
        <f>HYPERLINK("https://arcprize.org/play?task=760b3cac", 181)</f>
        <v>181</v>
      </c>
      <c r="B185" s="80" t="s">
        <v>356</v>
      </c>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c r="A186" s="27">
        <f>HYPERLINK("https://arcprize.org/play?task=776ffc46", 182)</f>
        <v>182</v>
      </c>
      <c r="B186" s="80" t="s">
        <v>357</v>
      </c>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c r="A187" s="27">
        <f>HYPERLINK("https://arcprize.org/play?task=77fdfe62", 183)</f>
        <v>183</v>
      </c>
      <c r="B187" s="80" t="s">
        <v>358</v>
      </c>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c r="A188" s="27">
        <f>HYPERLINK("https://arcprize.org/play?task=780d0b14", 184)</f>
        <v>184</v>
      </c>
      <c r="B188" s="80" t="s">
        <v>359</v>
      </c>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c r="A189" s="27">
        <f>HYPERLINK("https://arcprize.org/play?task=7837ac64", 185)</f>
        <v>185</v>
      </c>
      <c r="B189" s="80" t="s">
        <v>360</v>
      </c>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c r="A190" s="27">
        <f>HYPERLINK("https://arcprize.org/play?task=794b24be", 186)</f>
        <v>186</v>
      </c>
      <c r="B190" s="80" t="s">
        <v>361</v>
      </c>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c r="A191" s="27">
        <f>HYPERLINK("https://arcprize.org/play?task=7b6016b9", 187)</f>
        <v>187</v>
      </c>
      <c r="B191" s="80" t="s">
        <v>362</v>
      </c>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c r="A192" s="27">
        <f>HYPERLINK("https://arcprize.org/play?task=7b7f7511", 188)</f>
        <v>188</v>
      </c>
      <c r="B192" s="80" t="s">
        <v>363</v>
      </c>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c r="A193" s="27">
        <f>HYPERLINK("https://arcprize.org/play?task=7c008303", 189)</f>
        <v>189</v>
      </c>
      <c r="B193" s="80" t="s">
        <v>364</v>
      </c>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c r="A194" s="27">
        <f>HYPERLINK("https://arcprize.org/play?task=7ddcd7ec", 190)</f>
        <v>190</v>
      </c>
      <c r="B194" s="80" t="s">
        <v>365</v>
      </c>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c r="A195" s="27">
        <f>HYPERLINK("https://arcprize.org/play?task=7df24a62", 191)</f>
        <v>191</v>
      </c>
      <c r="B195" s="80" t="s">
        <v>366</v>
      </c>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c r="A196" s="27">
        <f>HYPERLINK("https://arcprize.org/play?task=7e0986d6", 192)</f>
        <v>192</v>
      </c>
      <c r="B196" s="80" t="s">
        <v>367</v>
      </c>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c r="A197" s="27">
        <f>HYPERLINK("https://arcprize.org/play?task=7f4411dc", 193)</f>
        <v>193</v>
      </c>
      <c r="B197" s="80" t="s">
        <v>368</v>
      </c>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c r="A198" s="27">
        <f>HYPERLINK("https://arcprize.org/play?task=7fe24cdd", 194)</f>
        <v>194</v>
      </c>
      <c r="B198" s="80" t="s">
        <v>284</v>
      </c>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c r="A199" s="27">
        <f>HYPERLINK("https://arcprize.org/play?task=80af3007", 195)</f>
        <v>195</v>
      </c>
      <c r="B199" s="80" t="s">
        <v>369</v>
      </c>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c r="A200" s="27">
        <f>HYPERLINK("https://arcprize.org/play?task=810b9b61", 196)</f>
        <v>196</v>
      </c>
      <c r="B200" s="80" t="s">
        <v>370</v>
      </c>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c r="A201" s="27">
        <f>HYPERLINK("https://arcprize.org/play?task=82819916", 197)</f>
        <v>197</v>
      </c>
      <c r="B201" s="80" t="s">
        <v>371</v>
      </c>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c r="A202" s="27">
        <f>HYPERLINK("https://arcprize.org/play?task=83302e8f", 198)</f>
        <v>198</v>
      </c>
      <c r="B202" s="80" t="s">
        <v>372</v>
      </c>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c r="A203" s="27">
        <f>HYPERLINK("https://arcprize.org/play?task=834ec97d", 199)</f>
        <v>199</v>
      </c>
      <c r="B203" s="80" t="s">
        <v>373</v>
      </c>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c r="A204" s="27">
        <f>HYPERLINK("https://arcprize.org/play?task=8403a5d5", 200)</f>
        <v>200</v>
      </c>
      <c r="B204" s="80" t="s">
        <v>374</v>
      </c>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c r="A205" s="27">
        <f>HYPERLINK("https://arcprize.org/play?task=846bdb03", 201)</f>
        <v>201</v>
      </c>
      <c r="B205" s="80" t="s">
        <v>375</v>
      </c>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c r="A206" s="27">
        <f>HYPERLINK("https://arcprize.org/play?task=855e0971", 202)</f>
        <v>202</v>
      </c>
      <c r="B206" s="80" t="s">
        <v>376</v>
      </c>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c r="A207" s="27">
        <f>HYPERLINK("https://arcprize.org/play?task=85c4e7cd", 203)</f>
        <v>203</v>
      </c>
      <c r="B207" s="80" t="s">
        <v>377</v>
      </c>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c r="A208" s="27">
        <f>HYPERLINK("https://arcprize.org/play?task=868de0fa", 204)</f>
        <v>204</v>
      </c>
      <c r="B208" s="80" t="s">
        <v>378</v>
      </c>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c r="A209" s="27">
        <f>HYPERLINK("https://arcprize.org/play?task=8731374e", 205)</f>
        <v>205</v>
      </c>
      <c r="B209" s="80" t="s">
        <v>379</v>
      </c>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c r="A210" s="27">
        <f>HYPERLINK("https://arcprize.org/play?task=88a10436", 206)</f>
        <v>206</v>
      </c>
      <c r="B210" s="80" t="s">
        <v>380</v>
      </c>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c r="A211" s="27">
        <f>HYPERLINK("https://arcprize.org/play?task=88a62173", 207)</f>
        <v>207</v>
      </c>
      <c r="B211" s="80" t="s">
        <v>381</v>
      </c>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c r="A212" s="27">
        <f>HYPERLINK("https://arcprize.org/play?task=890034e9", 208)</f>
        <v>208</v>
      </c>
      <c r="B212" s="80" t="s">
        <v>382</v>
      </c>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c r="A213" s="27">
        <f>HYPERLINK("https://arcprize.org/play?task=8a004b2b", 209)</f>
        <v>209</v>
      </c>
      <c r="B213" s="80" t="s">
        <v>383</v>
      </c>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c r="A214" s="27">
        <f>HYPERLINK("https://arcprize.org/play?task=8be77c9e", 210)</f>
        <v>210</v>
      </c>
      <c r="B214" s="80" t="s">
        <v>347</v>
      </c>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c r="A215" s="27">
        <f>HYPERLINK("https://arcprize.org/play?task=8d5021e8", 211)</f>
        <v>211</v>
      </c>
      <c r="B215" s="80" t="s">
        <v>384</v>
      </c>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c r="A216" s="27">
        <f>HYPERLINK("https://arcprize.org/play?task=8d510a79", 212)</f>
        <v>212</v>
      </c>
      <c r="B216" s="80" t="s">
        <v>385</v>
      </c>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c r="A217" s="27">
        <f>HYPERLINK("https://arcprize.org/play?task=8e1813be", 213)</f>
        <v>213</v>
      </c>
      <c r="B217" s="80" t="s">
        <v>386</v>
      </c>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c r="A218" s="27">
        <f>HYPERLINK("https://arcprize.org/play?task=8e5a5113", 214)</f>
        <v>214</v>
      </c>
      <c r="B218" s="80" t="s">
        <v>387</v>
      </c>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c r="A219" s="27">
        <f>HYPERLINK("https://arcprize.org/play?task=8eb1be9a", 215)</f>
        <v>215</v>
      </c>
      <c r="B219" s="80" t="s">
        <v>388</v>
      </c>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c r="A220" s="27">
        <f>HYPERLINK("https://arcprize.org/play?task=8efcae92", 216)</f>
        <v>216</v>
      </c>
      <c r="B220" s="80" t="s">
        <v>389</v>
      </c>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c r="A221" s="27">
        <f>HYPERLINK("https://arcprize.org/play?task=8f2ea7aa", 217)</f>
        <v>217</v>
      </c>
      <c r="B221" s="80" t="s">
        <v>390</v>
      </c>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c r="A222" s="27">
        <f>HYPERLINK("https://arcprize.org/play?task=90c28cc7", 218)</f>
        <v>218</v>
      </c>
      <c r="B222" s="80" t="s">
        <v>391</v>
      </c>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c r="A223" s="27">
        <f>HYPERLINK("https://arcprize.org/play?task=90f3ed37", 219)</f>
        <v>219</v>
      </c>
      <c r="B223" s="80" t="s">
        <v>392</v>
      </c>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c r="A224" s="27">
        <f>HYPERLINK("https://arcprize.org/play?task=913fb3ed", 220)</f>
        <v>220</v>
      </c>
      <c r="B224" s="80" t="s">
        <v>393</v>
      </c>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c r="A225" s="27">
        <f>HYPERLINK("https://arcprize.org/play?task=91413438", 221)</f>
        <v>221</v>
      </c>
      <c r="B225" s="80" t="s">
        <v>394</v>
      </c>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c r="A226" s="27">
        <f>HYPERLINK("https://arcprize.org/play?task=91714a58", 222)</f>
        <v>222</v>
      </c>
      <c r="B226" s="80" t="s">
        <v>395</v>
      </c>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c r="A227" s="27">
        <f>HYPERLINK("https://arcprize.org/play?task=9172f3a0", 223)</f>
        <v>223</v>
      </c>
      <c r="B227" s="80" t="s">
        <v>396</v>
      </c>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c r="A228" s="27">
        <f>HYPERLINK("https://arcprize.org/play?task=928ad970", 224)</f>
        <v>224</v>
      </c>
      <c r="B228" s="80" t="s">
        <v>397</v>
      </c>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c r="A229" s="27">
        <f>HYPERLINK("https://arcprize.org/play?task=93b581b8", 225)</f>
        <v>225</v>
      </c>
      <c r="B229" s="80" t="s">
        <v>398</v>
      </c>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c r="A230" s="27">
        <f>HYPERLINK("https://arcprize.org/play?task=941d9a10", 226)</f>
        <v>226</v>
      </c>
      <c r="B230" s="80" t="s">
        <v>399</v>
      </c>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c r="A231" s="27">
        <f>HYPERLINK("https://arcprize.org/play?task=94f9d214", 227)</f>
        <v>227</v>
      </c>
      <c r="B231" s="80" t="s">
        <v>400</v>
      </c>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c r="A232" s="27">
        <f>HYPERLINK("https://arcprize.org/play?task=952a094c", 228)</f>
        <v>228</v>
      </c>
      <c r="B232" s="80" t="s">
        <v>401</v>
      </c>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c r="A233" s="27">
        <f>HYPERLINK("https://arcprize.org/play?task=9565186b", 229)</f>
        <v>229</v>
      </c>
      <c r="B233" s="80" t="s">
        <v>402</v>
      </c>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c r="A234" s="27">
        <f>HYPERLINK("https://arcprize.org/play?task=95990924", 230)</f>
        <v>230</v>
      </c>
      <c r="B234" s="80" t="s">
        <v>403</v>
      </c>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c r="A235" s="27">
        <f>HYPERLINK("https://arcprize.org/play?task=963e52fc", 231)</f>
        <v>231</v>
      </c>
      <c r="B235" s="80" t="s">
        <v>404</v>
      </c>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c r="A236" s="27">
        <f>HYPERLINK("https://arcprize.org/play?task=97999447", 232)</f>
        <v>232</v>
      </c>
      <c r="B236" s="80" t="s">
        <v>405</v>
      </c>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c r="A237" s="27">
        <f>HYPERLINK("https://arcprize.org/play?task=97a05b5b", 233)</f>
        <v>233</v>
      </c>
      <c r="B237" s="80" t="s">
        <v>406</v>
      </c>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c r="A238" s="27">
        <f>HYPERLINK("https://arcprize.org/play?task=98cf29f8", 234)</f>
        <v>234</v>
      </c>
      <c r="B238" s="80" t="s">
        <v>407</v>
      </c>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c r="A239" s="27">
        <f>HYPERLINK("https://arcprize.org/play?task=995c5fa3", 235)</f>
        <v>235</v>
      </c>
      <c r="B239" s="80" t="s">
        <v>408</v>
      </c>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c r="A240" s="27">
        <f>HYPERLINK("https://arcprize.org/play?task=99b1bc43", 236)</f>
        <v>236</v>
      </c>
      <c r="B240" s="80" t="s">
        <v>409</v>
      </c>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c r="A241" s="27">
        <f>HYPERLINK("https://arcprize.org/play?task=99fa7670", 237)</f>
        <v>237</v>
      </c>
      <c r="B241" s="80" t="s">
        <v>410</v>
      </c>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c r="A242" s="27">
        <f>HYPERLINK("https://arcprize.org/play?task=9aec4887", 238)</f>
        <v>238</v>
      </c>
      <c r="B242" s="80" t="s">
        <v>411</v>
      </c>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c r="A243" s="27">
        <f>HYPERLINK("https://arcprize.org/play?task=9af7a82c", 239)</f>
        <v>239</v>
      </c>
      <c r="B243" s="80" t="s">
        <v>412</v>
      </c>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c r="A244" s="27">
        <f>HYPERLINK("https://arcprize.org/play?task=9d9215db", 240)</f>
        <v>240</v>
      </c>
      <c r="B244" s="80" t="s">
        <v>413</v>
      </c>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c r="A245" s="27">
        <f>HYPERLINK("https://arcprize.org/play?task=9dfd6313", 241)</f>
        <v>241</v>
      </c>
      <c r="B245" s="80" t="s">
        <v>354</v>
      </c>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c r="A246" s="27">
        <f>HYPERLINK("https://arcprize.org/play?task=9ecd008a", 242)</f>
        <v>242</v>
      </c>
      <c r="B246" s="80" t="s">
        <v>414</v>
      </c>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c r="A247" s="27">
        <f>HYPERLINK("https://arcprize.org/play?task=9edfc990", 243)</f>
        <v>243</v>
      </c>
      <c r="B247" s="80" t="s">
        <v>415</v>
      </c>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c r="A248" s="27">
        <f>HYPERLINK("https://arcprize.org/play?task=9f236235", 244)</f>
        <v>244</v>
      </c>
      <c r="B248" s="80" t="s">
        <v>416</v>
      </c>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c r="A249" s="27">
        <f>HYPERLINK("https://arcprize.org/play?task=a1570a43", 245)</f>
        <v>245</v>
      </c>
      <c r="B249" s="80" t="s">
        <v>417</v>
      </c>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c r="A250" s="27">
        <f>HYPERLINK("https://arcprize.org/play?task=a2fd1cf0", 246)</f>
        <v>246</v>
      </c>
      <c r="B250" s="80" t="s">
        <v>418</v>
      </c>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c r="A251" s="27">
        <f>HYPERLINK("https://arcprize.org/play?task=a3325580", 247)</f>
        <v>247</v>
      </c>
      <c r="B251" s="80" t="s">
        <v>419</v>
      </c>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c r="A252" s="27">
        <f>HYPERLINK("https://arcprize.org/play?task=a3df8b1e", 248)</f>
        <v>248</v>
      </c>
      <c r="B252" s="80" t="s">
        <v>420</v>
      </c>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c r="A253" s="27">
        <f>HYPERLINK("https://arcprize.org/play?task=a416b8f3", 249)</f>
        <v>249</v>
      </c>
      <c r="B253" s="80" t="s">
        <v>421</v>
      </c>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c r="A254" s="27">
        <f>HYPERLINK("https://arcprize.org/play?task=a48eeaf7", 250)</f>
        <v>250</v>
      </c>
      <c r="B254" s="80" t="s">
        <v>422</v>
      </c>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c r="A255" s="27">
        <f>HYPERLINK("https://arcprize.org/play?task=a5313dff", 251)</f>
        <v>251</v>
      </c>
      <c r="B255" s="80" t="s">
        <v>423</v>
      </c>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c r="A256" s="27">
        <f>HYPERLINK("https://arcprize.org/play?task=a5f85a15", 252)</f>
        <v>252</v>
      </c>
      <c r="B256" s="80" t="s">
        <v>424</v>
      </c>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c r="A257" s="27">
        <f>HYPERLINK("https://arcprize.org/play?task=a61ba2ce", 253)</f>
        <v>253</v>
      </c>
      <c r="B257" s="80" t="s">
        <v>425</v>
      </c>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c r="A258" s="27">
        <f>HYPERLINK("https://arcprize.org/play?task=a61f2674", 254)</f>
        <v>254</v>
      </c>
      <c r="B258" s="80" t="s">
        <v>426</v>
      </c>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c r="A259" s="27">
        <f>HYPERLINK("https://arcprize.org/play?task=a64e4611", 255)</f>
        <v>255</v>
      </c>
      <c r="B259" s="80" t="s">
        <v>427</v>
      </c>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c r="A260" s="27">
        <f>HYPERLINK("https://arcprize.org/play?task=a65b410d", 256)</f>
        <v>256</v>
      </c>
      <c r="B260" s="80" t="s">
        <v>428</v>
      </c>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c r="A261" s="27">
        <f>HYPERLINK("https://arcprize.org/play?task=a68b268e", 257)</f>
        <v>257</v>
      </c>
      <c r="B261" s="80" t="s">
        <v>429</v>
      </c>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c r="A262" s="27">
        <f>HYPERLINK("https://arcprize.org/play?task=a699fb00", 258)</f>
        <v>258</v>
      </c>
      <c r="B262" s="80" t="s">
        <v>430</v>
      </c>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c r="A263" s="27">
        <f>HYPERLINK("https://arcprize.org/play?task=a740d043", 259)</f>
        <v>259</v>
      </c>
      <c r="B263" s="80" t="s">
        <v>431</v>
      </c>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c r="A264" s="27">
        <f>HYPERLINK("https://arcprize.org/play?task=a78176bb", 260)</f>
        <v>260</v>
      </c>
      <c r="B264" s="80" t="s">
        <v>432</v>
      </c>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c r="A265" s="27">
        <f>HYPERLINK("https://arcprize.org/play?task=a79310a0", 261)</f>
        <v>261</v>
      </c>
      <c r="B265" s="80" t="s">
        <v>433</v>
      </c>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c r="A266" s="27">
        <f>HYPERLINK("https://arcprize.org/play?task=a85d4709", 262)</f>
        <v>262</v>
      </c>
      <c r="B266" s="80" t="s">
        <v>434</v>
      </c>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c r="A267" s="27">
        <f>HYPERLINK("https://arcprize.org/play?task=a87f7484", 263)</f>
        <v>263</v>
      </c>
      <c r="B267" s="80" t="s">
        <v>435</v>
      </c>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c r="A268" s="27">
        <f>HYPERLINK("https://arcprize.org/play?task=a8c38be5", 264)</f>
        <v>264</v>
      </c>
      <c r="B268" s="80" t="s">
        <v>436</v>
      </c>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c r="A269" s="27">
        <f>HYPERLINK("https://arcprize.org/play?task=a8d7556c", 265)</f>
        <v>265</v>
      </c>
      <c r="B269" s="80" t="s">
        <v>437</v>
      </c>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c r="A270" s="27">
        <f>HYPERLINK("https://arcprize.org/play?task=a9f96cdd", 266)</f>
        <v>266</v>
      </c>
      <c r="B270" s="80" t="s">
        <v>438</v>
      </c>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c r="A271" s="27">
        <f>HYPERLINK("https://arcprize.org/play?task=aabf363d", 267)</f>
        <v>267</v>
      </c>
      <c r="B271" s="80" t="s">
        <v>439</v>
      </c>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c r="A272" s="27">
        <f>HYPERLINK("https://arcprize.org/play?task=aba27056", 268)</f>
        <v>268</v>
      </c>
      <c r="B272" s="80" t="s">
        <v>440</v>
      </c>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c r="A273" s="27">
        <f>HYPERLINK("https://arcprize.org/play?task=ac0a08a4", 269)</f>
        <v>269</v>
      </c>
      <c r="B273" s="80" t="s">
        <v>441</v>
      </c>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c r="A274" s="27">
        <f>HYPERLINK("https://arcprize.org/play?task=ae3edfdc", 270)</f>
        <v>270</v>
      </c>
      <c r="B274" s="80" t="s">
        <v>442</v>
      </c>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c r="A275" s="27">
        <f>HYPERLINK("https://arcprize.org/play?task=ae4f1146", 271)</f>
        <v>271</v>
      </c>
      <c r="B275" s="80" t="s">
        <v>443</v>
      </c>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c r="A276" s="27">
        <f>HYPERLINK("https://arcprize.org/play?task=aedd82e4", 272)</f>
        <v>272</v>
      </c>
      <c r="B276" s="80" t="s">
        <v>444</v>
      </c>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c r="A277" s="27">
        <f>HYPERLINK("https://arcprize.org/play?task=af902bf9", 273)</f>
        <v>273</v>
      </c>
      <c r="B277" s="80" t="s">
        <v>445</v>
      </c>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c r="A278" s="27">
        <f>HYPERLINK("https://arcprize.org/play?task=b0c4d837", 274)</f>
        <v>274</v>
      </c>
      <c r="B278" s="80" t="s">
        <v>446</v>
      </c>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c r="A279" s="27">
        <f>HYPERLINK("https://arcprize.org/play?task=b190f7f5", 275)</f>
        <v>275</v>
      </c>
      <c r="B279" s="80" t="s">
        <v>447</v>
      </c>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c r="A280" s="27">
        <f>HYPERLINK("https://arcprize.org/play?task=b1948b0a", 276)</f>
        <v>276</v>
      </c>
      <c r="B280" s="80" t="s">
        <v>448</v>
      </c>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c r="A281" s="27">
        <f>HYPERLINK("https://arcprize.org/play?task=b230c067", 277)</f>
        <v>277</v>
      </c>
      <c r="B281" s="80" t="s">
        <v>449</v>
      </c>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c r="A282" s="27">
        <f>HYPERLINK("https://arcprize.org/play?task=b27ca6d3", 278)</f>
        <v>278</v>
      </c>
      <c r="B282" s="80" t="s">
        <v>450</v>
      </c>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c r="A283" s="27">
        <f>HYPERLINK("https://arcprize.org/play?task=b2862040", 279)</f>
        <v>279</v>
      </c>
      <c r="B283" s="80" t="s">
        <v>451</v>
      </c>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c r="A284" s="27">
        <f>HYPERLINK("https://arcprize.org/play?task=b527c5c6", 280)</f>
        <v>280</v>
      </c>
      <c r="B284" s="80" t="s">
        <v>452</v>
      </c>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c r="A285" s="27">
        <f>HYPERLINK("https://arcprize.org/play?task=b548a754", 281)</f>
        <v>281</v>
      </c>
      <c r="B285" s="80" t="s">
        <v>453</v>
      </c>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c r="A286" s="27">
        <f>HYPERLINK("https://arcprize.org/play?task=b60334d2", 282)</f>
        <v>282</v>
      </c>
      <c r="B286" s="80" t="s">
        <v>454</v>
      </c>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c r="A287" s="27">
        <f>HYPERLINK("https://arcprize.org/play?task=b6afb2da", 283)</f>
        <v>283</v>
      </c>
      <c r="B287" s="80" t="s">
        <v>455</v>
      </c>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c r="A288" s="27">
        <f>HYPERLINK("https://arcprize.org/play?task=b7249182", 284)</f>
        <v>284</v>
      </c>
      <c r="B288" s="80" t="s">
        <v>456</v>
      </c>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c r="A289" s="27">
        <f>HYPERLINK("https://arcprize.org/play?task=b775ac94", 285)</f>
        <v>285</v>
      </c>
      <c r="B289" s="80" t="s">
        <v>457</v>
      </c>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c r="A290" s="27">
        <f>HYPERLINK("https://arcprize.org/play?task=b782dc8a", 286)</f>
        <v>286</v>
      </c>
      <c r="B290" s="80" t="s">
        <v>458</v>
      </c>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c r="A291" s="27">
        <f>HYPERLINK("https://arcprize.org/play?task=b8825c91", 287)</f>
        <v>287</v>
      </c>
      <c r="B291" s="80" t="s">
        <v>459</v>
      </c>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c r="A292" s="27">
        <f>HYPERLINK("https://arcprize.org/play?task=b8cdaf2b", 288)</f>
        <v>288</v>
      </c>
      <c r="B292" s="80" t="s">
        <v>460</v>
      </c>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c r="A293" s="27">
        <f>HYPERLINK("https://arcprize.org/play?task=b91ae062", 289)</f>
        <v>289</v>
      </c>
      <c r="B293" s="80" t="s">
        <v>441</v>
      </c>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c r="A294" s="27">
        <f>HYPERLINK("https://arcprize.org/play?task=b94a9452", 290)</f>
        <v>290</v>
      </c>
      <c r="B294" s="80" t="s">
        <v>461</v>
      </c>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c r="A295" s="27">
        <f>HYPERLINK("https://arcprize.org/play?task=b9b7f026", 291)</f>
        <v>291</v>
      </c>
      <c r="B295" s="80" t="s">
        <v>462</v>
      </c>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c r="A296" s="27">
        <f>HYPERLINK("https://arcprize.org/play?task=ba26e723", 292)</f>
        <v>292</v>
      </c>
      <c r="B296" s="80" t="s">
        <v>463</v>
      </c>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c r="A297" s="27">
        <f>HYPERLINK("https://arcprize.org/play?task=ba97ae07", 293)</f>
        <v>293</v>
      </c>
      <c r="B297" s="80" t="s">
        <v>464</v>
      </c>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c r="A298" s="27">
        <f>HYPERLINK("https://arcprize.org/play?task=bb43febb", 294)</f>
        <v>294</v>
      </c>
      <c r="B298" s="80" t="s">
        <v>465</v>
      </c>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c r="A299" s="27">
        <f>HYPERLINK("https://arcprize.org/play?task=bbc9ae5d", 295)</f>
        <v>295</v>
      </c>
      <c r="B299" s="80" t="s">
        <v>466</v>
      </c>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c r="A300" s="27">
        <f>HYPERLINK("https://arcprize.org/play?task=bc1d5164", 296)</f>
        <v>296</v>
      </c>
      <c r="B300" s="80" t="s">
        <v>467</v>
      </c>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c r="A301" s="27">
        <f>HYPERLINK("https://arcprize.org/play?task=bd4472b8", 297)</f>
        <v>297</v>
      </c>
      <c r="B301" s="80" t="s">
        <v>468</v>
      </c>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c r="A302" s="27">
        <f>HYPERLINK("https://arcprize.org/play?task=bda2d7a6", 298)</f>
        <v>298</v>
      </c>
      <c r="B302" s="80" t="s">
        <v>469</v>
      </c>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c r="A303" s="27">
        <f>HYPERLINK("https://arcprize.org/play?task=bdad9b1f", 299)</f>
        <v>299</v>
      </c>
      <c r="B303" s="80" t="s">
        <v>470</v>
      </c>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c r="A304" s="27">
        <f>HYPERLINK("https://arcprize.org/play?task=be94b721", 300)</f>
        <v>300</v>
      </c>
      <c r="B304" s="80" t="s">
        <v>471</v>
      </c>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c r="A305" s="27">
        <f>HYPERLINK("https://arcprize.org/play?task=beb8660c", 301)</f>
        <v>301</v>
      </c>
      <c r="B305" s="80" t="s">
        <v>472</v>
      </c>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c r="A306" s="27">
        <f>HYPERLINK("https://arcprize.org/play?task=c0f76784", 302)</f>
        <v>302</v>
      </c>
      <c r="B306" s="80" t="s">
        <v>473</v>
      </c>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c r="A307" s="27">
        <f>HYPERLINK("https://arcprize.org/play?task=c1d99e64", 303)</f>
        <v>303</v>
      </c>
      <c r="B307" s="80" t="s">
        <v>474</v>
      </c>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c r="A308" s="27">
        <f>HYPERLINK("https://arcprize.org/play?task=c3e719e8", 304)</f>
        <v>304</v>
      </c>
      <c r="B308" s="80" t="s">
        <v>475</v>
      </c>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c r="A309" s="27">
        <f>HYPERLINK("https://arcprize.org/play?task=c3f564a4", 305)</f>
        <v>305</v>
      </c>
      <c r="B309" s="80" t="s">
        <v>476</v>
      </c>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c r="A310" s="27">
        <f>HYPERLINK("https://arcprize.org/play?task=c444b776", 306)</f>
        <v>306</v>
      </c>
      <c r="B310" s="80" t="s">
        <v>477</v>
      </c>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c r="A311" s="27">
        <f>HYPERLINK("https://arcprize.org/play?task=c59eb873", 307)</f>
        <v>307</v>
      </c>
      <c r="B311" s="80" t="s">
        <v>478</v>
      </c>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c r="A312" s="27">
        <f>HYPERLINK("https://arcprize.org/play?task=c8cbb738", 308)</f>
        <v>308</v>
      </c>
      <c r="B312" s="80" t="s">
        <v>479</v>
      </c>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c r="A313" s="27">
        <f>HYPERLINK("https://arcprize.org/play?task=c8f0f002", 309)</f>
        <v>309</v>
      </c>
      <c r="B313" s="80" t="s">
        <v>448</v>
      </c>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c r="A314" s="27">
        <f>HYPERLINK("https://arcprize.org/play?task=c909285e", 310)</f>
        <v>310</v>
      </c>
      <c r="B314" s="80" t="s">
        <v>480</v>
      </c>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c r="A315" s="27">
        <f>HYPERLINK("https://arcprize.org/play?task=c9e6f938", 311)</f>
        <v>311</v>
      </c>
      <c r="B315" s="80" t="s">
        <v>339</v>
      </c>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c r="A316" s="27">
        <f>HYPERLINK("https://arcprize.org/play?task=c9f8e694", 312)</f>
        <v>312</v>
      </c>
      <c r="B316" s="80" t="s">
        <v>481</v>
      </c>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c r="A317" s="27">
        <f>HYPERLINK("https://arcprize.org/play?task=caa06a1f", 313)</f>
        <v>313</v>
      </c>
      <c r="B317" s="80" t="s">
        <v>482</v>
      </c>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c r="A318" s="27">
        <f>HYPERLINK("https://arcprize.org/play?task=cbded52d", 314)</f>
        <v>314</v>
      </c>
      <c r="B318" s="80" t="s">
        <v>483</v>
      </c>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c r="A319" s="27">
        <f>HYPERLINK("https://arcprize.org/play?task=cce03e0d", 315)</f>
        <v>315</v>
      </c>
      <c r="B319" s="80" t="s">
        <v>484</v>
      </c>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c r="A320" s="27">
        <f>HYPERLINK("https://arcprize.org/play?task=cdecee7f", 316)</f>
        <v>316</v>
      </c>
      <c r="B320" s="80" t="s">
        <v>485</v>
      </c>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c r="A321" s="27">
        <f>HYPERLINK("https://arcprize.org/play?task=ce22a75a", 317)</f>
        <v>317</v>
      </c>
      <c r="B321" s="80" t="s">
        <v>486</v>
      </c>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c r="A322" s="27">
        <f>HYPERLINK("https://arcprize.org/play?task=ce4f8723", 318)</f>
        <v>318</v>
      </c>
      <c r="B322" s="80" t="s">
        <v>487</v>
      </c>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c r="A323" s="27">
        <f>HYPERLINK("https://arcprize.org/play?task=ce602527", 319)</f>
        <v>319</v>
      </c>
      <c r="B323" s="80" t="s">
        <v>488</v>
      </c>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c r="A324" s="27">
        <f>HYPERLINK("https://arcprize.org/play?task=ce9e57f2", 320)</f>
        <v>320</v>
      </c>
      <c r="B324" s="80" t="s">
        <v>489</v>
      </c>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c r="A325" s="27">
        <f>HYPERLINK("https://arcprize.org/play?task=cf98881b", 321)</f>
        <v>321</v>
      </c>
      <c r="B325" s="80" t="s">
        <v>490</v>
      </c>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c r="A326" s="27">
        <f>HYPERLINK("https://arcprize.org/play?task=d037b0a7", 322)</f>
        <v>322</v>
      </c>
      <c r="B326" s="80" t="s">
        <v>491</v>
      </c>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c r="A327" s="27">
        <f>HYPERLINK("https://arcprize.org/play?task=d06dbe63", 323)</f>
        <v>323</v>
      </c>
      <c r="B327" s="80" t="s">
        <v>492</v>
      </c>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c r="A328" s="27">
        <f>HYPERLINK("https://arcprize.org/play?task=d07ae81c", 324)</f>
        <v>324</v>
      </c>
      <c r="B328" s="80" t="s">
        <v>493</v>
      </c>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c r="A329" s="27">
        <f>HYPERLINK("https://arcprize.org/play?task=d0f5fe59", 325)</f>
        <v>325</v>
      </c>
      <c r="B329" s="80" t="s">
        <v>494</v>
      </c>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c r="A330" s="27">
        <f>HYPERLINK("https://arcprize.org/play?task=d10ecb37", 326)</f>
        <v>326</v>
      </c>
      <c r="B330" s="80" t="s">
        <v>495</v>
      </c>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c r="A331" s="27">
        <f>HYPERLINK("https://arcprize.org/play?task=d13f3404", 327)</f>
        <v>327</v>
      </c>
      <c r="B331" s="80" t="s">
        <v>496</v>
      </c>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c r="A332" s="27">
        <f>HYPERLINK("https://arcprize.org/play?task=d22278a0", 328)</f>
        <v>328</v>
      </c>
      <c r="B332" s="80" t="s">
        <v>497</v>
      </c>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c r="A333" s="27">
        <f>HYPERLINK("https://arcprize.org/play?task=d23f8c26", 329)</f>
        <v>329</v>
      </c>
      <c r="B333" s="80" t="s">
        <v>498</v>
      </c>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c r="A334" s="27">
        <f>HYPERLINK("https://arcprize.org/play?task=d2abd087", 330)</f>
        <v>330</v>
      </c>
      <c r="B334" s="80" t="s">
        <v>499</v>
      </c>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c r="A335" s="27">
        <f>HYPERLINK("https://arcprize.org/play?task=d364b489", 331)</f>
        <v>331</v>
      </c>
      <c r="B335" s="80" t="s">
        <v>500</v>
      </c>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c r="A336" s="27">
        <f>HYPERLINK("https://arcprize.org/play?task=d406998b", 332)</f>
        <v>332</v>
      </c>
      <c r="B336" s="80" t="s">
        <v>501</v>
      </c>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c r="A337" s="27">
        <f>HYPERLINK("https://arcprize.org/play?task=d43fd935", 333)</f>
        <v>333</v>
      </c>
      <c r="B337" s="80" t="s">
        <v>502</v>
      </c>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c r="A338" s="27">
        <f>HYPERLINK("https://arcprize.org/play?task=d4469b4b", 334)</f>
        <v>334</v>
      </c>
      <c r="B338" s="80" t="s">
        <v>503</v>
      </c>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c r="A339" s="27">
        <f>HYPERLINK("https://arcprize.org/play?task=d4a91cb9", 335)</f>
        <v>335</v>
      </c>
      <c r="B339" s="80" t="s">
        <v>504</v>
      </c>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c r="A340" s="27">
        <f>HYPERLINK("https://arcprize.org/play?task=d4f3cd78", 336)</f>
        <v>336</v>
      </c>
      <c r="B340" s="80" t="s">
        <v>505</v>
      </c>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c r="A341" s="27">
        <f>HYPERLINK("https://arcprize.org/play?task=d511f180", 337)</f>
        <v>337</v>
      </c>
      <c r="B341" s="80" t="s">
        <v>506</v>
      </c>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c r="A342" s="27">
        <f>HYPERLINK("https://arcprize.org/play?task=d5d6de2d", 338)</f>
        <v>338</v>
      </c>
      <c r="B342" s="80" t="s">
        <v>507</v>
      </c>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c r="A343" s="27">
        <f>HYPERLINK("https://arcprize.org/play?task=d631b094", 339)</f>
        <v>339</v>
      </c>
      <c r="B343" s="80" t="s">
        <v>508</v>
      </c>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c r="A344" s="27">
        <f>HYPERLINK("https://arcprize.org/play?task=d687bc17", 340)</f>
        <v>340</v>
      </c>
      <c r="B344" s="80" t="s">
        <v>509</v>
      </c>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c r="A345" s="27">
        <f>HYPERLINK("https://arcprize.org/play?task=d6ad076f", 341)</f>
        <v>341</v>
      </c>
      <c r="B345" s="80" t="s">
        <v>510</v>
      </c>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c r="A346" s="27">
        <f>HYPERLINK("https://arcprize.org/play?task=d89b689b", 342)</f>
        <v>342</v>
      </c>
      <c r="B346" s="80" t="s">
        <v>511</v>
      </c>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c r="A347" s="27">
        <f>HYPERLINK("https://arcprize.org/play?task=d8c310e9", 343)</f>
        <v>343</v>
      </c>
      <c r="B347" s="80" t="s">
        <v>512</v>
      </c>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c r="A348" s="27">
        <f>HYPERLINK("https://arcprize.org/play?task=d90796e8", 344)</f>
        <v>344</v>
      </c>
      <c r="B348" s="80" t="s">
        <v>513</v>
      </c>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c r="A349" s="27">
        <f>HYPERLINK("https://arcprize.org/play?task=d9f24cd1", 345)</f>
        <v>345</v>
      </c>
      <c r="B349" s="80" t="s">
        <v>514</v>
      </c>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c r="A350" s="27">
        <f>HYPERLINK("https://arcprize.org/play?task=d9fac9be", 346)</f>
        <v>346</v>
      </c>
      <c r="B350" s="80" t="s">
        <v>515</v>
      </c>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c r="A351" s="27">
        <f>HYPERLINK("https://arcprize.org/play?task=dae9d2b5", 347)</f>
        <v>347</v>
      </c>
      <c r="B351" s="80" t="s">
        <v>516</v>
      </c>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c r="A352" s="27">
        <f>HYPERLINK("https://arcprize.org/play?task=db3e9e38", 348)</f>
        <v>348</v>
      </c>
      <c r="B352" s="80" t="s">
        <v>517</v>
      </c>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c r="A353" s="27">
        <f>HYPERLINK("https://arcprize.org/play?task=db93a21d", 349)</f>
        <v>349</v>
      </c>
      <c r="B353" s="80" t="s">
        <v>518</v>
      </c>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c r="A354" s="27">
        <f>HYPERLINK("https://arcprize.org/play?task=dbc1a6ce", 350)</f>
        <v>350</v>
      </c>
      <c r="B354" s="80" t="s">
        <v>519</v>
      </c>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c r="A355" s="27">
        <f>HYPERLINK("https://arcprize.org/play?task=dc0a314f", 351)</f>
        <v>351</v>
      </c>
      <c r="B355" s="80" t="s">
        <v>520</v>
      </c>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c r="A356" s="27">
        <f>HYPERLINK("https://arcprize.org/play?task=dc1df850", 352)</f>
        <v>352</v>
      </c>
      <c r="B356" s="80" t="s">
        <v>521</v>
      </c>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c r="A357" s="27">
        <f>HYPERLINK("https://arcprize.org/play?task=dc433765", 353)</f>
        <v>353</v>
      </c>
      <c r="B357" s="80" t="s">
        <v>522</v>
      </c>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c r="A358" s="27">
        <f>HYPERLINK("https://arcprize.org/play?task=ddf7fa4f", 354)</f>
        <v>354</v>
      </c>
      <c r="B358" s="80" t="s">
        <v>523</v>
      </c>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c r="A359" s="27">
        <f>HYPERLINK("https://arcprize.org/play?task=de1cd16c", 355)</f>
        <v>355</v>
      </c>
      <c r="B359" s="80" t="s">
        <v>524</v>
      </c>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c r="A360" s="27">
        <f>HYPERLINK("https://arcprize.org/play?task=ded97339", 356)</f>
        <v>356</v>
      </c>
      <c r="B360" s="80" t="s">
        <v>525</v>
      </c>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c r="A361" s="27">
        <f>HYPERLINK("https://arcprize.org/play?task=e179c5f4", 357)</f>
        <v>357</v>
      </c>
      <c r="B361" s="80" t="s">
        <v>526</v>
      </c>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c r="A362" s="27">
        <f>HYPERLINK("https://arcprize.org/play?task=e21d9049", 358)</f>
        <v>358</v>
      </c>
      <c r="B362" s="80" t="s">
        <v>527</v>
      </c>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c r="A363" s="27">
        <f>HYPERLINK("https://arcprize.org/play?task=e26a3af2", 359)</f>
        <v>359</v>
      </c>
      <c r="B363" s="80" t="s">
        <v>528</v>
      </c>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c r="A364" s="27">
        <f>HYPERLINK("https://arcprize.org/play?task=e3497940", 360)</f>
        <v>360</v>
      </c>
      <c r="B364" s="80" t="s">
        <v>529</v>
      </c>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c r="A365" s="27">
        <f>HYPERLINK("https://arcprize.org/play?task=e40b9e2f", 361)</f>
        <v>361</v>
      </c>
      <c r="B365" s="80" t="s">
        <v>530</v>
      </c>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c r="A366" s="27">
        <f>HYPERLINK("https://arcprize.org/play?task=e48d4e1a", 362)</f>
        <v>362</v>
      </c>
      <c r="B366" s="80" t="s">
        <v>531</v>
      </c>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c r="A367" s="27">
        <f>HYPERLINK("https://arcprize.org/play?task=e5062a87", 363)</f>
        <v>363</v>
      </c>
      <c r="B367" s="80" t="s">
        <v>532</v>
      </c>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c r="A368" s="27">
        <f>HYPERLINK("https://arcprize.org/play?task=e509e548", 364)</f>
        <v>364</v>
      </c>
      <c r="B368" s="80" t="s">
        <v>533</v>
      </c>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c r="A369" s="27">
        <f>HYPERLINK("https://arcprize.org/play?task=e50d258f", 365)</f>
        <v>365</v>
      </c>
      <c r="B369" s="80" t="s">
        <v>534</v>
      </c>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c r="A370" s="27">
        <f>HYPERLINK("https://arcprize.org/play?task=e6721834", 366)</f>
        <v>366</v>
      </c>
      <c r="B370" s="80" t="s">
        <v>535</v>
      </c>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c r="A371" s="27">
        <f>HYPERLINK("https://arcprize.org/play?task=e73095fd", 367)</f>
        <v>367</v>
      </c>
      <c r="B371" s="80" t="s">
        <v>536</v>
      </c>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c r="A372" s="27">
        <f>HYPERLINK("https://arcprize.org/play?task=e76a88a6", 368)</f>
        <v>368</v>
      </c>
      <c r="B372" s="80" t="s">
        <v>537</v>
      </c>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c r="A373" s="27">
        <f>HYPERLINK("https://arcprize.org/play?task=e8593010", 369)</f>
        <v>369</v>
      </c>
      <c r="B373" s="80" t="s">
        <v>538</v>
      </c>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c r="A374" s="27">
        <f>HYPERLINK("https://arcprize.org/play?task=e8dc4411", 370)</f>
        <v>370</v>
      </c>
      <c r="B374" s="80" t="s">
        <v>539</v>
      </c>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c r="A375" s="27">
        <f>HYPERLINK("https://arcprize.org/play?task=e9614598", 371)</f>
        <v>371</v>
      </c>
      <c r="B375" s="80" t="s">
        <v>540</v>
      </c>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c r="A376" s="27">
        <f>HYPERLINK("https://arcprize.org/play?task=e98196ab", 372)</f>
        <v>372</v>
      </c>
      <c r="B376" s="80" t="s">
        <v>541</v>
      </c>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c r="A377" s="27">
        <f>HYPERLINK("https://arcprize.org/play?task=e9afcf9a", 373)</f>
        <v>373</v>
      </c>
      <c r="B377" s="80" t="s">
        <v>542</v>
      </c>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c r="A378" s="27">
        <f>HYPERLINK("https://arcprize.org/play?task=ea32f347", 374)</f>
        <v>374</v>
      </c>
      <c r="B378" s="80" t="s">
        <v>543</v>
      </c>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c r="A379" s="27">
        <f>HYPERLINK("https://arcprize.org/play?task=ea786f4a", 375)</f>
        <v>375</v>
      </c>
      <c r="B379" s="80" t="s">
        <v>544</v>
      </c>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c r="A380" s="27">
        <f>HYPERLINK("https://arcprize.org/play?task=eb281b96", 376)</f>
        <v>376</v>
      </c>
      <c r="B380" s="80" t="s">
        <v>545</v>
      </c>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c r="A381" s="27">
        <f>HYPERLINK("https://arcprize.org/play?task=eb5a1d5d", 377)</f>
        <v>377</v>
      </c>
      <c r="B381" s="80" t="s">
        <v>546</v>
      </c>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c r="A382" s="27">
        <f>HYPERLINK("https://arcprize.org/play?task=ec883f72", 378)</f>
        <v>378</v>
      </c>
      <c r="B382" s="80" t="s">
        <v>547</v>
      </c>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c r="A383" s="27">
        <f>HYPERLINK("https://arcprize.org/play?task=ecdecbb3", 379)</f>
        <v>379</v>
      </c>
      <c r="B383" s="80" t="s">
        <v>548</v>
      </c>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c r="A384" s="27">
        <f>HYPERLINK("https://arcprize.org/play?task=ed36ccf7", 380)</f>
        <v>380</v>
      </c>
      <c r="B384" s="80" t="s">
        <v>549</v>
      </c>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c r="A385" s="27">
        <f>HYPERLINK("https://arcprize.org/play?task=ef135b50", 381)</f>
        <v>381</v>
      </c>
      <c r="B385" s="80" t="s">
        <v>550</v>
      </c>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c r="A386" s="27">
        <f>HYPERLINK("https://arcprize.org/play?task=f15e1fac", 382)</f>
        <v>382</v>
      </c>
      <c r="B386" s="80" t="s">
        <v>551</v>
      </c>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c r="A387" s="27">
        <f>HYPERLINK("https://arcprize.org/play?task=f1cefba8", 383)</f>
        <v>383</v>
      </c>
      <c r="B387" s="80" t="s">
        <v>552</v>
      </c>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c r="A388" s="27">
        <f>HYPERLINK("https://arcprize.org/play?task=f25fbde4", 384)</f>
        <v>384</v>
      </c>
      <c r="B388" s="80" t="s">
        <v>553</v>
      </c>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c r="A389" s="27">
        <f>HYPERLINK("https://arcprize.org/play?task=f25ffba3", 385)</f>
        <v>385</v>
      </c>
      <c r="B389" s="80" t="s">
        <v>554</v>
      </c>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c r="A390" s="27">
        <f>HYPERLINK("https://arcprize.org/play?task=f2829549", 386)</f>
        <v>386</v>
      </c>
      <c r="B390" s="80" t="s">
        <v>201</v>
      </c>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c r="A391" s="27">
        <f>HYPERLINK("https://arcprize.org/play?task=f35d900a", 387)</f>
        <v>387</v>
      </c>
      <c r="B391" s="80" t="s">
        <v>555</v>
      </c>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c r="A392" s="27">
        <f>HYPERLINK("https://arcprize.org/play?task=f5b8619d", 388)</f>
        <v>388</v>
      </c>
      <c r="B392" s="80" t="s">
        <v>556</v>
      </c>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c r="A393" s="27">
        <f>HYPERLINK("https://arcprize.org/play?task=f76d97a5", 389)</f>
        <v>389</v>
      </c>
      <c r="B393" s="80" t="s">
        <v>557</v>
      </c>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c r="A394" s="27">
        <f>HYPERLINK("https://arcprize.org/play?task=f8a8fe49", 390)</f>
        <v>390</v>
      </c>
      <c r="B394" s="80" t="s">
        <v>329</v>
      </c>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c r="A395" s="27">
        <f>HYPERLINK("https://arcprize.org/play?task=f8b3ba0a", 391)</f>
        <v>391</v>
      </c>
      <c r="B395" s="80" t="s">
        <v>558</v>
      </c>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c r="A396" s="27">
        <f>HYPERLINK("https://arcprize.org/play?task=f8c80d96", 392)</f>
        <v>392</v>
      </c>
      <c r="B396" s="80" t="s">
        <v>559</v>
      </c>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c r="A397" s="27">
        <f>HYPERLINK("https://arcprize.org/play?task=f8ff0b80", 393)</f>
        <v>393</v>
      </c>
      <c r="B397" s="80" t="s">
        <v>558</v>
      </c>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c r="A398" s="27">
        <f>HYPERLINK("https://arcprize.org/play?task=f9012d9b", 394)</f>
        <v>394</v>
      </c>
      <c r="B398" s="80" t="s">
        <v>560</v>
      </c>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c r="A399" s="27">
        <f>HYPERLINK("https://arcprize.org/play?task=fafffa47", 395)</f>
        <v>395</v>
      </c>
      <c r="B399" s="80" t="s">
        <v>561</v>
      </c>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c r="A400" s="27">
        <f>HYPERLINK("https://arcprize.org/play?task=fcb5c309", 396)</f>
        <v>396</v>
      </c>
      <c r="B400" s="80" t="s">
        <v>562</v>
      </c>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c r="A401" s="27">
        <f>HYPERLINK("https://arcprize.org/play?task=fcc82909", 397)</f>
        <v>397</v>
      </c>
      <c r="B401" s="80" t="s">
        <v>563</v>
      </c>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c r="A402" s="27">
        <f>HYPERLINK("https://arcprize.org/play?task=feca6190", 398)</f>
        <v>398</v>
      </c>
      <c r="B402" s="80" t="s">
        <v>564</v>
      </c>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c r="A403" s="27">
        <f>HYPERLINK("https://arcprize.org/play?task=ff28f65a", 399)</f>
        <v>399</v>
      </c>
      <c r="B403" s="80" t="s">
        <v>565</v>
      </c>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c r="A404" s="27">
        <f>HYPERLINK("https://arcprize.org/play?task=ff805c23", 400)</f>
        <v>400</v>
      </c>
      <c r="B404" s="80" t="s">
        <v>520</v>
      </c>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sheetData>
  <mergeCells count="1">
    <mergeCell ref="B1:F1"/>
  </mergeCells>
  <conditionalFormatting sqref="B5:Z400">
    <cfRule type="expression" dxfId="5" priority="1">
      <formula>COUNTIF($B5:$Z5, B5) &gt; 1</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25"/>
  </cols>
  <sheetData>
    <row r="1" ht="444.0" customHeight="1">
      <c r="A1" s="84" t="s">
        <v>566</v>
      </c>
    </row>
  </sheetData>
  <drawing r:id="rId1"/>
</worksheet>
</file>